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eco\share\Projects\Arctic\Arctic_Web_Data\modeling\2022 Twelve sites\"/>
    </mc:Choice>
  </mc:AlternateContent>
  <xr:revisionPtr revIDLastSave="0" documentId="13_ncr:1_{FB54FFB1-D6FE-4275-B5A1-3BE97267BEB8}" xr6:coauthVersionLast="47" xr6:coauthVersionMax="47" xr10:uidLastSave="{00000000-0000-0000-0000-000000000000}"/>
  <bookViews>
    <workbookView xWindow="-110" yWindow="-110" windowWidth="38620" windowHeight="21100" xr2:uid="{00000000-000D-0000-FFFF-FFFF00000000}"/>
  </bookViews>
  <sheets>
    <sheet name="Metadata" sheetId="1" r:id="rId1"/>
    <sheet name="Data" sheetId="34" r:id="rId2"/>
    <sheet name="DropDownLists(Do NOT Edit)" sheetId="35" r:id="rId3"/>
  </sheets>
  <definedNames>
    <definedName name="_xlnm._FilterDatabase" localSheetId="2" hidden="1">'DropDownLists(Do NOT Edit)'!$A$2:$K$610</definedName>
    <definedName name="ABSTRACT">Metadata!$A$6</definedName>
    <definedName name="Beginning_Date">Metadata!$A$150</definedName>
    <definedName name="Code_Information">Metadata!$F$163</definedName>
    <definedName name="DATA_FILE_INFORMATION">Metadata!$A$147</definedName>
    <definedName name="Data_File_Name">Metadata!$A$149</definedName>
    <definedName name="Data_File_URL">Metadata!$A$148</definedName>
    <definedName name="Data_Type">Metadata!$C$163</definedName>
    <definedName name="DATASET_ID">Metadata!$A$27</definedName>
    <definedName name="DATASET_TITLE">Metadata!$A$5</definedName>
    <definedName name="DataSheet1">Metadata!$B$159</definedName>
    <definedName name="DateTime_Format">Metadata!$E$163</definedName>
    <definedName name="Distribution_URL_for_file">Metadata!$A$4</definedName>
    <definedName name="East_Bounding_Coordinate">Metadata!$A$52</definedName>
    <definedName name="Elevation">Metadata!$A$58</definedName>
    <definedName name="Email">Metadata!$A$31</definedName>
    <definedName name="End_Date">Metadata!$A$151</definedName>
    <definedName name="Files_Descriptions">Metadata!$A$142</definedName>
    <definedName name="First_Name">Metadata!$A$33</definedName>
    <definedName name="Funding_Agency">Metadata!$A$42</definedName>
    <definedName name="Funding_Number">Metadata!$A$43</definedName>
    <definedName name="Funding_of_this_work">Metadata!$A$37</definedName>
    <definedName name="Geographic_Description">Metadata!$A$49</definedName>
    <definedName name="Intellectual_Rights">Metadata!$A$153</definedName>
    <definedName name="INVESTIGATOR_INFORMATION">Metadata!$A$29</definedName>
    <definedName name="KEYWORD_INFORMATION">Metadata!$A$64</definedName>
    <definedName name="KEYWORDS">Metadata!$A$65</definedName>
    <definedName name="Last_Name">Metadata!$A$34</definedName>
    <definedName name="Latitude">Metadata!$A$56</definedName>
    <definedName name="Link_to_Google_Map">Metadata!$A$59</definedName>
    <definedName name="Link_to_NSF_Award_Search">Metadata!$A$44</definedName>
    <definedName name="Location_Bounding_Box">Metadata!$A$50</definedName>
    <definedName name="Location_Name">Metadata!$A$48</definedName>
    <definedName name="Log_of_Changes">Metadata!$A$155</definedName>
    <definedName name="Longitude">Metadata!$A$57</definedName>
    <definedName name="LTER_funding_Yes_No">Metadata!$A$38</definedName>
    <definedName name="LTER_Sites_number">'DropDownLists(Do NOT Edit)'!$A$2:$A$601</definedName>
    <definedName name="Maintenance_Description">Metadata!$A$154</definedName>
    <definedName name="Maximum_Value">Metadata!$H$163</definedName>
    <definedName name="Metacat_Package_ID">Metadata!$A$2</definedName>
    <definedName name="METHODS">Metadata!$A$68</definedName>
    <definedName name="Minimum_Value">Metadata!$I$163</definedName>
    <definedName name="Missing_Value_Code">Metadata!$G$163</definedName>
    <definedName name="Name_of_Data_Sheet">Metadata!$A$159</definedName>
    <definedName name="NON_TABLUAR_FILES">Metadata!$A$141</definedName>
    <definedName name="North_Bounding_Coordinate">Metadata!$A$53</definedName>
    <definedName name="Number_of_Data_Records">Metadata!$A$161</definedName>
    <definedName name="Number_of_Header_Rows">Metadata!$A$160</definedName>
    <definedName name="OR">Metadata!$A$135</definedName>
    <definedName name="OR_if_single_point_location">Metadata!$A$55</definedName>
    <definedName name="ORCID_ID">Metadata!$A$32</definedName>
    <definedName name="Organisms_studied">Metadata!$A$62</definedName>
    <definedName name="Organization">Metadata!$A$35</definedName>
    <definedName name="Other_Files_to_Reference">Metadata!$A$152</definedName>
    <definedName name="PI_First_Name">Metadata!$A$39</definedName>
    <definedName name="PI_Last_Name">Metadata!$A$40</definedName>
    <definedName name="Precision">Metadata!$J$163</definedName>
    <definedName name="Protocol_Document">Metadata!$A$136</definedName>
    <definedName name="Protocol_Title">Metadata!$A$133</definedName>
    <definedName name="RESEARCH_LOCATION">Metadata!$A$47</definedName>
    <definedName name="Role">Metadata!$A$30</definedName>
    <definedName name="Sampling_and_or_Lab_Protocols">Metadata!$A$132</definedName>
    <definedName name="Site_name">'DropDownLists(Do NOT Edit)'!$B$3:$B$800</definedName>
    <definedName name="Site_name_list">'DropDownLists(Do NOT Edit)'!$B$2:$B$800</definedName>
    <definedName name="Sites">'DropDownLists(Do NOT Edit)'!$A$3:$K$800</definedName>
    <definedName name="South_Bounding_Coordinate">Metadata!$A$54</definedName>
    <definedName name="TAXONOMIC_COVERAGE">Metadata!$A$61</definedName>
    <definedName name="This_Section_describes_the_data_sheets_or_files_of_comma_delimited_data.__If_there_are_more_data_sheets_files_then_fill_in_the_second_section_below.">Metadata!$A$146</definedName>
    <definedName name="Title_of_Grant">Metadata!$A$41</definedName>
    <definedName name="Units">Metadata!$D$163</definedName>
    <definedName name="units_dropdown">'DropDownLists(Do NOT Edit)'!$D$260:$D$260</definedName>
    <definedName name="URL_of_online_Protocol">Metadata!$A$134</definedName>
    <definedName name="Variable_Description">Metadata!$B$163</definedName>
    <definedName name="VARIABLE_DESCRIPTIONS">Metadata!$A$162</definedName>
    <definedName name="Variable_Name">Metadata!$A$163</definedName>
    <definedName name="West_Bounding_Coordinate">Metadata!$A$51</definedName>
    <definedName name="Year_Released_to_Public">Metadata!$A$3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8" i="1" l="1"/>
  <c r="B58" i="1"/>
  <c r="C57" i="1"/>
  <c r="B57" i="1"/>
  <c r="C56" i="1"/>
  <c r="B56" i="1"/>
  <c r="C49" i="1"/>
  <c r="B49" i="1"/>
  <c r="M59" i="1"/>
  <c r="L59" i="1"/>
  <c r="K59" i="1"/>
  <c r="J59" i="1"/>
  <c r="P44" i="1"/>
  <c r="O44" i="1"/>
  <c r="N44" i="1"/>
  <c r="M44" i="1"/>
  <c r="L44" i="1"/>
  <c r="K44" i="1"/>
  <c r="J44" i="1"/>
  <c r="A424" i="1"/>
  <c r="A452" i="1"/>
  <c r="I471" i="1"/>
  <c r="I506" i="1"/>
  <c r="A490" i="1"/>
  <c r="I503" i="1"/>
  <c r="A426" i="1"/>
  <c r="I425" i="1"/>
  <c r="A451" i="1"/>
  <c r="H490" i="1"/>
  <c r="I495" i="1"/>
  <c r="A410" i="1"/>
  <c r="A394" i="1"/>
  <c r="H440" i="1"/>
  <c r="I491" i="1"/>
  <c r="A484" i="1"/>
  <c r="A460" i="1"/>
  <c r="H428" i="1"/>
  <c r="H456" i="1"/>
  <c r="A406" i="1"/>
  <c r="A389" i="1"/>
  <c r="I431" i="1"/>
  <c r="A479" i="1"/>
  <c r="I470" i="1"/>
  <c r="I508" i="1"/>
  <c r="I465" i="1"/>
  <c r="H444" i="1"/>
  <c r="H464" i="1"/>
  <c r="A420" i="1"/>
  <c r="H427" i="1"/>
  <c r="I419" i="1"/>
  <c r="H514" i="1"/>
  <c r="I523" i="1"/>
  <c r="H450" i="1"/>
  <c r="H498" i="1"/>
  <c r="A477" i="1"/>
  <c r="A506" i="1"/>
  <c r="I428" i="1"/>
  <c r="A419" i="1"/>
  <c r="A453" i="1"/>
  <c r="A522" i="1"/>
  <c r="A472" i="1"/>
  <c r="A273" i="1"/>
  <c r="A269" i="1"/>
  <c r="A277" i="1"/>
  <c r="I420" i="1"/>
  <c r="A437" i="1"/>
  <c r="H448" i="1"/>
  <c r="H491" i="1"/>
  <c r="A450" i="1"/>
  <c r="H461" i="1"/>
  <c r="A407" i="1"/>
  <c r="I278" i="1"/>
  <c r="I433" i="1"/>
  <c r="A447" i="1"/>
  <c r="I451" i="1"/>
  <c r="H517" i="1"/>
  <c r="A496" i="1"/>
  <c r="I448" i="1"/>
  <c r="H518" i="1"/>
  <c r="I446" i="1"/>
  <c r="I485" i="1"/>
  <c r="H508" i="1"/>
  <c r="H492" i="1"/>
  <c r="I459" i="1"/>
  <c r="A480" i="1"/>
  <c r="I436" i="1"/>
  <c r="H419" i="1"/>
  <c r="I477" i="1"/>
  <c r="I492" i="1"/>
  <c r="I438" i="1"/>
  <c r="A445" i="1"/>
  <c r="I487" i="1"/>
  <c r="A464" i="1"/>
  <c r="H273" i="1"/>
  <c r="H494" i="1"/>
  <c r="H471" i="1"/>
  <c r="A459" i="1"/>
  <c r="A436" i="1"/>
  <c r="A493" i="1"/>
  <c r="A415" i="1"/>
  <c r="A221" i="1"/>
  <c r="I512" i="1"/>
  <c r="A497" i="1"/>
  <c r="A441" i="1"/>
  <c r="I270" i="1"/>
  <c r="A439" i="1"/>
  <c r="H459" i="1"/>
  <c r="A503" i="1"/>
  <c r="H417" i="1"/>
  <c r="A511" i="1"/>
  <c r="H515" i="1"/>
  <c r="A470" i="1"/>
  <c r="A466" i="1"/>
  <c r="H480" i="1"/>
  <c r="A520" i="1"/>
  <c r="I274" i="1"/>
  <c r="H436" i="1"/>
  <c r="A512" i="1"/>
  <c r="I279" i="1"/>
  <c r="I456" i="1"/>
  <c r="A402" i="1"/>
  <c r="I466" i="1"/>
  <c r="I413" i="1"/>
  <c r="A471" i="1"/>
  <c r="H501" i="1"/>
  <c r="A488" i="1"/>
  <c r="I445" i="1"/>
  <c r="I439" i="1"/>
  <c r="A440" i="1"/>
  <c r="A434" i="1"/>
  <c r="I490" i="1"/>
  <c r="A454" i="1"/>
  <c r="I493" i="1"/>
  <c r="H443" i="1"/>
  <c r="A422" i="1"/>
  <c r="H506" i="1"/>
  <c r="I418" i="1"/>
  <c r="H432" i="1"/>
  <c r="A516" i="1"/>
  <c r="H479" i="1"/>
  <c r="A495" i="1"/>
  <c r="H522" i="1"/>
  <c r="A517" i="1"/>
  <c r="I275" i="1"/>
  <c r="I429" i="1"/>
  <c r="I479" i="1"/>
  <c r="A398" i="1"/>
  <c r="H455" i="1"/>
  <c r="H509" i="1"/>
  <c r="I276" i="1"/>
  <c r="H446" i="1"/>
  <c r="I460" i="1"/>
  <c r="I496" i="1"/>
  <c r="H433" i="1"/>
  <c r="H500" i="1"/>
  <c r="A399" i="1"/>
  <c r="H476" i="1"/>
  <c r="A411" i="1"/>
  <c r="H442" i="1"/>
  <c r="H523" i="1"/>
  <c r="I513" i="1"/>
  <c r="H503" i="1"/>
  <c r="H423" i="1"/>
  <c r="I462" i="1"/>
  <c r="H421" i="1"/>
  <c r="I488" i="1"/>
  <c r="A513" i="1"/>
  <c r="A521" i="1"/>
  <c r="A499" i="1"/>
  <c r="A404" i="1"/>
  <c r="A393" i="1"/>
  <c r="A509" i="1"/>
  <c r="A391" i="1"/>
  <c r="I444" i="1"/>
  <c r="I422" i="1"/>
  <c r="I427" i="1"/>
  <c r="H457" i="1"/>
  <c r="A502" i="1"/>
  <c r="A508" i="1"/>
  <c r="H485" i="1"/>
  <c r="A457" i="1"/>
  <c r="I452" i="1"/>
  <c r="A461" i="1"/>
  <c r="H512" i="1"/>
  <c r="H270" i="1"/>
  <c r="I474" i="1"/>
  <c r="H460" i="1"/>
  <c r="I499" i="1"/>
  <c r="I432" i="1"/>
  <c r="H497" i="1"/>
  <c r="H507" i="1"/>
  <c r="I510" i="1"/>
  <c r="A492" i="1"/>
  <c r="A414" i="1"/>
  <c r="A505" i="1"/>
  <c r="H504" i="1"/>
  <c r="I472" i="1"/>
  <c r="A469" i="1"/>
  <c r="A390" i="1"/>
  <c r="I416" i="1"/>
  <c r="A446" i="1"/>
  <c r="I455" i="1"/>
  <c r="I461" i="1"/>
  <c r="H277" i="1"/>
  <c r="H462" i="1"/>
  <c r="H422" i="1"/>
  <c r="H276" i="1"/>
  <c r="I501" i="1"/>
  <c r="H416" i="1"/>
  <c r="H489" i="1"/>
  <c r="A481" i="1"/>
  <c r="H439" i="1"/>
  <c r="A443" i="1"/>
  <c r="A500" i="1"/>
  <c r="A475" i="1"/>
  <c r="H431" i="1"/>
  <c r="H269" i="1"/>
  <c r="A409" i="1"/>
  <c r="H415" i="1"/>
  <c r="I516" i="1"/>
  <c r="I489" i="1"/>
  <c r="A279" i="1"/>
  <c r="H521" i="1"/>
  <c r="H271" i="1"/>
  <c r="I272" i="1"/>
  <c r="H493" i="1"/>
  <c r="I417" i="1"/>
  <c r="A421" i="1"/>
  <c r="H505" i="1"/>
  <c r="I426" i="1"/>
  <c r="A514" i="1"/>
  <c r="A474" i="1"/>
  <c r="I517" i="1"/>
  <c r="A392" i="1"/>
  <c r="A510" i="1"/>
  <c r="I505" i="1"/>
  <c r="H441" i="1"/>
  <c r="H275" i="1"/>
  <c r="H481" i="1"/>
  <c r="H429" i="1"/>
  <c r="A482" i="1"/>
  <c r="I454" i="1"/>
  <c r="H449" i="1"/>
  <c r="A274" i="1"/>
  <c r="I494" i="1"/>
  <c r="H424" i="1"/>
  <c r="I463" i="1"/>
  <c r="A519" i="1"/>
  <c r="H483" i="1"/>
  <c r="I423" i="1"/>
  <c r="H487" i="1"/>
  <c r="H437" i="1"/>
  <c r="A476" i="1"/>
  <c r="A498" i="1"/>
  <c r="H516" i="1"/>
  <c r="I483" i="1"/>
  <c r="A278" i="1"/>
  <c r="H465" i="1"/>
  <c r="H496" i="1"/>
  <c r="A518" i="1"/>
  <c r="I518" i="1"/>
  <c r="H279" i="1"/>
  <c r="A403" i="1"/>
  <c r="A431" i="1"/>
  <c r="A418" i="1"/>
  <c r="A458" i="1"/>
  <c r="H274" i="1"/>
  <c r="H499" i="1"/>
  <c r="A455" i="1"/>
  <c r="I468" i="1"/>
  <c r="I441" i="1"/>
  <c r="H430" i="1"/>
  <c r="H445" i="1"/>
  <c r="A494" i="1"/>
  <c r="H420" i="1"/>
  <c r="A485" i="1"/>
  <c r="A416" i="1"/>
  <c r="A417" i="1"/>
  <c r="H469" i="1"/>
  <c r="A272" i="1"/>
  <c r="H520" i="1"/>
  <c r="I480" i="1"/>
  <c r="A442" i="1"/>
  <c r="H511" i="1"/>
  <c r="I447" i="1"/>
  <c r="A486" i="1"/>
  <c r="H414" i="1"/>
  <c r="H413" i="1"/>
  <c r="A449" i="1"/>
  <c r="I269" i="1"/>
  <c r="A483" i="1"/>
  <c r="I271" i="1"/>
  <c r="I273" i="1"/>
  <c r="I449" i="1"/>
  <c r="A487" i="1"/>
  <c r="A491" i="1"/>
  <c r="I475" i="1"/>
  <c r="A478" i="1"/>
  <c r="A425" i="1"/>
  <c r="I437" i="1"/>
  <c r="I519" i="1"/>
  <c r="A397" i="1"/>
  <c r="A504" i="1"/>
  <c r="A412" i="1"/>
  <c r="I430" i="1"/>
  <c r="A401" i="1"/>
  <c r="H478" i="1"/>
  <c r="H519" i="1"/>
  <c r="A438" i="1"/>
  <c r="H495" i="1"/>
  <c r="I509" i="1"/>
  <c r="H473" i="1"/>
  <c r="A395" i="1"/>
  <c r="H513" i="1"/>
  <c r="I464" i="1"/>
  <c r="A400" i="1"/>
  <c r="I511" i="1"/>
  <c r="I497" i="1"/>
  <c r="A408" i="1"/>
  <c r="I481" i="1"/>
  <c r="H488" i="1"/>
  <c r="I486" i="1"/>
  <c r="H482" i="1"/>
  <c r="I450" i="1"/>
  <c r="I469" i="1"/>
  <c r="H510" i="1"/>
  <c r="H272" i="1"/>
  <c r="A429" i="1"/>
  <c r="H426" i="1"/>
  <c r="H466" i="1"/>
  <c r="I502" i="1"/>
  <c r="H475" i="1"/>
  <c r="I476" i="1"/>
  <c r="H278" i="1"/>
  <c r="I500" i="1"/>
  <c r="I421" i="1"/>
  <c r="H435" i="1"/>
  <c r="A396" i="1"/>
  <c r="I515" i="1"/>
  <c r="H474" i="1"/>
  <c r="H502" i="1"/>
  <c r="H454" i="1"/>
  <c r="A164" i="1"/>
  <c r="A515" i="1"/>
  <c r="I435" i="1"/>
  <c r="I467" i="1"/>
  <c r="H463" i="1"/>
  <c r="I414" i="1"/>
  <c r="A271" i="1"/>
  <c r="I442" i="1"/>
  <c r="A468" i="1"/>
  <c r="H458" i="1"/>
  <c r="I424" i="1"/>
  <c r="I520" i="1"/>
  <c r="I458" i="1"/>
  <c r="A405" i="1"/>
  <c r="H467" i="1"/>
  <c r="A501" i="1"/>
  <c r="H438" i="1"/>
  <c r="H434" i="1"/>
  <c r="H452" i="1"/>
  <c r="H477" i="1"/>
  <c r="I522" i="1"/>
  <c r="A473" i="1"/>
  <c r="H453" i="1"/>
  <c r="I507" i="1"/>
  <c r="A430" i="1"/>
  <c r="I498" i="1"/>
  <c r="I443" i="1"/>
  <c r="H418" i="1"/>
  <c r="I514" i="1"/>
  <c r="A463" i="1"/>
  <c r="I453" i="1"/>
  <c r="A448" i="1"/>
  <c r="A427" i="1"/>
  <c r="I434" i="1"/>
  <c r="A275" i="1"/>
  <c r="I473" i="1"/>
  <c r="A465" i="1"/>
  <c r="A270" i="1"/>
  <c r="I504" i="1"/>
  <c r="A467" i="1"/>
  <c r="A428" i="1"/>
  <c r="A413" i="1"/>
  <c r="I482" i="1"/>
  <c r="A388" i="1"/>
  <c r="A276" i="1"/>
  <c r="A456" i="1"/>
  <c r="I415" i="1"/>
  <c r="A489" i="1"/>
  <c r="H470" i="1"/>
  <c r="H484" i="1"/>
  <c r="I457" i="1"/>
  <c r="I478" i="1"/>
  <c r="I440" i="1"/>
  <c r="I277" i="1"/>
  <c r="H468" i="1"/>
  <c r="I484" i="1"/>
  <c r="A523" i="1"/>
  <c r="A462" i="1"/>
  <c r="A433" i="1"/>
  <c r="H451" i="1"/>
  <c r="H425" i="1"/>
  <c r="A435" i="1"/>
  <c r="I521" i="1"/>
  <c r="H447" i="1"/>
  <c r="A507" i="1"/>
  <c r="A432" i="1"/>
  <c r="A444" i="1"/>
  <c r="A423" i="1"/>
  <c r="H486" i="1"/>
  <c r="H472" i="1"/>
  <c r="C44" i="1" l="1"/>
  <c r="D44" i="1"/>
  <c r="E44" i="1"/>
  <c r="F44" i="1"/>
  <c r="G44" i="1"/>
  <c r="H44" i="1"/>
  <c r="I44" i="1"/>
  <c r="B44" i="1"/>
  <c r="K790" i="35"/>
  <c r="K789" i="35"/>
  <c r="K788" i="35"/>
  <c r="C788" i="35"/>
  <c r="K787" i="35"/>
  <c r="K786" i="35"/>
  <c r="K785" i="35"/>
  <c r="K784" i="35"/>
  <c r="C784" i="35"/>
  <c r="K783" i="35"/>
  <c r="C783" i="35"/>
  <c r="K782" i="35"/>
  <c r="C782" i="35"/>
  <c r="K781" i="35"/>
  <c r="C781" i="35"/>
  <c r="K780" i="35"/>
  <c r="C780" i="35"/>
  <c r="K779" i="35"/>
  <c r="C779" i="35"/>
  <c r="K778" i="35"/>
  <c r="C778" i="35"/>
  <c r="K777" i="35"/>
  <c r="C777" i="35"/>
  <c r="K776" i="35"/>
  <c r="C776" i="35"/>
  <c r="K775" i="35"/>
  <c r="C775" i="35"/>
  <c r="K774" i="35"/>
  <c r="C774" i="35"/>
  <c r="K773" i="35"/>
  <c r="C773" i="35"/>
  <c r="K772" i="35"/>
  <c r="C772" i="35"/>
  <c r="K771" i="35"/>
  <c r="C771" i="35"/>
  <c r="K770" i="35"/>
  <c r="C770" i="35"/>
  <c r="K769" i="35"/>
  <c r="C769" i="35"/>
  <c r="K768" i="35"/>
  <c r="C768" i="35"/>
  <c r="K767" i="35"/>
  <c r="C767" i="35"/>
  <c r="K766" i="35"/>
  <c r="C766" i="35"/>
  <c r="K765" i="35"/>
  <c r="C765" i="35"/>
  <c r="K764" i="35"/>
  <c r="C764" i="35"/>
  <c r="K763" i="35"/>
  <c r="C763" i="35"/>
  <c r="K762" i="35"/>
  <c r="C762" i="35"/>
  <c r="K761" i="35"/>
  <c r="C761" i="35"/>
  <c r="K760" i="35"/>
  <c r="C760" i="35"/>
  <c r="K759" i="35"/>
  <c r="C759" i="35"/>
  <c r="K758" i="35"/>
  <c r="C758" i="35"/>
  <c r="K757" i="35"/>
  <c r="K756" i="35"/>
  <c r="K755" i="35"/>
  <c r="K754" i="35"/>
  <c r="K753" i="35"/>
  <c r="C753" i="35"/>
  <c r="K752" i="35"/>
  <c r="K751" i="35"/>
  <c r="K750" i="35"/>
  <c r="K749" i="35"/>
  <c r="K748" i="35"/>
  <c r="K747" i="35"/>
  <c r="K746" i="35"/>
  <c r="K745" i="35"/>
  <c r="K744" i="35"/>
  <c r="K743" i="35"/>
  <c r="K742" i="35"/>
  <c r="K741" i="35"/>
  <c r="K740" i="35"/>
  <c r="K739" i="35"/>
  <c r="K738" i="35"/>
  <c r="K737" i="35"/>
  <c r="K736" i="35"/>
  <c r="K735" i="35"/>
  <c r="C735" i="35"/>
  <c r="K734" i="35"/>
  <c r="C734" i="35"/>
  <c r="K733" i="35"/>
  <c r="C733" i="35"/>
  <c r="K732" i="35"/>
  <c r="C732" i="35"/>
  <c r="K731" i="35"/>
  <c r="C731" i="35"/>
  <c r="K730" i="35"/>
  <c r="C730" i="35"/>
  <c r="K729" i="35"/>
  <c r="C729" i="35"/>
  <c r="K728" i="35"/>
  <c r="C728" i="35"/>
  <c r="K727" i="35"/>
  <c r="C727" i="35"/>
  <c r="K726" i="35"/>
  <c r="C726" i="35"/>
  <c r="K725" i="35"/>
  <c r="C725" i="35"/>
  <c r="K724" i="35"/>
  <c r="C724" i="35"/>
  <c r="K723" i="35"/>
  <c r="C723" i="35"/>
  <c r="K722" i="35"/>
  <c r="C722" i="35"/>
  <c r="K721" i="35"/>
  <c r="C721" i="35"/>
  <c r="K720" i="35"/>
  <c r="C720" i="35"/>
  <c r="K719" i="35"/>
  <c r="C719" i="35"/>
  <c r="K718" i="35"/>
  <c r="C718" i="35"/>
  <c r="K717" i="35"/>
  <c r="C717" i="35"/>
  <c r="K716" i="35"/>
  <c r="C716" i="35"/>
  <c r="K715" i="35"/>
  <c r="K714" i="35"/>
  <c r="K713" i="35"/>
  <c r="K712" i="35"/>
  <c r="K711" i="35"/>
  <c r="C711" i="35"/>
  <c r="K710" i="35"/>
  <c r="C710" i="35"/>
  <c r="K709" i="35"/>
  <c r="C709" i="35"/>
  <c r="K708" i="35"/>
  <c r="C708" i="35"/>
  <c r="K707" i="35"/>
  <c r="K706" i="35"/>
  <c r="C706" i="35"/>
  <c r="K705" i="35"/>
  <c r="K704" i="35"/>
  <c r="K703" i="35"/>
  <c r="K702" i="35"/>
  <c r="K701" i="35"/>
  <c r="K700" i="35"/>
  <c r="K699" i="35"/>
  <c r="C699" i="35"/>
  <c r="K698" i="35"/>
  <c r="K697" i="35"/>
  <c r="K696" i="35"/>
  <c r="K695" i="35"/>
  <c r="K694" i="35"/>
  <c r="C694" i="35"/>
  <c r="K693" i="35"/>
  <c r="C693" i="35"/>
  <c r="K692" i="35"/>
  <c r="K691" i="35"/>
  <c r="K690" i="35"/>
  <c r="C690" i="35"/>
  <c r="K689" i="35"/>
  <c r="C689" i="35"/>
  <c r="K688" i="35"/>
  <c r="K687" i="35"/>
  <c r="C687" i="35"/>
  <c r="K686" i="35"/>
  <c r="C686" i="35"/>
  <c r="K685" i="35"/>
  <c r="C685" i="35"/>
  <c r="K684" i="35"/>
  <c r="K683" i="35"/>
  <c r="K682" i="35"/>
  <c r="C682" i="35"/>
  <c r="K681" i="35"/>
  <c r="C681" i="35"/>
  <c r="K680" i="35"/>
  <c r="C680" i="35"/>
  <c r="K679" i="35"/>
  <c r="C679" i="35"/>
  <c r="K678" i="35"/>
  <c r="C678" i="35"/>
  <c r="K677" i="35"/>
  <c r="C677" i="35"/>
  <c r="K676" i="35"/>
  <c r="C676" i="35"/>
  <c r="K675" i="35"/>
  <c r="C675" i="35"/>
  <c r="K674" i="35"/>
  <c r="C674" i="35"/>
  <c r="K673" i="35"/>
  <c r="C673" i="35"/>
  <c r="K672" i="35"/>
  <c r="C672" i="35"/>
  <c r="K671" i="35"/>
  <c r="C671" i="35"/>
  <c r="K670" i="35"/>
  <c r="C670" i="35"/>
  <c r="K669" i="35"/>
  <c r="C669" i="35"/>
  <c r="K668" i="35"/>
  <c r="C668" i="35"/>
  <c r="K667" i="35"/>
  <c r="C667" i="35"/>
  <c r="K666" i="35"/>
  <c r="C666" i="35"/>
  <c r="K665" i="35"/>
  <c r="C665" i="35"/>
  <c r="K664" i="35"/>
  <c r="C664" i="35"/>
  <c r="K663" i="35"/>
  <c r="C663" i="35"/>
  <c r="K662" i="35"/>
  <c r="C662" i="35"/>
  <c r="K661" i="35"/>
  <c r="C661" i="35"/>
  <c r="K660" i="35"/>
  <c r="C660" i="35"/>
  <c r="K659" i="35"/>
  <c r="C659" i="35"/>
  <c r="K658" i="35"/>
  <c r="C658" i="35"/>
  <c r="K657" i="35"/>
  <c r="K656" i="35"/>
  <c r="K655" i="35"/>
  <c r="K654" i="35"/>
  <c r="K653" i="35"/>
  <c r="K652" i="35"/>
  <c r="K651" i="35"/>
  <c r="K650" i="35"/>
  <c r="K649" i="35"/>
  <c r="K648" i="35"/>
  <c r="C648" i="35"/>
  <c r="K647" i="35"/>
  <c r="C647" i="35"/>
  <c r="K646" i="35"/>
  <c r="C646" i="35"/>
  <c r="K645" i="35"/>
  <c r="C645" i="35"/>
  <c r="K644" i="35"/>
  <c r="C644" i="35"/>
  <c r="K643" i="35"/>
  <c r="C643" i="35"/>
  <c r="K642" i="35"/>
  <c r="C642" i="35"/>
  <c r="K641" i="35"/>
  <c r="K640" i="35"/>
  <c r="K639" i="35"/>
  <c r="K638" i="35"/>
  <c r="K637" i="35"/>
  <c r="K636" i="35"/>
  <c r="K635" i="35"/>
  <c r="K634" i="35"/>
  <c r="K633" i="35"/>
  <c r="C633" i="35"/>
  <c r="K632" i="35"/>
  <c r="C632" i="35"/>
  <c r="K631" i="35"/>
  <c r="C631" i="35"/>
  <c r="K630" i="35"/>
  <c r="C630" i="35"/>
  <c r="K629" i="35"/>
  <c r="C629" i="35"/>
  <c r="K628" i="35"/>
  <c r="C628" i="35"/>
  <c r="K627" i="35"/>
  <c r="C627" i="35"/>
  <c r="K626" i="35"/>
  <c r="C626" i="35"/>
  <c r="K625" i="35"/>
  <c r="C625" i="35"/>
  <c r="K624" i="35"/>
  <c r="C624" i="35"/>
  <c r="K623" i="35"/>
  <c r="K622" i="35"/>
  <c r="K621" i="35"/>
  <c r="K620" i="35"/>
  <c r="K619" i="35"/>
  <c r="C619" i="35"/>
  <c r="K618" i="35"/>
  <c r="C618" i="35"/>
  <c r="K617" i="35"/>
  <c r="C617" i="35"/>
  <c r="K616" i="35"/>
  <c r="C616" i="35"/>
  <c r="K615" i="35"/>
  <c r="C615" i="35"/>
  <c r="K614" i="35"/>
  <c r="C614" i="35"/>
  <c r="K613" i="35"/>
  <c r="C613" i="35"/>
  <c r="K612" i="35"/>
  <c r="C612" i="35"/>
  <c r="K611" i="35"/>
  <c r="C611" i="35"/>
  <c r="K610" i="35"/>
  <c r="C610" i="35"/>
  <c r="K609" i="35"/>
  <c r="C609" i="35"/>
  <c r="K608" i="35"/>
  <c r="C608" i="35"/>
  <c r="K607" i="35"/>
  <c r="C607" i="35"/>
  <c r="K606" i="35"/>
  <c r="C606" i="35"/>
  <c r="K605" i="35"/>
  <c r="C605" i="35"/>
  <c r="K604" i="35"/>
  <c r="C604" i="35"/>
  <c r="K603" i="35"/>
  <c r="C603" i="35"/>
  <c r="K602" i="35"/>
  <c r="C602" i="35"/>
  <c r="K601" i="35"/>
  <c r="C601" i="35"/>
  <c r="K600" i="35"/>
  <c r="C600" i="35"/>
  <c r="K599" i="35"/>
  <c r="C599" i="35"/>
  <c r="K598" i="35"/>
  <c r="C598" i="35"/>
  <c r="K597" i="35"/>
  <c r="C597" i="35"/>
  <c r="K596" i="35"/>
  <c r="C596" i="35"/>
  <c r="K595" i="35"/>
  <c r="C595" i="35"/>
  <c r="K594" i="35"/>
  <c r="C594" i="35"/>
  <c r="K593" i="35"/>
  <c r="C593" i="35"/>
  <c r="K592" i="35"/>
  <c r="C592" i="35"/>
  <c r="K591" i="35"/>
  <c r="C591" i="35"/>
  <c r="K590" i="35"/>
  <c r="C590" i="35"/>
  <c r="K589" i="35"/>
  <c r="C589" i="35"/>
  <c r="K588" i="35"/>
  <c r="C588" i="35"/>
  <c r="K587" i="35"/>
  <c r="K586" i="35"/>
  <c r="K585" i="35"/>
  <c r="K584" i="35"/>
  <c r="K583" i="35"/>
  <c r="K582" i="35"/>
  <c r="C582" i="35"/>
  <c r="K581" i="35"/>
  <c r="C581" i="35"/>
  <c r="K580" i="35"/>
  <c r="C580" i="35"/>
  <c r="K579" i="35"/>
  <c r="C579" i="35"/>
  <c r="K578" i="35"/>
  <c r="C578" i="35"/>
  <c r="K577" i="35"/>
  <c r="C577" i="35"/>
  <c r="K576" i="35"/>
  <c r="C576" i="35"/>
  <c r="K575" i="35"/>
  <c r="C575" i="35"/>
  <c r="K574" i="35"/>
  <c r="C574" i="35"/>
  <c r="K573" i="35"/>
  <c r="C573" i="35"/>
  <c r="K572" i="35"/>
  <c r="K571" i="35"/>
  <c r="C571" i="35"/>
  <c r="K570" i="35"/>
  <c r="K569" i="35"/>
  <c r="C569" i="35"/>
  <c r="K568" i="35"/>
  <c r="C568" i="35"/>
  <c r="K565" i="35"/>
  <c r="C565" i="35"/>
  <c r="K564" i="35"/>
  <c r="C564" i="35"/>
  <c r="K563" i="35"/>
  <c r="C563" i="35"/>
  <c r="K562" i="35"/>
  <c r="C562" i="35"/>
  <c r="K561" i="35"/>
  <c r="C561" i="35"/>
  <c r="K560" i="35"/>
  <c r="C560" i="35"/>
  <c r="K559" i="35"/>
  <c r="C559" i="35"/>
  <c r="K558" i="35"/>
  <c r="C558" i="35"/>
  <c r="K557" i="35"/>
  <c r="C557" i="35"/>
  <c r="K556" i="35"/>
  <c r="C556" i="35"/>
  <c r="K555" i="35"/>
  <c r="C555" i="35"/>
  <c r="K554" i="35"/>
  <c r="C554" i="35"/>
  <c r="K553" i="35"/>
  <c r="C553" i="35"/>
  <c r="K552" i="35"/>
  <c r="C552" i="35"/>
  <c r="K551" i="35"/>
  <c r="C551" i="35"/>
  <c r="K550" i="35"/>
  <c r="C550" i="35"/>
  <c r="K549" i="35"/>
  <c r="C549" i="35"/>
  <c r="K548" i="35"/>
  <c r="C548" i="35"/>
  <c r="K547" i="35"/>
  <c r="C547" i="35"/>
  <c r="K546" i="35"/>
  <c r="C546" i="35"/>
  <c r="K545" i="35"/>
  <c r="C545" i="35"/>
  <c r="K544" i="35"/>
  <c r="C544" i="35"/>
  <c r="K543" i="35"/>
  <c r="C543" i="35"/>
  <c r="K542" i="35"/>
  <c r="C542" i="35"/>
  <c r="K541" i="35"/>
  <c r="C541" i="35"/>
  <c r="K540" i="35"/>
  <c r="C540" i="35"/>
  <c r="K539" i="35"/>
  <c r="C539" i="35"/>
  <c r="K538" i="35"/>
  <c r="C538" i="35"/>
  <c r="K537" i="35"/>
  <c r="C537" i="35"/>
  <c r="K536" i="35"/>
  <c r="C536" i="35"/>
  <c r="K535" i="35"/>
  <c r="C535" i="35"/>
  <c r="K534" i="35"/>
  <c r="C534" i="35"/>
  <c r="K533" i="35"/>
  <c r="C533" i="35"/>
  <c r="K532" i="35"/>
  <c r="C532" i="35"/>
  <c r="K531" i="35"/>
  <c r="C531" i="35"/>
  <c r="K530" i="35"/>
  <c r="C530" i="35"/>
  <c r="K529" i="35"/>
  <c r="C529" i="35"/>
  <c r="K528" i="35"/>
  <c r="C528" i="35"/>
  <c r="K527" i="35"/>
  <c r="C527" i="35"/>
  <c r="K526" i="35"/>
  <c r="C526" i="35"/>
  <c r="K525" i="35"/>
  <c r="C525" i="35"/>
  <c r="K524" i="35"/>
  <c r="C524" i="35"/>
  <c r="K523" i="35"/>
  <c r="C523" i="35"/>
  <c r="K522" i="35"/>
  <c r="C522" i="35"/>
  <c r="K521" i="35"/>
  <c r="C521" i="35"/>
  <c r="K520" i="35"/>
  <c r="C520" i="35"/>
  <c r="K519" i="35"/>
  <c r="C519" i="35"/>
  <c r="K518" i="35"/>
  <c r="C518" i="35"/>
  <c r="K517" i="35"/>
  <c r="C517" i="35"/>
  <c r="K516" i="35"/>
  <c r="C516" i="35"/>
  <c r="K515" i="35"/>
  <c r="C515" i="35"/>
  <c r="K514" i="35"/>
  <c r="C514" i="35"/>
  <c r="K513" i="35"/>
  <c r="C513" i="35"/>
  <c r="K512" i="35"/>
  <c r="C512" i="35"/>
  <c r="K511" i="35"/>
  <c r="C511" i="35"/>
  <c r="K510" i="35"/>
  <c r="C510" i="35"/>
  <c r="K509" i="35"/>
  <c r="C509" i="35"/>
  <c r="K508" i="35"/>
  <c r="C508" i="35"/>
  <c r="K507" i="35"/>
  <c r="C507" i="35"/>
  <c r="K506" i="35"/>
  <c r="C506" i="35"/>
  <c r="K505" i="35"/>
  <c r="C505" i="35"/>
  <c r="K504" i="35"/>
  <c r="C504" i="35"/>
  <c r="K503" i="35"/>
  <c r="C503" i="35"/>
  <c r="K502" i="35"/>
  <c r="C502" i="35"/>
  <c r="K493" i="35"/>
  <c r="C493" i="35"/>
  <c r="K492" i="35"/>
  <c r="C492" i="35"/>
  <c r="K491" i="35"/>
  <c r="C491" i="35"/>
  <c r="K490" i="35"/>
  <c r="C490" i="35"/>
  <c r="K489" i="35"/>
  <c r="C489" i="35"/>
  <c r="K488" i="35"/>
  <c r="C488" i="35"/>
  <c r="K487" i="35"/>
  <c r="C487" i="35"/>
  <c r="K486" i="35"/>
  <c r="C486" i="35"/>
  <c r="K485" i="35"/>
  <c r="C485" i="35"/>
  <c r="K484" i="35"/>
  <c r="C484" i="35"/>
  <c r="K483" i="35"/>
  <c r="C483" i="35"/>
  <c r="K482" i="35"/>
  <c r="C482" i="35"/>
  <c r="K481" i="35"/>
  <c r="C481" i="35"/>
  <c r="K480" i="35"/>
  <c r="C480" i="35"/>
  <c r="K479" i="35"/>
  <c r="C479" i="35"/>
  <c r="K478" i="35"/>
  <c r="C478" i="35"/>
  <c r="K477" i="35"/>
  <c r="C477" i="35"/>
  <c r="K476" i="35"/>
  <c r="C476" i="35"/>
  <c r="K475" i="35"/>
  <c r="C475" i="35"/>
  <c r="K474" i="35"/>
  <c r="C474" i="35"/>
  <c r="K473" i="35"/>
  <c r="C473" i="35"/>
  <c r="K472" i="35"/>
  <c r="C472" i="35"/>
  <c r="K471" i="35"/>
  <c r="C471" i="35"/>
  <c r="K470" i="35"/>
  <c r="C470" i="35"/>
  <c r="K469" i="35"/>
  <c r="C469" i="35"/>
  <c r="K468" i="35"/>
  <c r="C468" i="35"/>
  <c r="K467" i="35"/>
  <c r="C467" i="35"/>
  <c r="K466" i="35"/>
  <c r="C466" i="35"/>
  <c r="K465" i="35"/>
  <c r="C465" i="35"/>
  <c r="K464" i="35"/>
  <c r="C464" i="35"/>
  <c r="K463" i="35"/>
  <c r="C463" i="35"/>
  <c r="K462" i="35"/>
  <c r="C462" i="35"/>
  <c r="K461" i="35"/>
  <c r="C461" i="35"/>
  <c r="K460" i="35"/>
  <c r="C460" i="35"/>
  <c r="K459" i="35"/>
  <c r="C459" i="35"/>
  <c r="K458" i="35"/>
  <c r="C458" i="35"/>
  <c r="K457" i="35"/>
  <c r="C457" i="35"/>
  <c r="K456" i="35"/>
  <c r="C456" i="35"/>
  <c r="K455" i="35"/>
  <c r="C455" i="35"/>
  <c r="K454" i="35"/>
  <c r="C454" i="35"/>
  <c r="K453" i="35"/>
  <c r="C453" i="35"/>
  <c r="K452" i="35"/>
  <c r="C452" i="35"/>
  <c r="K451" i="35"/>
  <c r="C451" i="35"/>
  <c r="K450" i="35"/>
  <c r="C450" i="35"/>
  <c r="K449" i="35"/>
  <c r="C449" i="35"/>
  <c r="K448" i="35"/>
  <c r="C448" i="35"/>
  <c r="K447" i="35"/>
  <c r="C447" i="35"/>
  <c r="K446" i="35"/>
  <c r="C446" i="35"/>
  <c r="K445" i="35"/>
  <c r="C445" i="35"/>
  <c r="K444" i="35"/>
  <c r="C444" i="35"/>
  <c r="K443" i="35"/>
  <c r="C443" i="35"/>
  <c r="K442" i="35"/>
  <c r="C442" i="35"/>
  <c r="K441" i="35"/>
  <c r="C441" i="35"/>
  <c r="K440" i="35"/>
  <c r="C440" i="35"/>
  <c r="K439" i="35"/>
  <c r="C439" i="35"/>
  <c r="K438" i="35"/>
  <c r="C438" i="35"/>
  <c r="K437" i="35"/>
  <c r="C437" i="35"/>
  <c r="K436" i="35"/>
  <c r="C436" i="35"/>
  <c r="K435" i="35"/>
  <c r="C435" i="35"/>
  <c r="K434" i="35"/>
  <c r="C434" i="35"/>
  <c r="K433" i="35"/>
  <c r="C433" i="35"/>
  <c r="K432" i="35"/>
  <c r="C432" i="35"/>
  <c r="K431" i="35"/>
  <c r="C431" i="35"/>
  <c r="K430" i="35"/>
  <c r="C430" i="35"/>
  <c r="K429" i="35"/>
  <c r="C429" i="35"/>
  <c r="K428" i="35"/>
  <c r="C428" i="35"/>
  <c r="K427" i="35"/>
  <c r="C427" i="35"/>
  <c r="K426" i="35"/>
  <c r="C426" i="35"/>
  <c r="K425" i="35"/>
  <c r="C425" i="35"/>
  <c r="K424" i="35"/>
  <c r="C424" i="35"/>
  <c r="K423" i="35"/>
  <c r="C423" i="35"/>
  <c r="K422" i="35"/>
  <c r="C422" i="35"/>
  <c r="K421" i="35"/>
  <c r="C421" i="35"/>
  <c r="K420" i="35"/>
  <c r="C420" i="35"/>
  <c r="K419" i="35"/>
  <c r="C419" i="35"/>
  <c r="K418" i="35"/>
  <c r="C418" i="35"/>
  <c r="K417" i="35"/>
  <c r="C417" i="35"/>
  <c r="K416" i="35"/>
  <c r="C416" i="35"/>
  <c r="K415" i="35"/>
  <c r="C415" i="35"/>
  <c r="K414" i="35"/>
  <c r="C414" i="35"/>
  <c r="K413" i="35"/>
  <c r="C413" i="35"/>
  <c r="K412" i="35"/>
  <c r="C412" i="35"/>
  <c r="K411" i="35"/>
  <c r="C411" i="35"/>
  <c r="K410" i="35"/>
  <c r="C410" i="35"/>
  <c r="K409" i="35"/>
  <c r="C409" i="35"/>
  <c r="K408" i="35"/>
  <c r="C408" i="35"/>
  <c r="K407" i="35"/>
  <c r="C407" i="35"/>
  <c r="K406" i="35"/>
  <c r="C406" i="35"/>
  <c r="K405" i="35"/>
  <c r="C405" i="35"/>
  <c r="K404" i="35"/>
  <c r="C404" i="35"/>
  <c r="K403" i="35"/>
  <c r="C403" i="35"/>
  <c r="K402" i="35"/>
  <c r="C402" i="35"/>
  <c r="K401" i="35"/>
  <c r="C401" i="35"/>
  <c r="K400" i="35"/>
  <c r="C400" i="35"/>
  <c r="K399" i="35"/>
  <c r="C399" i="35"/>
  <c r="K398" i="35"/>
  <c r="C398" i="35"/>
  <c r="K397" i="35"/>
  <c r="C397" i="35"/>
  <c r="K396" i="35"/>
  <c r="C396" i="35"/>
  <c r="K395" i="35"/>
  <c r="C395" i="35"/>
  <c r="K394" i="35"/>
  <c r="C394" i="35"/>
  <c r="K393" i="35"/>
  <c r="C393" i="35"/>
  <c r="K392" i="35"/>
  <c r="C392" i="35"/>
  <c r="K391" i="35"/>
  <c r="C391" i="35"/>
  <c r="K390" i="35"/>
  <c r="C390" i="35"/>
  <c r="K389" i="35"/>
  <c r="C389" i="35"/>
  <c r="K388" i="35"/>
  <c r="C388" i="35"/>
  <c r="K387" i="35"/>
  <c r="C387" i="35"/>
  <c r="K386" i="35"/>
  <c r="C386" i="35"/>
  <c r="K385" i="35"/>
  <c r="C385" i="35"/>
  <c r="K384" i="35"/>
  <c r="C384" i="35"/>
  <c r="K383" i="35"/>
  <c r="C383" i="35"/>
  <c r="K382" i="35"/>
  <c r="C382" i="35"/>
  <c r="K381" i="35"/>
  <c r="C381" i="35"/>
  <c r="K380" i="35"/>
  <c r="C380" i="35"/>
  <c r="K379" i="35"/>
  <c r="C379" i="35"/>
  <c r="K378" i="35"/>
  <c r="C378" i="35"/>
  <c r="K377" i="35"/>
  <c r="C377" i="35"/>
  <c r="K376" i="35"/>
  <c r="C376" i="35"/>
  <c r="K375" i="35"/>
  <c r="C375" i="35"/>
  <c r="K374" i="35"/>
  <c r="C374" i="35"/>
  <c r="K373" i="35"/>
  <c r="C373" i="35"/>
  <c r="K372" i="35"/>
  <c r="C372" i="35"/>
  <c r="K371" i="35"/>
  <c r="C371" i="35"/>
  <c r="K370" i="35"/>
  <c r="C370" i="35"/>
  <c r="K369" i="35"/>
  <c r="C369" i="35"/>
  <c r="K368" i="35"/>
  <c r="C368" i="35"/>
  <c r="K367" i="35"/>
  <c r="C367" i="35"/>
  <c r="K366" i="35"/>
  <c r="C366" i="35"/>
  <c r="K365" i="35"/>
  <c r="C365" i="35"/>
  <c r="K364" i="35"/>
  <c r="C364" i="35"/>
  <c r="K363" i="35"/>
  <c r="C363" i="35"/>
  <c r="K362" i="35"/>
  <c r="C362" i="35"/>
  <c r="K361" i="35"/>
  <c r="C361" i="35"/>
  <c r="K360" i="35"/>
  <c r="C360" i="35"/>
  <c r="K359" i="35"/>
  <c r="C359" i="35"/>
  <c r="K358" i="35"/>
  <c r="C358" i="35"/>
  <c r="K357" i="35"/>
  <c r="C357" i="35"/>
  <c r="K356" i="35"/>
  <c r="C356" i="35"/>
  <c r="K355" i="35"/>
  <c r="C355" i="35"/>
  <c r="K354" i="35"/>
  <c r="C354" i="35"/>
  <c r="K353" i="35"/>
  <c r="C353" i="35"/>
  <c r="K352" i="35"/>
  <c r="C352" i="35"/>
  <c r="K351" i="35"/>
  <c r="C351" i="35"/>
  <c r="K350" i="35"/>
  <c r="C350" i="35"/>
  <c r="K349" i="35"/>
  <c r="C349" i="35"/>
  <c r="K348" i="35"/>
  <c r="C348" i="35"/>
  <c r="K347" i="35"/>
  <c r="C347" i="35"/>
  <c r="K346" i="35"/>
  <c r="C346" i="35"/>
  <c r="K345" i="35"/>
  <c r="C345" i="35"/>
  <c r="K344" i="35"/>
  <c r="C344" i="35"/>
  <c r="K343" i="35"/>
  <c r="C343" i="35"/>
  <c r="K342" i="35"/>
  <c r="C342" i="35"/>
  <c r="K341" i="35"/>
  <c r="C341" i="35"/>
  <c r="K340" i="35"/>
  <c r="C340" i="35"/>
  <c r="K339" i="35"/>
  <c r="C339" i="35"/>
  <c r="K338" i="35"/>
  <c r="C338" i="35"/>
  <c r="K337" i="35"/>
  <c r="C337" i="35"/>
  <c r="K336" i="35"/>
  <c r="C336" i="35"/>
  <c r="K335" i="35"/>
  <c r="C335" i="35"/>
  <c r="K334" i="35"/>
  <c r="C334" i="35"/>
  <c r="K333" i="35"/>
  <c r="C333" i="35"/>
  <c r="K332" i="35"/>
  <c r="C332" i="35"/>
  <c r="K331" i="35"/>
  <c r="C331" i="35"/>
  <c r="K330" i="35"/>
  <c r="C330" i="35"/>
  <c r="K329" i="35"/>
  <c r="C329" i="35"/>
  <c r="K328" i="35"/>
  <c r="C328" i="35"/>
  <c r="K327" i="35"/>
  <c r="C327" i="35"/>
  <c r="K326" i="35"/>
  <c r="C326" i="35"/>
  <c r="K325" i="35"/>
  <c r="C325" i="35"/>
  <c r="K324" i="35"/>
  <c r="C324" i="35"/>
  <c r="K323" i="35"/>
  <c r="C323" i="35"/>
  <c r="K322" i="35"/>
  <c r="C322" i="35"/>
  <c r="K321" i="35"/>
  <c r="C321" i="35"/>
  <c r="K320" i="35"/>
  <c r="C320" i="35"/>
  <c r="K319" i="35"/>
  <c r="C319" i="35"/>
  <c r="K318" i="35"/>
  <c r="C318" i="35"/>
  <c r="K317" i="35"/>
  <c r="C317" i="35"/>
  <c r="K316" i="35"/>
  <c r="C316" i="35"/>
  <c r="K315" i="35"/>
  <c r="C315" i="35"/>
  <c r="K314" i="35"/>
  <c r="C314" i="35"/>
  <c r="K313" i="35"/>
  <c r="C313" i="35"/>
  <c r="K312" i="35"/>
  <c r="C312" i="35"/>
  <c r="K311" i="35"/>
  <c r="C311" i="35"/>
  <c r="K310" i="35"/>
  <c r="C310" i="35"/>
  <c r="K309" i="35"/>
  <c r="C309" i="35"/>
  <c r="K308" i="35"/>
  <c r="C308" i="35"/>
  <c r="K307" i="35"/>
  <c r="C307" i="35"/>
  <c r="K306" i="35"/>
  <c r="C306" i="35"/>
  <c r="K305" i="35"/>
  <c r="C305" i="35"/>
  <c r="K304" i="35"/>
  <c r="C304" i="35"/>
  <c r="K303" i="35"/>
  <c r="C303" i="35"/>
  <c r="K302" i="35"/>
  <c r="C302" i="35"/>
  <c r="K301" i="35"/>
  <c r="K300" i="35"/>
  <c r="K299" i="35"/>
  <c r="C299" i="35"/>
  <c r="K298" i="35"/>
  <c r="C298" i="35"/>
  <c r="K297" i="35"/>
  <c r="C297" i="35"/>
  <c r="K296" i="35"/>
  <c r="C296" i="35"/>
  <c r="K295" i="35"/>
  <c r="C295" i="35"/>
  <c r="K294" i="35"/>
  <c r="C294" i="35"/>
  <c r="K293" i="35"/>
  <c r="C293" i="35"/>
  <c r="K292" i="35"/>
  <c r="C292" i="35"/>
  <c r="K291" i="35"/>
  <c r="C291" i="35"/>
  <c r="K290" i="35"/>
  <c r="C290" i="35"/>
  <c r="K289" i="35"/>
  <c r="C289" i="35"/>
  <c r="K288" i="35"/>
  <c r="C288" i="35"/>
  <c r="K287" i="35"/>
  <c r="C287" i="35"/>
  <c r="K286" i="35"/>
  <c r="C286" i="35"/>
  <c r="K285" i="35"/>
  <c r="C285" i="35"/>
  <c r="K284" i="35"/>
  <c r="C284" i="35"/>
  <c r="K283" i="35"/>
  <c r="K282" i="35"/>
  <c r="C282" i="35"/>
  <c r="K281" i="35"/>
  <c r="C281" i="35"/>
  <c r="K280" i="35"/>
  <c r="C280" i="35"/>
  <c r="K279" i="35"/>
  <c r="C279" i="35"/>
  <c r="K278" i="35"/>
  <c r="K277" i="35"/>
  <c r="C277" i="35"/>
  <c r="K276" i="35"/>
  <c r="C276" i="35"/>
  <c r="K275" i="35"/>
  <c r="C275" i="35"/>
  <c r="K274" i="35"/>
  <c r="C274" i="35"/>
  <c r="K273" i="35"/>
  <c r="C273" i="35"/>
  <c r="K272" i="35"/>
  <c r="K271" i="35"/>
  <c r="K270" i="35"/>
  <c r="K269" i="35"/>
  <c r="K268" i="35"/>
  <c r="C268" i="35"/>
  <c r="K267" i="35"/>
  <c r="C267" i="35"/>
  <c r="K266" i="35"/>
  <c r="C266" i="35"/>
  <c r="K265" i="35"/>
  <c r="C265" i="35"/>
  <c r="K264" i="35"/>
  <c r="C264" i="35"/>
  <c r="K263" i="35"/>
  <c r="C263" i="35"/>
  <c r="K262" i="35"/>
  <c r="C262" i="35"/>
  <c r="K261" i="35"/>
  <c r="C261" i="35"/>
  <c r="K260" i="35"/>
  <c r="C260" i="35"/>
  <c r="K259" i="35"/>
  <c r="C259" i="35"/>
  <c r="K258" i="35"/>
  <c r="C258" i="35"/>
  <c r="K257" i="35"/>
  <c r="C257" i="35"/>
  <c r="K256" i="35"/>
  <c r="C256" i="35"/>
  <c r="K255" i="35"/>
  <c r="C255" i="35"/>
  <c r="K254" i="35"/>
  <c r="C254" i="35"/>
  <c r="K253" i="35"/>
  <c r="C253" i="35"/>
  <c r="K252" i="35"/>
  <c r="C252" i="35"/>
  <c r="K251" i="35"/>
  <c r="C251" i="35"/>
  <c r="K250" i="35"/>
  <c r="C250" i="35"/>
  <c r="K249" i="35"/>
  <c r="C249" i="35"/>
  <c r="K248" i="35"/>
  <c r="C248" i="35"/>
  <c r="K247" i="35"/>
  <c r="C247" i="35"/>
  <c r="K246" i="35"/>
  <c r="C246" i="35"/>
  <c r="K245" i="35"/>
  <c r="C245" i="35"/>
  <c r="K244" i="35"/>
  <c r="C244" i="35"/>
  <c r="K243" i="35"/>
  <c r="C243" i="35"/>
  <c r="K242" i="35"/>
  <c r="C242" i="35"/>
  <c r="K241" i="35"/>
  <c r="C241" i="35"/>
  <c r="K240" i="35"/>
  <c r="C240" i="35"/>
  <c r="K239" i="35"/>
  <c r="K238" i="35"/>
  <c r="C238" i="35"/>
  <c r="K237" i="35"/>
  <c r="K236" i="35"/>
  <c r="K235" i="35"/>
  <c r="K234" i="35"/>
  <c r="K233" i="35"/>
  <c r="K232" i="35"/>
  <c r="K231" i="35"/>
  <c r="K230" i="35"/>
  <c r="K229" i="35"/>
  <c r="C229" i="35"/>
  <c r="K228" i="35"/>
  <c r="C228" i="35"/>
  <c r="K227" i="35"/>
  <c r="K226" i="35"/>
  <c r="K225" i="35"/>
  <c r="K224" i="35"/>
  <c r="K223" i="35"/>
  <c r="C223" i="35"/>
  <c r="K222" i="35"/>
  <c r="K221" i="35"/>
  <c r="K220" i="35"/>
  <c r="C220" i="35"/>
  <c r="K219" i="35"/>
  <c r="C219" i="35"/>
  <c r="K218" i="35"/>
  <c r="C218" i="35"/>
  <c r="K217" i="35"/>
  <c r="C217" i="35"/>
  <c r="K216" i="35"/>
  <c r="C216" i="35"/>
  <c r="K215" i="35"/>
  <c r="C215" i="35"/>
  <c r="K214" i="35"/>
  <c r="C214" i="35"/>
  <c r="K213" i="35"/>
  <c r="C213" i="35"/>
  <c r="K212" i="35"/>
  <c r="K211" i="35"/>
  <c r="K210" i="35"/>
  <c r="C210" i="35"/>
  <c r="K209" i="35"/>
  <c r="C209" i="35"/>
  <c r="K208" i="35"/>
  <c r="C208" i="35"/>
  <c r="K207" i="35"/>
  <c r="C207" i="35"/>
  <c r="K206" i="35"/>
  <c r="C206" i="35"/>
  <c r="K205" i="35"/>
  <c r="C205" i="35"/>
  <c r="K204" i="35"/>
  <c r="C204" i="35"/>
  <c r="K203" i="35"/>
  <c r="C203" i="35"/>
  <c r="K202" i="35"/>
  <c r="C202" i="35"/>
  <c r="K201" i="35"/>
  <c r="C201" i="35"/>
  <c r="K200" i="35"/>
  <c r="C200" i="35"/>
  <c r="K199" i="35"/>
  <c r="C199" i="35"/>
  <c r="K198" i="35"/>
  <c r="C198" i="35"/>
  <c r="K197" i="35"/>
  <c r="C197" i="35"/>
  <c r="K196" i="35"/>
  <c r="C196" i="35"/>
  <c r="K195" i="35"/>
  <c r="C195" i="35"/>
  <c r="K194" i="35"/>
  <c r="C194" i="35"/>
  <c r="K193" i="35"/>
  <c r="C193" i="35"/>
  <c r="K192" i="35"/>
  <c r="K191" i="35"/>
  <c r="C191" i="35"/>
  <c r="K190" i="35"/>
  <c r="C190" i="35"/>
  <c r="K189" i="35"/>
  <c r="C189" i="35"/>
  <c r="K188" i="35"/>
  <c r="C188" i="35"/>
  <c r="K187" i="35"/>
  <c r="C187" i="35"/>
  <c r="K186" i="35"/>
  <c r="C186" i="35"/>
  <c r="K185" i="35"/>
  <c r="C185" i="35"/>
  <c r="K184" i="35"/>
  <c r="C184" i="35"/>
  <c r="K183" i="35"/>
  <c r="C183" i="35"/>
  <c r="K182" i="35"/>
  <c r="C182" i="35"/>
  <c r="K181" i="35"/>
  <c r="K180" i="35"/>
  <c r="K179" i="35"/>
  <c r="C179" i="35"/>
  <c r="K178" i="35"/>
  <c r="C178" i="35"/>
  <c r="K177" i="35"/>
  <c r="C177" i="35"/>
  <c r="K176" i="35"/>
  <c r="C176" i="35"/>
  <c r="K175" i="35"/>
  <c r="C175" i="35"/>
  <c r="K174" i="35"/>
  <c r="C174" i="35"/>
  <c r="K173" i="35"/>
  <c r="C173" i="35"/>
  <c r="K172" i="35"/>
  <c r="C172" i="35"/>
  <c r="K171" i="35"/>
  <c r="C171" i="35"/>
  <c r="K170" i="35"/>
  <c r="C170" i="35"/>
  <c r="K169" i="35"/>
  <c r="K168" i="35"/>
  <c r="C168" i="35"/>
  <c r="K167" i="35"/>
  <c r="C167" i="35"/>
  <c r="K166" i="35"/>
  <c r="K165" i="35"/>
  <c r="K164" i="35"/>
  <c r="C164" i="35"/>
  <c r="K163" i="35"/>
  <c r="C163" i="35"/>
  <c r="K162" i="35"/>
  <c r="K161" i="35"/>
  <c r="C161" i="35"/>
  <c r="K160" i="35"/>
  <c r="K159" i="35"/>
  <c r="C159" i="35"/>
  <c r="K158" i="35"/>
  <c r="C158" i="35"/>
  <c r="K157" i="35"/>
  <c r="K156" i="35"/>
  <c r="C156" i="35"/>
  <c r="K155" i="35"/>
  <c r="K154" i="35"/>
  <c r="C154" i="35"/>
  <c r="K153" i="35"/>
  <c r="C153" i="35"/>
  <c r="K152" i="35"/>
  <c r="C152" i="35"/>
  <c r="K151" i="35"/>
  <c r="C151" i="35"/>
  <c r="K150" i="35"/>
  <c r="K149" i="35"/>
  <c r="C149" i="35"/>
  <c r="K148" i="35"/>
  <c r="C148" i="35"/>
  <c r="K147" i="35"/>
  <c r="C147" i="35"/>
  <c r="K146" i="35"/>
  <c r="C146" i="35"/>
  <c r="K145" i="35"/>
  <c r="C145" i="35"/>
  <c r="K144" i="35"/>
  <c r="C144" i="35"/>
  <c r="K143" i="35"/>
  <c r="C143" i="35"/>
  <c r="K142" i="35"/>
  <c r="C142" i="35"/>
  <c r="K141" i="35"/>
  <c r="C141" i="35"/>
  <c r="K140" i="35"/>
  <c r="C140" i="35"/>
  <c r="K139" i="35"/>
  <c r="C139" i="35"/>
  <c r="K138" i="35"/>
  <c r="C138" i="35"/>
  <c r="K137" i="35"/>
  <c r="C137" i="35"/>
  <c r="K136" i="35"/>
  <c r="C136" i="35"/>
  <c r="K135" i="35"/>
  <c r="C135" i="35"/>
  <c r="K134" i="35"/>
  <c r="C134" i="35"/>
  <c r="K133" i="35"/>
  <c r="K132" i="35"/>
  <c r="C132" i="35"/>
  <c r="K131" i="35"/>
  <c r="C131" i="35"/>
  <c r="K130" i="35"/>
  <c r="K129" i="35"/>
  <c r="C129" i="35"/>
  <c r="K128" i="35"/>
  <c r="K127" i="35"/>
  <c r="C127" i="35"/>
  <c r="K126" i="35"/>
  <c r="F126" i="35"/>
  <c r="K125" i="35"/>
  <c r="C125" i="35"/>
  <c r="K124" i="35"/>
  <c r="C124" i="35"/>
  <c r="K123" i="35"/>
  <c r="C123" i="35"/>
  <c r="K122" i="35"/>
  <c r="C122" i="35"/>
  <c r="K121" i="35"/>
  <c r="K120" i="35"/>
  <c r="C120" i="35"/>
  <c r="K119" i="35"/>
  <c r="C119" i="35"/>
  <c r="K118" i="35"/>
  <c r="C118" i="35"/>
  <c r="K117" i="35"/>
  <c r="C117" i="35"/>
  <c r="K116" i="35"/>
  <c r="C116" i="35"/>
  <c r="K115" i="35"/>
  <c r="C115" i="35"/>
  <c r="K114" i="35"/>
  <c r="C114" i="35"/>
  <c r="K113" i="35"/>
  <c r="C113" i="35"/>
  <c r="K112" i="35"/>
  <c r="C112" i="35"/>
  <c r="K111" i="35"/>
  <c r="C111" i="35"/>
  <c r="K110" i="35"/>
  <c r="C110" i="35"/>
  <c r="K109" i="35"/>
  <c r="C109" i="35"/>
  <c r="K108" i="35"/>
  <c r="C108" i="35"/>
  <c r="K107" i="35"/>
  <c r="K106" i="35"/>
  <c r="C106" i="35"/>
  <c r="K105" i="35"/>
  <c r="C105" i="35"/>
  <c r="K104" i="35"/>
  <c r="C104" i="35"/>
  <c r="K103" i="35"/>
  <c r="C103" i="35"/>
  <c r="K102" i="35"/>
  <c r="K101" i="35"/>
  <c r="C101" i="35"/>
  <c r="K100" i="35"/>
  <c r="C100" i="35"/>
  <c r="K99" i="35"/>
  <c r="C99" i="35"/>
  <c r="K98" i="35"/>
  <c r="K97" i="35"/>
  <c r="C97" i="35"/>
  <c r="K96" i="35"/>
  <c r="C96" i="35"/>
  <c r="K95" i="35"/>
  <c r="C95" i="35"/>
  <c r="K94" i="35"/>
  <c r="C94" i="35"/>
  <c r="K93" i="35"/>
  <c r="C93" i="35"/>
  <c r="K92" i="35"/>
  <c r="C92" i="35"/>
  <c r="K91" i="35"/>
  <c r="C91" i="35"/>
  <c r="K90" i="35"/>
  <c r="C90" i="35"/>
  <c r="K89" i="35"/>
  <c r="C89" i="35"/>
  <c r="K88" i="35"/>
  <c r="C88" i="35"/>
  <c r="K87" i="35"/>
  <c r="C87" i="35"/>
  <c r="K86" i="35"/>
  <c r="C86" i="35"/>
  <c r="K85" i="35"/>
  <c r="C85" i="35"/>
  <c r="K84" i="35"/>
  <c r="C84" i="35"/>
  <c r="K83" i="35"/>
  <c r="C83" i="35"/>
  <c r="K82" i="35"/>
  <c r="C82" i="35"/>
  <c r="K81" i="35"/>
  <c r="C81" i="35"/>
  <c r="K80" i="35"/>
  <c r="C80" i="35"/>
  <c r="K79" i="35"/>
  <c r="C79" i="35"/>
  <c r="K78" i="35"/>
  <c r="C78" i="35"/>
  <c r="K77" i="35"/>
  <c r="C77" i="35"/>
  <c r="K76" i="35"/>
  <c r="C76" i="35"/>
  <c r="K75" i="35"/>
  <c r="C75" i="35"/>
  <c r="K74" i="35"/>
  <c r="C74" i="35"/>
  <c r="K73" i="35"/>
  <c r="C73" i="35"/>
  <c r="K72" i="35"/>
  <c r="C72" i="35"/>
  <c r="K71" i="35"/>
  <c r="C71" i="35"/>
  <c r="K70" i="35"/>
  <c r="C70" i="35"/>
  <c r="K69" i="35"/>
  <c r="C69" i="35"/>
  <c r="K68" i="35"/>
  <c r="C68" i="35"/>
  <c r="K67" i="35"/>
  <c r="C67" i="35"/>
  <c r="K66" i="35"/>
  <c r="C66" i="35"/>
  <c r="K65" i="35"/>
  <c r="C65" i="35"/>
  <c r="K64" i="35"/>
  <c r="C64" i="35"/>
  <c r="K63" i="35"/>
  <c r="C63" i="35"/>
  <c r="K62" i="35"/>
  <c r="C62" i="35"/>
  <c r="K61" i="35"/>
  <c r="C61" i="35"/>
  <c r="K60" i="35"/>
  <c r="C60" i="35"/>
  <c r="K59" i="35"/>
  <c r="C59" i="35"/>
  <c r="K58" i="35"/>
  <c r="C58" i="35"/>
  <c r="K57" i="35"/>
  <c r="C57" i="35"/>
  <c r="K56" i="35"/>
  <c r="C56" i="35"/>
  <c r="K55" i="35"/>
  <c r="C55" i="35"/>
  <c r="K54" i="35"/>
  <c r="C54" i="35"/>
  <c r="K53" i="35"/>
  <c r="C53" i="35"/>
  <c r="K52" i="35"/>
  <c r="C52" i="35"/>
  <c r="K51" i="35"/>
  <c r="C51" i="35"/>
  <c r="K50" i="35"/>
  <c r="C50" i="35"/>
  <c r="K49" i="35"/>
  <c r="C49" i="35"/>
  <c r="K48" i="35"/>
  <c r="C48" i="35"/>
  <c r="K47" i="35"/>
  <c r="C47" i="35"/>
  <c r="K46" i="35"/>
  <c r="C46" i="35"/>
  <c r="K45" i="35"/>
  <c r="C45" i="35"/>
  <c r="K44" i="35"/>
  <c r="C44" i="35"/>
  <c r="K43" i="35"/>
  <c r="C43" i="35"/>
  <c r="K42" i="35"/>
  <c r="C42" i="35"/>
  <c r="K41" i="35"/>
  <c r="C41" i="35"/>
  <c r="K40" i="35"/>
  <c r="C40" i="35"/>
  <c r="K39" i="35"/>
  <c r="K38" i="35"/>
  <c r="C38" i="35"/>
  <c r="K37" i="35"/>
  <c r="C37" i="35"/>
  <c r="K36" i="35"/>
  <c r="C36" i="35"/>
  <c r="K35" i="35"/>
  <c r="K34" i="35"/>
  <c r="C34" i="35"/>
  <c r="K33" i="35"/>
  <c r="C33" i="35"/>
  <c r="K32" i="35"/>
  <c r="C32" i="35"/>
  <c r="K31" i="35"/>
  <c r="C31" i="35"/>
  <c r="K30" i="35"/>
  <c r="C30" i="35"/>
  <c r="K29" i="35"/>
  <c r="C29" i="35"/>
  <c r="K28" i="35"/>
  <c r="C28" i="35"/>
  <c r="K27" i="35"/>
  <c r="K26" i="35"/>
  <c r="K25" i="35"/>
  <c r="K24" i="35"/>
  <c r="K23" i="35"/>
  <c r="K22" i="35"/>
  <c r="K21" i="35"/>
  <c r="K20" i="35"/>
  <c r="K19" i="35"/>
  <c r="K18" i="35"/>
  <c r="K17" i="35"/>
  <c r="K16" i="35"/>
  <c r="K15" i="35"/>
  <c r="K14" i="35"/>
  <c r="K13" i="35"/>
  <c r="K12" i="35"/>
  <c r="K11" i="35"/>
  <c r="K10" i="35"/>
  <c r="K9" i="35"/>
  <c r="K8" i="35"/>
  <c r="K7" i="35"/>
  <c r="K6" i="35"/>
  <c r="C6" i="35"/>
  <c r="K5" i="35"/>
  <c r="C5" i="35"/>
  <c r="K4" i="35"/>
  <c r="C4" i="35"/>
  <c r="K3" i="35"/>
  <c r="C3" i="35"/>
  <c r="E66" i="1"/>
  <c r="E65" i="1"/>
  <c r="E59" i="1"/>
  <c r="F59" i="1"/>
  <c r="G59" i="1"/>
  <c r="H59" i="1"/>
  <c r="I59" i="1"/>
  <c r="D59" i="1" l="1"/>
  <c r="C59" i="1"/>
  <c r="B59" i="1"/>
  <c r="I392" i="1"/>
  <c r="H196" i="1"/>
  <c r="I357" i="1"/>
  <c r="I189" i="1"/>
  <c r="A312" i="1"/>
  <c r="I370" i="1"/>
  <c r="H309" i="1"/>
  <c r="A241" i="1"/>
  <c r="A301" i="1"/>
  <c r="I403" i="1"/>
  <c r="I300" i="1"/>
  <c r="A283" i="1"/>
  <c r="A296" i="1"/>
  <c r="H400" i="1"/>
  <c r="H255" i="1"/>
  <c r="A343" i="1"/>
  <c r="H234" i="1"/>
  <c r="I245" i="1"/>
  <c r="H197" i="1"/>
  <c r="I407" i="1"/>
  <c r="A316" i="1"/>
  <c r="H214" i="1"/>
  <c r="A331" i="1"/>
  <c r="H283" i="1"/>
  <c r="I333" i="1"/>
  <c r="I221" i="1"/>
  <c r="A191" i="1"/>
  <c r="I339" i="1"/>
  <c r="A242" i="1"/>
  <c r="A290" i="1"/>
  <c r="I185" i="1"/>
  <c r="H301" i="1"/>
  <c r="I214" i="1"/>
  <c r="I359" i="1"/>
  <c r="A182" i="1"/>
  <c r="H288" i="1"/>
  <c r="H328" i="1"/>
  <c r="H294" i="1"/>
  <c r="I330" i="1"/>
  <c r="H202" i="1"/>
  <c r="H379" i="1"/>
  <c r="I256" i="1"/>
  <c r="H329" i="1"/>
  <c r="I369" i="1"/>
  <c r="I386" i="1"/>
  <c r="A215" i="1"/>
  <c r="H334" i="1"/>
  <c r="A293" i="1"/>
  <c r="H362" i="1"/>
  <c r="I205" i="1"/>
  <c r="I201" i="1"/>
  <c r="I253" i="1"/>
  <c r="A254" i="1"/>
  <c r="A249" i="1"/>
  <c r="H260" i="1"/>
  <c r="I328" i="1"/>
  <c r="I361" i="1"/>
  <c r="H290" i="1"/>
  <c r="I367" i="1"/>
  <c r="I193" i="1"/>
  <c r="H402" i="1"/>
  <c r="I209" i="1"/>
  <c r="A253" i="1"/>
  <c r="A356" i="1"/>
  <c r="I172" i="1"/>
  <c r="H199" i="1"/>
  <c r="H364" i="1"/>
  <c r="H337" i="1"/>
  <c r="H190" i="1"/>
  <c r="I240" i="1"/>
  <c r="I326" i="1"/>
  <c r="H313" i="1"/>
  <c r="A255" i="1"/>
  <c r="A294" i="1"/>
  <c r="H324" i="1"/>
  <c r="H240" i="1"/>
  <c r="A302" i="1"/>
  <c r="A306" i="1"/>
  <c r="I388" i="1"/>
  <c r="H395" i="1"/>
  <c r="A363" i="1"/>
  <c r="A258" i="1"/>
  <c r="A355" i="1"/>
  <c r="H248" i="1"/>
  <c r="A181" i="1"/>
  <c r="I325" i="1"/>
  <c r="H239" i="1"/>
  <c r="H225" i="1"/>
  <c r="H410" i="1"/>
  <c r="A268" i="1"/>
  <c r="H216" i="1"/>
  <c r="A262" i="1"/>
  <c r="H351" i="1"/>
  <c r="H250" i="1"/>
  <c r="I292" i="1"/>
  <c r="A210" i="1"/>
  <c r="A321" i="1"/>
  <c r="A362" i="1"/>
  <c r="A188" i="1"/>
  <c r="A172" i="1"/>
  <c r="H391" i="1"/>
  <c r="H376" i="1"/>
  <c r="H368" i="1"/>
  <c r="H210" i="1"/>
  <c r="A222" i="1"/>
  <c r="A235" i="1"/>
  <c r="H219" i="1"/>
  <c r="H242" i="1"/>
  <c r="A369" i="1"/>
  <c r="H342" i="1"/>
  <c r="A247" i="1"/>
  <c r="H384" i="1"/>
  <c r="I400" i="1"/>
  <c r="A176" i="1"/>
  <c r="I282" i="1"/>
  <c r="I177" i="1"/>
  <c r="H265" i="1"/>
  <c r="H249" i="1"/>
  <c r="A212" i="1"/>
  <c r="A196" i="1"/>
  <c r="I401" i="1"/>
  <c r="I316" i="1"/>
  <c r="H189" i="1"/>
  <c r="H217" i="1"/>
  <c r="H353" i="1"/>
  <c r="A226" i="1"/>
  <c r="A239" i="1"/>
  <c r="H378" i="1"/>
  <c r="H254" i="1"/>
  <c r="H314" i="1"/>
  <c r="I334" i="1"/>
  <c r="I170" i="1"/>
  <c r="H317" i="1"/>
  <c r="I224" i="1"/>
  <c r="I373" i="1"/>
  <c r="A382" i="1"/>
  <c r="I174" i="1"/>
  <c r="H392" i="1"/>
  <c r="I356" i="1"/>
  <c r="A234" i="1"/>
  <c r="A329" i="1"/>
  <c r="H355" i="1"/>
  <c r="H224" i="1"/>
  <c r="A346" i="1"/>
  <c r="I204" i="1"/>
  <c r="A166" i="1"/>
  <c r="H398" i="1"/>
  <c r="H215" i="1"/>
  <c r="I363" i="1"/>
  <c r="H175" i="1"/>
  <c r="A337" i="1"/>
  <c r="A366" i="1"/>
  <c r="A381" i="1"/>
  <c r="A385" i="1"/>
  <c r="H179" i="1"/>
  <c r="H333" i="1"/>
  <c r="I315" i="1"/>
  <c r="A368" i="1"/>
  <c r="H263" i="1"/>
  <c r="H231" i="1"/>
  <c r="H349" i="1"/>
  <c r="A186" i="1"/>
  <c r="A207" i="1"/>
  <c r="I382" i="1"/>
  <c r="A376" i="1"/>
  <c r="A261" i="1"/>
  <c r="H203" i="1"/>
  <c r="H195" i="1"/>
  <c r="H371" i="1"/>
  <c r="A308" i="1"/>
  <c r="H280" i="1"/>
  <c r="A373" i="1"/>
  <c r="H165" i="1"/>
  <c r="I246" i="1"/>
  <c r="I350" i="1"/>
  <c r="A383" i="1"/>
  <c r="A330" i="1"/>
  <c r="A345" i="1"/>
  <c r="A375" i="1"/>
  <c r="H230" i="1"/>
  <c r="A310" i="1"/>
  <c r="H222" i="1"/>
  <c r="I387" i="1"/>
  <c r="H332" i="1"/>
  <c r="I244" i="1"/>
  <c r="I217" i="1"/>
  <c r="H246" i="1"/>
  <c r="H229" i="1"/>
  <c r="I280" i="1"/>
  <c r="H223" i="1"/>
  <c r="A354" i="1"/>
  <c r="I389" i="1"/>
  <c r="H284" i="1"/>
  <c r="A248" i="1"/>
  <c r="A342" i="1"/>
  <c r="I235" i="1"/>
  <c r="I353" i="1"/>
  <c r="I299" i="1"/>
  <c r="H171" i="1"/>
  <c r="I379" i="1"/>
  <c r="A351" i="1"/>
  <c r="A256" i="1"/>
  <c r="I266" i="1"/>
  <c r="I402" i="1"/>
  <c r="I305" i="1"/>
  <c r="H302" i="1"/>
  <c r="I408" i="1"/>
  <c r="I267" i="1"/>
  <c r="A184" i="1"/>
  <c r="A326" i="1"/>
  <c r="H174" i="1"/>
  <c r="I308" i="1"/>
  <c r="H232" i="1"/>
  <c r="A307" i="1"/>
  <c r="A174" i="1"/>
  <c r="I220" i="1"/>
  <c r="I234" i="1"/>
  <c r="I227" i="1"/>
  <c r="I320" i="1"/>
  <c r="A185" i="1"/>
  <c r="I247" i="1"/>
  <c r="H299" i="1"/>
  <c r="I179" i="1"/>
  <c r="H344" i="1"/>
  <c r="I194" i="1"/>
  <c r="I166" i="1"/>
  <c r="I336" i="1"/>
  <c r="A286" i="1"/>
  <c r="H336" i="1"/>
  <c r="A175" i="1"/>
  <c r="H406" i="1"/>
  <c r="I212" i="1"/>
  <c r="A231" i="1"/>
  <c r="H408" i="1"/>
  <c r="I261" i="1"/>
  <c r="I293" i="1"/>
  <c r="H381" i="1"/>
  <c r="A338" i="1"/>
  <c r="H340" i="1"/>
  <c r="H387" i="1"/>
  <c r="H365" i="1"/>
  <c r="I260" i="1"/>
  <c r="H178" i="1"/>
  <c r="I180" i="1"/>
  <c r="H185" i="1"/>
  <c r="I321" i="1"/>
  <c r="I317" i="1"/>
  <c r="A216" i="1"/>
  <c r="H386" i="1"/>
  <c r="H201" i="1"/>
  <c r="A245" i="1"/>
  <c r="A168" i="1"/>
  <c r="H350" i="1"/>
  <c r="I183" i="1"/>
  <c r="A347" i="1"/>
  <c r="I284" i="1"/>
  <c r="H389" i="1"/>
  <c r="H399" i="1"/>
  <c r="A352" i="1"/>
  <c r="H409" i="1"/>
  <c r="H262" i="1"/>
  <c r="H321" i="1"/>
  <c r="H180" i="1"/>
  <c r="I182" i="1"/>
  <c r="I383" i="1"/>
  <c r="I397" i="1"/>
  <c r="A194" i="1"/>
  <c r="I380" i="1"/>
  <c r="I219" i="1"/>
  <c r="I375" i="1"/>
  <c r="H168" i="1"/>
  <c r="A218" i="1"/>
  <c r="I348" i="1"/>
  <c r="I301" i="1"/>
  <c r="A314" i="1"/>
  <c r="H258" i="1"/>
  <c r="A236" i="1"/>
  <c r="I254" i="1"/>
  <c r="I302" i="1"/>
  <c r="A285" i="1"/>
  <c r="I327" i="1"/>
  <c r="H383" i="1"/>
  <c r="I338" i="1"/>
  <c r="H212" i="1"/>
  <c r="A339" i="1"/>
  <c r="A380" i="1"/>
  <c r="I173" i="1"/>
  <c r="H245" i="1"/>
  <c r="H296" i="1"/>
  <c r="I289" i="1"/>
  <c r="I252" i="1"/>
  <c r="I345" i="1"/>
  <c r="H320" i="1"/>
  <c r="A240" i="1"/>
  <c r="H341" i="1"/>
  <c r="I404" i="1"/>
  <c r="I329" i="1"/>
  <c r="A202" i="1"/>
  <c r="H361" i="1"/>
  <c r="A244" i="1"/>
  <c r="H237" i="1"/>
  <c r="I372" i="1"/>
  <c r="H256" i="1"/>
  <c r="A379" i="1"/>
  <c r="I216" i="1"/>
  <c r="H291" i="1"/>
  <c r="H209" i="1"/>
  <c r="A206" i="1"/>
  <c r="I378" i="1"/>
  <c r="H192" i="1"/>
  <c r="H194" i="1"/>
  <c r="A224" i="1"/>
  <c r="I354" i="1"/>
  <c r="I398" i="1"/>
  <c r="A246" i="1"/>
  <c r="I411" i="1"/>
  <c r="I210" i="1"/>
  <c r="A303" i="1"/>
  <c r="H285" i="1"/>
  <c r="H411" i="1"/>
  <c r="I255" i="1"/>
  <c r="H211" i="1"/>
  <c r="A284" i="1"/>
  <c r="A220" i="1"/>
  <c r="A360" i="1"/>
  <c r="A292" i="1"/>
  <c r="I410" i="1"/>
  <c r="I265" i="1"/>
  <c r="I319" i="1"/>
  <c r="H297" i="1"/>
  <c r="H295" i="1"/>
  <c r="A336" i="1"/>
  <c r="I351" i="1"/>
  <c r="I230" i="1"/>
  <c r="H367" i="1"/>
  <c r="A165" i="1"/>
  <c r="A323" i="1"/>
  <c r="H396" i="1"/>
  <c r="H244" i="1"/>
  <c r="I347" i="1"/>
  <c r="A189" i="1"/>
  <c r="I406" i="1"/>
  <c r="H235" i="1"/>
  <c r="I304" i="1"/>
  <c r="I364" i="1"/>
  <c r="I207" i="1"/>
  <c r="I236" i="1"/>
  <c r="H327" i="1"/>
  <c r="A263" i="1"/>
  <c r="I312" i="1"/>
  <c r="H390" i="1"/>
  <c r="I206" i="1"/>
  <c r="I298" i="1"/>
  <c r="I203" i="1"/>
  <c r="I208" i="1"/>
  <c r="A335" i="1"/>
  <c r="I233" i="1"/>
  <c r="A211" i="1"/>
  <c r="H200" i="1"/>
  <c r="I232" i="1"/>
  <c r="A384" i="1"/>
  <c r="I229" i="1"/>
  <c r="H198" i="1"/>
  <c r="A233" i="1"/>
  <c r="H375" i="1"/>
  <c r="H325" i="1"/>
  <c r="H401" i="1"/>
  <c r="A252" i="1"/>
  <c r="I243" i="1"/>
  <c r="H412" i="1"/>
  <c r="I258" i="1"/>
  <c r="I197" i="1"/>
  <c r="H259" i="1"/>
  <c r="H289" i="1"/>
  <c r="I248" i="1"/>
  <c r="A298" i="1"/>
  <c r="A223" i="1"/>
  <c r="H369" i="1"/>
  <c r="A304" i="1"/>
  <c r="A282" i="1"/>
  <c r="I165" i="1"/>
  <c r="A305" i="1"/>
  <c r="A315" i="1"/>
  <c r="I176" i="1"/>
  <c r="A237" i="1"/>
  <c r="I318" i="1"/>
  <c r="A193" i="1"/>
  <c r="H243" i="1"/>
  <c r="A180" i="1"/>
  <c r="I303" i="1"/>
  <c r="H264" i="1"/>
  <c r="H335" i="1"/>
  <c r="I306" i="1"/>
  <c r="I322" i="1"/>
  <c r="H345" i="1"/>
  <c r="A177" i="1"/>
  <c r="A378" i="1"/>
  <c r="H370" i="1"/>
  <c r="I390" i="1"/>
  <c r="H405" i="1"/>
  <c r="I187" i="1"/>
  <c r="H397" i="1"/>
  <c r="H372" i="1"/>
  <c r="I226" i="1"/>
  <c r="A208" i="1"/>
  <c r="I360" i="1"/>
  <c r="I290" i="1"/>
  <c r="I191" i="1"/>
  <c r="I231" i="1"/>
  <c r="A377" i="1"/>
  <c r="I251" i="1"/>
  <c r="I168" i="1"/>
  <c r="I263" i="1"/>
  <c r="A281" i="1"/>
  <c r="I294" i="1"/>
  <c r="A325" i="1"/>
  <c r="H307" i="1"/>
  <c r="A266" i="1"/>
  <c r="H298" i="1"/>
  <c r="I281" i="1"/>
  <c r="A359" i="1"/>
  <c r="A289" i="1"/>
  <c r="H241" i="1"/>
  <c r="A199" i="1"/>
  <c r="A228" i="1"/>
  <c r="H286" i="1"/>
  <c r="H305" i="1"/>
  <c r="I412" i="1"/>
  <c r="A387" i="1"/>
  <c r="H404" i="1"/>
  <c r="H252" i="1"/>
  <c r="I238" i="1"/>
  <c r="I242" i="1"/>
  <c r="I310" i="1"/>
  <c r="A374" i="1"/>
  <c r="H238" i="1"/>
  <c r="I340" i="1"/>
  <c r="H181" i="1"/>
  <c r="H184" i="1"/>
  <c r="I218" i="1"/>
  <c r="H213" i="1"/>
  <c r="A320" i="1"/>
  <c r="I249" i="1"/>
  <c r="I250" i="1"/>
  <c r="A260" i="1"/>
  <c r="A324" i="1"/>
  <c r="I409" i="1"/>
  <c r="H339" i="1"/>
  <c r="H191" i="1"/>
  <c r="I337" i="1"/>
  <c r="I391" i="1"/>
  <c r="I264" i="1"/>
  <c r="I184" i="1"/>
  <c r="I190" i="1"/>
  <c r="I377" i="1"/>
  <c r="I195" i="1"/>
  <c r="A205" i="1"/>
  <c r="A204" i="1"/>
  <c r="A349" i="1"/>
  <c r="H312" i="1"/>
  <c r="H236" i="1"/>
  <c r="I311" i="1"/>
  <c r="H366" i="1"/>
  <c r="H208" i="1"/>
  <c r="A264" i="1"/>
  <c r="A203" i="1"/>
  <c r="I335" i="1"/>
  <c r="I342" i="1"/>
  <c r="H331" i="1"/>
  <c r="I199" i="1"/>
  <c r="H221" i="1"/>
  <c r="A299" i="1"/>
  <c r="I211" i="1"/>
  <c r="I241" i="1"/>
  <c r="H393" i="1"/>
  <c r="H169" i="1"/>
  <c r="I296" i="1"/>
  <c r="H373" i="1"/>
  <c r="A259" i="1"/>
  <c r="H326" i="1"/>
  <c r="H261" i="1"/>
  <c r="I362" i="1"/>
  <c r="H282" i="1"/>
  <c r="H170" i="1"/>
  <c r="H303" i="1"/>
  <c r="H347" i="1"/>
  <c r="H323" i="1"/>
  <c r="I371" i="1"/>
  <c r="I202" i="1"/>
  <c r="H226" i="1"/>
  <c r="A192" i="1"/>
  <c r="A243" i="1"/>
  <c r="A173" i="1"/>
  <c r="I344" i="1"/>
  <c r="H188" i="1"/>
  <c r="I394" i="1"/>
  <c r="I239" i="1"/>
  <c r="H352" i="1"/>
  <c r="H247" i="1"/>
  <c r="I307" i="1"/>
  <c r="A227" i="1"/>
  <c r="A344" i="1"/>
  <c r="A250" i="1"/>
  <c r="I343" i="1"/>
  <c r="A371" i="1"/>
  <c r="I228" i="1"/>
  <c r="I181" i="1"/>
  <c r="H380" i="1"/>
  <c r="I192" i="1"/>
  <c r="A357" i="1"/>
  <c r="I213" i="1"/>
  <c r="H377" i="1"/>
  <c r="A170" i="1"/>
  <c r="A367" i="1"/>
  <c r="A229" i="1"/>
  <c r="A179" i="1"/>
  <c r="H316" i="1"/>
  <c r="I309" i="1"/>
  <c r="H177" i="1"/>
  <c r="A198" i="1"/>
  <c r="A190" i="1"/>
  <c r="A209" i="1"/>
  <c r="A217" i="1"/>
  <c r="H205" i="1"/>
  <c r="I171" i="1"/>
  <c r="A358" i="1"/>
  <c r="A251" i="1"/>
  <c r="I259" i="1"/>
  <c r="H310" i="1"/>
  <c r="H204" i="1"/>
  <c r="H281" i="1"/>
  <c r="A197" i="1"/>
  <c r="H348" i="1"/>
  <c r="H176" i="1"/>
  <c r="I332" i="1"/>
  <c r="I222" i="1"/>
  <c r="A313" i="1"/>
  <c r="A297" i="1"/>
  <c r="A200" i="1"/>
  <c r="A267" i="1"/>
  <c r="I374" i="1"/>
  <c r="I225" i="1"/>
  <c r="H166" i="1"/>
  <c r="I365" i="1"/>
  <c r="A169" i="1"/>
  <c r="I283" i="1"/>
  <c r="A318" i="1"/>
  <c r="A265" i="1"/>
  <c r="A333" i="1"/>
  <c r="H319" i="1"/>
  <c r="A214" i="1"/>
  <c r="I376" i="1"/>
  <c r="H394" i="1"/>
  <c r="A370" i="1"/>
  <c r="H374" i="1"/>
  <c r="I285" i="1"/>
  <c r="H167" i="1"/>
  <c r="H251" i="1"/>
  <c r="I355" i="1"/>
  <c r="H292" i="1"/>
  <c r="A225" i="1"/>
  <c r="H227" i="1"/>
  <c r="H338" i="1"/>
  <c r="I331" i="1"/>
  <c r="I323" i="1"/>
  <c r="A334" i="1"/>
  <c r="A178" i="1"/>
  <c r="H293" i="1"/>
  <c r="H206" i="1"/>
  <c r="I186" i="1"/>
  <c r="A322" i="1"/>
  <c r="A291" i="1"/>
  <c r="A187" i="1"/>
  <c r="H330" i="1"/>
  <c r="I167" i="1"/>
  <c r="I188" i="1"/>
  <c r="H311" i="1"/>
  <c r="A171" i="1"/>
  <c r="A353" i="1"/>
  <c r="I215" i="1"/>
  <c r="H304" i="1"/>
  <c r="I368" i="1"/>
  <c r="I396" i="1"/>
  <c r="A328" i="1"/>
  <c r="H173" i="1"/>
  <c r="A183" i="1"/>
  <c r="H267" i="1"/>
  <c r="A219" i="1"/>
  <c r="A287" i="1"/>
  <c r="I346" i="1"/>
  <c r="H403" i="1"/>
  <c r="I287" i="1"/>
  <c r="H182" i="1"/>
  <c r="H382" i="1"/>
  <c r="I385" i="1"/>
  <c r="A364" i="1"/>
  <c r="A201" i="1"/>
  <c r="I175" i="1"/>
  <c r="H359" i="1"/>
  <c r="A232" i="1"/>
  <c r="I295" i="1"/>
  <c r="I288" i="1"/>
  <c r="A295" i="1"/>
  <c r="I314" i="1"/>
  <c r="H315" i="1"/>
  <c r="A311" i="1"/>
  <c r="A327" i="1"/>
  <c r="I341" i="1"/>
  <c r="A300" i="1"/>
  <c r="I381" i="1"/>
  <c r="H354" i="1"/>
  <c r="I352" i="1"/>
  <c r="I313" i="1"/>
  <c r="I198" i="1"/>
  <c r="A341" i="1"/>
  <c r="H407" i="1"/>
  <c r="H207" i="1"/>
  <c r="H346" i="1"/>
  <c r="A319" i="1"/>
  <c r="A361" i="1"/>
  <c r="H357" i="1"/>
  <c r="H172" i="1"/>
  <c r="H220" i="1"/>
  <c r="I297" i="1"/>
  <c r="I200" i="1"/>
  <c r="I393" i="1"/>
  <c r="A365" i="1"/>
  <c r="H257" i="1"/>
  <c r="I349" i="1"/>
  <c r="A288" i="1"/>
  <c r="H356" i="1"/>
  <c r="I324" i="1"/>
  <c r="H343" i="1"/>
  <c r="A309" i="1"/>
  <c r="I169" i="1"/>
  <c r="H228" i="1"/>
  <c r="A167" i="1"/>
  <c r="H385" i="1"/>
  <c r="I405" i="1"/>
  <c r="A340" i="1"/>
  <c r="I257" i="1"/>
  <c r="H187" i="1"/>
  <c r="A257" i="1"/>
  <c r="I395" i="1"/>
  <c r="H308" i="1"/>
  <c r="I178" i="1"/>
  <c r="H266" i="1"/>
  <c r="I358" i="1"/>
  <c r="H183" i="1"/>
  <c r="H358" i="1"/>
  <c r="A195" i="1"/>
  <c r="H193" i="1"/>
  <c r="A372" i="1"/>
  <c r="A238" i="1"/>
  <c r="H186" i="1"/>
  <c r="H306" i="1"/>
  <c r="I196" i="1"/>
  <c r="H253" i="1"/>
  <c r="A280" i="1"/>
  <c r="H233" i="1"/>
  <c r="I223" i="1"/>
  <c r="A350" i="1"/>
  <c r="H287" i="1"/>
  <c r="H218" i="1"/>
  <c r="I262" i="1"/>
  <c r="A332" i="1"/>
  <c r="A230" i="1"/>
  <c r="H388" i="1"/>
  <c r="I399" i="1"/>
  <c r="I291" i="1"/>
  <c r="A386" i="1"/>
  <c r="H360" i="1"/>
  <c r="A213" i="1"/>
  <c r="I286" i="1"/>
  <c r="I237" i="1"/>
  <c r="A348" i="1"/>
  <c r="H363" i="1"/>
  <c r="H322" i="1"/>
  <c r="I384" i="1"/>
  <c r="H318" i="1"/>
  <c r="A317" i="1"/>
  <c r="I366" i="1"/>
  <c r="H3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Laundre</author>
    <author>jiml</author>
    <author xml:space="preserve"> Jim Laundre</author>
    <author>James Laundre</author>
    <author>powell</author>
    <author>Jim Laundre</author>
    <author>ruggem</author>
    <author>Field Description</author>
  </authors>
  <commentList>
    <comment ref="A2" authorId="0" shapeId="0" xr:uid="{00000000-0006-0000-0000-000001000000}">
      <text>
        <r>
          <rPr>
            <sz val="8"/>
            <color indexed="81"/>
            <rFont val="Tahoma"/>
            <family val="2"/>
          </rPr>
          <t>A unique number assigned by the Information Manager 
for use with  Metacat server.  You DO NOT need to enter anything.</t>
        </r>
      </text>
    </comment>
    <comment ref="A3" authorId="0" shapeId="0" xr:uid="{00000000-0006-0000-0000-000002000000}">
      <text>
        <r>
          <rPr>
            <sz val="8"/>
            <color indexed="81"/>
            <rFont val="Tahoma"/>
            <family val="2"/>
          </rPr>
          <t>Year of public release of the data. Filled out by the Information Manager.
  You DO NOT need to enter anything.</t>
        </r>
      </text>
    </comment>
    <comment ref="A4" authorId="1" shapeId="0" xr:uid="{00000000-0006-0000-0000-000003000000}">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shapeId="0" xr:uid="{00000000-0006-0000-0000-000004000000}">
      <text>
        <r>
          <rPr>
            <b/>
            <sz val="10"/>
            <color indexed="81"/>
            <rFont val="Tahoma"/>
            <family val="2"/>
          </rPr>
          <t>A title for the dataset.  It should be less then 200 characters 
long and should describe the data collected, geographic context, 
research site, and time frame (</t>
        </r>
        <r>
          <rPr>
            <b/>
            <sz val="10"/>
            <color indexed="10"/>
            <rFont val="Tahoma"/>
            <family val="2"/>
          </rPr>
          <t>what, where, and when</t>
        </r>
        <r>
          <rPr>
            <b/>
            <sz val="10"/>
            <color indexed="81"/>
            <rFont val="Tahoma"/>
            <family val="2"/>
          </rPr>
          <t>).</t>
        </r>
        <r>
          <rPr>
            <sz val="10"/>
            <color indexed="81"/>
            <rFont val="Tahoma"/>
            <family val="2"/>
          </rPr>
          <t xml:space="preserve">
For example: Soluble reactive phosphorus, ammonium, and nitrate data from the Kuparuk River, near Toolik Field Station, Alaska, summers 1990-2010.</t>
        </r>
      </text>
    </comment>
    <comment ref="B5" authorId="0" shapeId="0" xr:uid="{B97A09FD-4A7D-48B6-A2A0-AC0171FCC7D5}">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shapeId="0" xr:uid="{00000000-0006-0000-0000-000006000000}">
      <text>
        <r>
          <rPr>
            <b/>
            <sz val="10"/>
            <color indexed="81"/>
            <rFont val="Tahoma"/>
            <family val="2"/>
          </rPr>
          <t>Short, accurate explanation of the data set. Be informative since this is
used as the description in the web page index and for searching. Double click on the box 
to write or paste the information.</t>
        </r>
        <r>
          <rPr>
            <b/>
            <sz val="8"/>
            <color indexed="81"/>
            <rFont val="Tahoma"/>
            <family val="2"/>
          </rPr>
          <t xml:space="preserve">  </t>
        </r>
        <r>
          <rPr>
            <sz val="8"/>
            <color indexed="81"/>
            <rFont val="Tahoma"/>
            <family val="2"/>
          </rPr>
          <t xml:space="preserve">
</t>
        </r>
      </text>
    </comment>
    <comment ref="B7" authorId="2" shapeId="0" xr:uid="{00000000-0006-0000-0000-000007000000}">
      <text>
        <r>
          <rPr>
            <b/>
            <sz val="8"/>
            <color indexed="81"/>
            <rFont val="Tahoma"/>
            <family val="2"/>
          </rPr>
          <t xml:space="preserve"> Enter a short, accurate explanation of the dataset in the box below. Be informative since it is used as the description in the web page index. </t>
        </r>
      </text>
    </comment>
    <comment ref="A27" authorId="0" shapeId="0" xr:uid="{00000000-0006-0000-0000-000008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27" authorId="0" shapeId="0" xr:uid="{00000000-0006-0000-0000-000009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29" authorId="3" shapeId="0" xr:uid="{00000000-0006-0000-0000-00000A000000}">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8" authorId="3" shapeId="0" xr:uid="{827E0B35-354A-4E66-8425-A9E3F8A48E10}">
      <text>
        <r>
          <rPr>
            <sz val="9"/>
            <color indexed="81"/>
            <rFont val="Tahoma"/>
            <family val="2"/>
          </rPr>
          <t>If the data sets had LTER support enter Yes and the funding metadata will be filled in by the information manager. Add any additional funding information in the cells below.</t>
        </r>
      </text>
    </comment>
    <comment ref="A47" authorId="3" shapeId="0" xr:uid="{00000000-0006-0000-0000-00001D000000}">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8" authorId="3" shapeId="0" xr:uid="{00000000-0006-0000-0000-00001E000000}">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8" authorId="1" shapeId="0" xr:uid="{8F604F65-21CA-4A9E-BD29-A5A90286407B}">
      <text>
        <r>
          <rPr>
            <b/>
            <sz val="9"/>
            <color indexed="81"/>
            <rFont val="Tahoma"/>
            <family val="2"/>
          </rPr>
          <t xml:space="preserve">The name of the sampling location or site number (from the official ARC LTER site list) see the "Sites" worksheet 
Or enter a new site here.
To display a short list enter the first letters of  a site  and then click the dropdown list.
 </t>
        </r>
      </text>
    </comment>
    <comment ref="C48" authorId="1" shapeId="0" xr:uid="{0A0FA660-3501-44E4-818C-FF0E6F6E2400}">
      <text>
        <r>
          <rPr>
            <b/>
            <sz val="9"/>
            <color indexed="81"/>
            <rFont val="Tahoma"/>
            <family val="2"/>
          </rPr>
          <t xml:space="preserve">The name of the sampling location or site number (from the official ARC LTER site list) see the "ARC LTER sites" worksheet Or enter a new site here.
</t>
        </r>
      </text>
    </comment>
    <comment ref="D48" authorId="1" shapeId="0" xr:uid="{B482CAB0-1282-4427-88F4-85AA28307AFF}">
      <text>
        <r>
          <rPr>
            <b/>
            <sz val="9"/>
            <color indexed="81"/>
            <rFont val="Tahoma"/>
            <family val="2"/>
          </rPr>
          <t xml:space="preserve">The name of the sampling location or site number (from the official ARC LTER site list) see the "ARC LTER sites" worksheet Or enter a new site here.
</t>
        </r>
      </text>
    </comment>
    <comment ref="E48" authorId="1" shapeId="0" xr:uid="{C9669E24-0266-43A2-A85F-49A7622A8E2B}">
      <text>
        <r>
          <rPr>
            <b/>
            <sz val="9"/>
            <color indexed="81"/>
            <rFont val="Tahoma"/>
            <family val="2"/>
          </rPr>
          <t xml:space="preserve">The name of the sampling location or site number (from the official ARC LTER site list) see the "ARC LTER sites" worksheet Or enter a new site here.
</t>
        </r>
      </text>
    </comment>
    <comment ref="F48" authorId="1" shapeId="0" xr:uid="{127CFBA0-AFC4-4D4D-A41C-2AA48EF55B01}">
      <text>
        <r>
          <rPr>
            <b/>
            <sz val="9"/>
            <color indexed="81"/>
            <rFont val="Tahoma"/>
            <family val="2"/>
          </rPr>
          <t xml:space="preserve">The name of the sampling location or site number (from the official ARC LTER site list) see the "ARC LTER sites" worksheet Or enter a new site here.
</t>
        </r>
      </text>
    </comment>
    <comment ref="G48" authorId="1" shapeId="0" xr:uid="{19856A16-1CA0-47F8-8BA8-284A6F4BB15C}">
      <text>
        <r>
          <rPr>
            <b/>
            <sz val="9"/>
            <color indexed="81"/>
            <rFont val="Tahoma"/>
            <family val="2"/>
          </rPr>
          <t xml:space="preserve">The name of the sampling location or site number (from the official ARC LTER site list) see the "ARC LTER sites" worksheet Or enter a new site here.
</t>
        </r>
      </text>
    </comment>
    <comment ref="H48" authorId="1" shapeId="0" xr:uid="{15413CBC-174B-4716-8416-F2C2CE05794B}">
      <text>
        <r>
          <rPr>
            <b/>
            <sz val="9"/>
            <color indexed="81"/>
            <rFont val="Tahoma"/>
            <family val="2"/>
          </rPr>
          <t xml:space="preserve">The name of the sampling location or site number (from the official ARC LTER site list) see the "ARC LTER sites" worksheet Or enter a new site here.
</t>
        </r>
      </text>
    </comment>
    <comment ref="I48" authorId="1" shapeId="0" xr:uid="{AC77CFA0-5351-4376-9060-4BF887807773}">
      <text>
        <r>
          <rPr>
            <b/>
            <sz val="9"/>
            <color indexed="81"/>
            <rFont val="Tahoma"/>
            <family val="2"/>
          </rPr>
          <t xml:space="preserve">The name of the sampling location or site number (from the official ARC LTER site list) see the "ARC LTER sites" worksheet Or enter a new site here.
</t>
        </r>
      </text>
    </comment>
    <comment ref="J48" authorId="1" shapeId="0" xr:uid="{EB6C0145-2D13-40B9-AD2C-132704703D0E}">
      <text>
        <r>
          <rPr>
            <b/>
            <sz val="9"/>
            <color indexed="81"/>
            <rFont val="Tahoma"/>
            <family val="2"/>
          </rPr>
          <t xml:space="preserve">The name of the sampling location or site number (from the official ARC LTER site list) see the "ARC LTER sites" worksheet Or enter a new site here.
</t>
        </r>
      </text>
    </comment>
    <comment ref="K48" authorId="1" shapeId="0" xr:uid="{DF558A00-7B34-4596-BFEE-B30E5300F4B9}">
      <text>
        <r>
          <rPr>
            <b/>
            <sz val="9"/>
            <color indexed="81"/>
            <rFont val="Tahoma"/>
            <family val="2"/>
          </rPr>
          <t xml:space="preserve">The name of the sampling location or site number (from the official ARC LTER site list) see the "ARC LTER sites" worksheet Or enter a new site here.
</t>
        </r>
      </text>
    </comment>
    <comment ref="L48" authorId="1" shapeId="0" xr:uid="{C8E73F59-8D3C-4B01-9241-93F21738E86B}">
      <text>
        <r>
          <rPr>
            <b/>
            <sz val="9"/>
            <color indexed="81"/>
            <rFont val="Tahoma"/>
            <family val="2"/>
          </rPr>
          <t xml:space="preserve">The name of the sampling location or site number (from the official ARC LTER site list) see the "ARC LTER sites" worksheet Or enter a new site here.
</t>
        </r>
      </text>
    </comment>
    <comment ref="M48" authorId="1" shapeId="0" xr:uid="{D9A278ED-8787-4F92-B4BB-F052FA1EC9C8}">
      <text>
        <r>
          <rPr>
            <b/>
            <sz val="9"/>
            <color indexed="81"/>
            <rFont val="Tahoma"/>
            <family val="2"/>
          </rPr>
          <t xml:space="preserve">The name of the sampling location or site number (from the official ARC LTER site list) see the "ARC LTER sites" worksheet Or enter a new site here.
</t>
        </r>
      </text>
    </comment>
    <comment ref="A49" authorId="4" shapeId="0" xr:uid="{00000000-0006-0000-0000-000020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9" authorId="4" shapeId="0" xr:uid="{3DADDC8F-613F-4EEF-8D21-ABA4E3AB39FE}">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9" authorId="4" shapeId="0" xr:uid="{7FA455EF-4A1B-4EA9-B4DD-28B7DE840215}">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9" authorId="4" shapeId="0" xr:uid="{727031BF-B585-4AED-8278-839D2EF7D16E}">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9" authorId="4" shapeId="0" xr:uid="{00000000-0006-0000-0000-000024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9" authorId="4" shapeId="0" xr:uid="{00000000-0006-0000-0000-000025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9" authorId="4" shapeId="0" xr:uid="{00000000-0006-0000-0000-000026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9" authorId="4" shapeId="0" xr:uid="{00000000-0006-0000-0000-000027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9" authorId="4" shapeId="0" xr:uid="{1D423BE9-375F-4C6B-BA43-14D7E9910E39}">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J49" authorId="4" shapeId="0" xr:uid="{3829EFBC-AE1E-4BB8-A065-FB685443291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K49" authorId="4" shapeId="0" xr:uid="{DC50566A-DE08-49A8-AB25-94D45DE59318}">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L49" authorId="4" shapeId="0" xr:uid="{4922030F-CBCA-4CBA-9301-FDE1D06E23AA}">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M49" authorId="4" shapeId="0" xr:uid="{2BAF76ED-A337-45F0-A5C0-B8AD527BEBA2}">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1" authorId="4" shapeId="0" xr:uid="{00000000-0006-0000-0000-000029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shapeId="0" xr:uid="{6E0D1F02-28EB-4B45-8A53-E65F1620778E}">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shapeId="0" xr:uid="{2595876B-8E61-4EFD-AF83-7293259725B1}">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shapeId="0" xr:uid="{CEA87FA7-0380-4408-B7C1-476C346DA59D}">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shapeId="0" xr:uid="{00000000-0006-0000-0000-00002D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shapeId="0" xr:uid="{00000000-0006-0000-0000-00002E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shapeId="0" xr:uid="{00000000-0006-0000-0000-00002F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shapeId="0" xr:uid="{00000000-0006-0000-0000-000030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shapeId="0" xr:uid="{00000000-0006-0000-0000-000031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shapeId="0" xr:uid="{CE2192FA-E0CB-459C-9B9D-8BE2CA96DF0D}">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shapeId="0" xr:uid="{690CD0DC-AA65-4F08-B804-490E07838AD8}">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shapeId="0" xr:uid="{EF8B31DA-366E-46B4-8E0F-31369AB0ACCA}">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shapeId="0" xr:uid="{00000000-0006-0000-0000-000035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shapeId="0" xr:uid="{00000000-0006-0000-0000-000036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shapeId="0" xr:uid="{00000000-0006-0000-0000-000037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shapeId="0" xr:uid="{00000000-0006-0000-0000-000038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shapeId="0" xr:uid="{00000000-0006-0000-0000-000039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3" authorId="4" shapeId="0" xr:uid="{BE1269EF-35BC-4727-B6CD-50469D04B043}">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3" authorId="4" shapeId="0" xr:uid="{5CDA9509-048A-4475-8BE9-CF420CA90F91}">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3" authorId="4" shapeId="0" xr:uid="{E32E749D-7D46-4F12-8D00-FD8236CA1B61}">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3" authorId="4" shapeId="0" xr:uid="{00000000-0006-0000-0000-00003D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3" authorId="4" shapeId="0" xr:uid="{00000000-0006-0000-0000-00003E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3" authorId="4" shapeId="0" xr:uid="{00000000-0006-0000-0000-00003F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3" authorId="4" shapeId="0" xr:uid="{00000000-0006-0000-0000-000040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4" authorId="4" shapeId="0" xr:uid="{00000000-0006-0000-0000-000041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4" authorId="4" shapeId="0" xr:uid="{1D4F5F21-1BA5-4DC4-BBEF-527DB747090E}">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4" authorId="4" shapeId="0" xr:uid="{885C418F-3E69-4178-9840-C76DA1C41D42}">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4" authorId="4" shapeId="0" xr:uid="{35DD96CC-4A2D-4951-88CE-5C37A15EE547}">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4" authorId="4" shapeId="0" xr:uid="{00000000-0006-0000-0000-000045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4" authorId="4" shapeId="0" xr:uid="{00000000-0006-0000-0000-000046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4" authorId="4" shapeId="0" xr:uid="{00000000-0006-0000-0000-000047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4" authorId="4" shapeId="0" xr:uid="{00000000-0006-0000-0000-000048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6" authorId="4" shapeId="0" xr:uid="{00000000-0006-0000-0000-000049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6" authorId="4" shapeId="0" xr:uid="{883198B4-A480-4390-A13B-B21B10384232}">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shapeId="0" xr:uid="{70674433-36AE-495B-9533-6D0A60068BB9}">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6" authorId="4" shapeId="0" xr:uid="{00000000-0006-0000-0000-00004D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6" authorId="4" shapeId="0" xr:uid="{00000000-0006-0000-0000-00004E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6" authorId="4" shapeId="0" xr:uid="{00000000-0006-0000-0000-00004F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6" authorId="4" shapeId="0" xr:uid="{00000000-0006-0000-0000-000050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I56" authorId="4" shapeId="0" xr:uid="{C02C4377-B99F-4696-AFEE-DBAE429BA266}">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7" authorId="4" shapeId="0" xr:uid="{00000000-0006-0000-0000-000051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shapeId="0" xr:uid="{A3AC9BFF-712E-4BA5-ADBC-BF613E505ADE}">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shapeId="0" xr:uid="{0BC0C686-96FE-40A6-A777-FB6BA60F09D5}">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7" authorId="4" shapeId="0" xr:uid="{00000000-0006-0000-0000-000055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7" authorId="4" shapeId="0" xr:uid="{00000000-0006-0000-0000-000056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7" authorId="4" shapeId="0" xr:uid="{00000000-0006-0000-0000-000057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7" authorId="4" shapeId="0" xr:uid="{00000000-0006-0000-0000-000058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I57" authorId="4" shapeId="0" xr:uid="{98822941-7A16-4410-8D71-F725B1279F28}">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shapeId="0" xr:uid="{2E1F4510-C274-43EC-8782-C84B5935C766}">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9" authorId="1" shapeId="0" xr:uid="{00000000-0006-0000-0000-00005A000000}">
      <text>
        <r>
          <rPr>
            <b/>
            <sz val="9"/>
            <color indexed="81"/>
            <rFont val="Tahoma"/>
            <family val="2"/>
          </rPr>
          <t>This link is generated by a formula using the lat long.  It's a way oc checking the values entered.</t>
        </r>
      </text>
    </comment>
    <comment ref="A62" authorId="5" shapeId="0" xr:uid="{00000000-0006-0000-0000-00005B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2" authorId="5" shapeId="0" xr:uid="{00000000-0006-0000-0000-00005C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5" authorId="3" shapeId="0" xr:uid="{00000000-0006-0000-0000-00005D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5" authorId="3" shapeId="0" xr:uid="{00000000-0006-0000-0000-00005E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C65" authorId="1" shapeId="0" xr:uid="{00000000-0006-0000-0000-00005F000000}">
      <text>
        <r>
          <rPr>
            <b/>
            <sz val="9"/>
            <color indexed="81"/>
            <rFont val="Tahoma"/>
            <family val="2"/>
          </rPr>
          <t>Leave this blank</t>
        </r>
        <r>
          <rPr>
            <sz val="9"/>
            <color indexed="81"/>
            <rFont val="Tahoma"/>
            <family val="2"/>
          </rPr>
          <t xml:space="preserve">. Any keywords not in the LTER Network controlled vocabulary will be separated out into an Artic LTER list.    
</t>
        </r>
      </text>
    </comment>
    <comment ref="A68" authorId="3" shapeId="0" xr:uid="{00000000-0006-0000-0000-000060000000}">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33" authorId="5" shapeId="0" xr:uid="{00000000-0006-0000-0000-000061000000}">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34" authorId="0" shapeId="0" xr:uid="{00000000-0006-0000-0000-000062000000}">
      <text>
        <r>
          <rPr>
            <b/>
            <sz val="8"/>
            <color indexed="81"/>
            <rFont val="Tahoma"/>
            <family val="2"/>
          </rPr>
          <t>List the URL to an online protocol document.</t>
        </r>
      </text>
    </comment>
    <comment ref="A136" authorId="0" shapeId="0" xr:uid="{00000000-0006-0000-0000-000063000000}">
      <text>
        <r>
          <rPr>
            <b/>
            <sz val="8"/>
            <color indexed="81"/>
            <rFont val="Tahoma"/>
            <family val="2"/>
          </rPr>
          <t>Describe the protocol used. Be as complete as possible.  Include any references and deviations used from references.</t>
        </r>
      </text>
    </comment>
    <comment ref="A141" authorId="0" shapeId="0" xr:uid="{D5D7FF59-9712-46F8-ADBD-80142A00FAA1}">
      <text>
        <r>
          <rPr>
            <b/>
            <sz val="10"/>
            <color indexed="81"/>
            <rFont val="Tahoma"/>
            <family val="2"/>
          </rPr>
          <t>Any non-tabular files to include in this data set, e.g. word, images, pdfs, kml, shape files. Use a ; to separated the file names.
Any tabular files should be described on this sheet.</t>
        </r>
        <r>
          <rPr>
            <sz val="10"/>
            <color indexed="81"/>
            <rFont val="Tahoma"/>
            <family val="2"/>
          </rPr>
          <t xml:space="preserve">
</t>
        </r>
      </text>
    </comment>
    <comment ref="B141" authorId="0" shapeId="0" xr:uid="{2ACA1D46-C8D0-4311-9026-54943AD737F2}">
      <text>
        <r>
          <rPr>
            <b/>
            <sz val="10"/>
            <color indexed="81"/>
            <rFont val="Tahoma"/>
            <family val="2"/>
          </rPr>
          <t>Any non-tabular files to include in this data set, e.g. word, images, pdfs, kml, shape files. Use a ; to separated the file names.
For example:
site_picture.jpg; google_earth.kml</t>
        </r>
        <r>
          <rPr>
            <sz val="10"/>
            <color indexed="81"/>
            <rFont val="Tahoma"/>
            <family val="2"/>
          </rPr>
          <t xml:space="preserve">
</t>
        </r>
      </text>
    </comment>
    <comment ref="B142" authorId="3" shapeId="0" xr:uid="{5968370C-9681-4EC8-B11D-B56D48517B95}">
      <text>
        <r>
          <rPr>
            <b/>
            <sz val="9"/>
            <color indexed="81"/>
            <rFont val="Tahoma"/>
            <family val="2"/>
          </rPr>
          <t>Enter a short description of the non-tabular files.  Separated the descriptions by a semicolon
For example:
Photo of experimental setup; Google Earth kml file showing the point locations of samples</t>
        </r>
      </text>
    </comment>
    <comment ref="A147" authorId="3" shapeId="0" xr:uid="{00000000-0006-0000-0000-00000B000000}">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text>
    </comment>
    <comment ref="A148" authorId="1" shapeId="0" xr:uid="{00000000-0006-0000-0000-00000C000000}">
      <text>
        <r>
          <rPr>
            <b/>
            <sz val="8"/>
            <color indexed="81"/>
            <rFont val="Tahoma"/>
            <family val="2"/>
          </rPr>
          <t>The URL for the data file that this metadata describes.  This will be fill in by the Information Manager.  You Do NOT need to fill in.</t>
        </r>
      </text>
    </comment>
    <comment ref="A149" authorId="3" shapeId="0" xr:uid="{00000000-0006-0000-0000-00000D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t>
        </r>
      </text>
    </comment>
    <comment ref="B149" authorId="0" shapeId="0" xr:uid="{C6148CB0-3A1D-461A-8955-3D43EFE3F8D6}">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50" authorId="3" shapeId="0" xr:uid="{00000000-0006-0000-0000-00000F000000}">
      <text>
        <r>
          <rPr>
            <b/>
            <sz val="8"/>
            <color indexed="81"/>
            <rFont val="Tahoma"/>
            <family val="2"/>
          </rPr>
          <t xml:space="preserve"> The date that data collection began for the dataset.</t>
        </r>
      </text>
    </comment>
    <comment ref="B150" authorId="3" shapeId="0" xr:uid="{00000000-0006-0000-0000-000010000000}">
      <text>
        <r>
          <rPr>
            <b/>
            <sz val="8"/>
            <color indexed="81"/>
            <rFont val="Tahoma"/>
            <family val="2"/>
          </rPr>
          <t xml:space="preserve"> The date that data collection began for the dataset.</t>
        </r>
      </text>
    </comment>
    <comment ref="A151" authorId="0" shapeId="0" xr:uid="{00000000-0006-0000-0000-000011000000}">
      <text>
        <r>
          <rPr>
            <b/>
            <sz val="8"/>
            <color indexed="81"/>
            <rFont val="Tahoma"/>
            <family val="2"/>
          </rPr>
          <t>The ending date of data collection.</t>
        </r>
        <r>
          <rPr>
            <sz val="8"/>
            <color indexed="81"/>
            <rFont val="Tahoma"/>
            <family val="2"/>
          </rPr>
          <t xml:space="preserve">
</t>
        </r>
      </text>
    </comment>
    <comment ref="B151" authorId="0" shapeId="0" xr:uid="{00000000-0006-0000-0000-000012000000}">
      <text>
        <r>
          <rPr>
            <b/>
            <sz val="8"/>
            <color indexed="81"/>
            <rFont val="Tahoma"/>
            <family val="2"/>
          </rPr>
          <t>The ending date of data collection.</t>
        </r>
        <r>
          <rPr>
            <sz val="8"/>
            <color indexed="81"/>
            <rFont val="Tahoma"/>
            <family val="2"/>
          </rPr>
          <t xml:space="preserve">
</t>
        </r>
      </text>
    </comment>
    <comment ref="A152" authorId="0" shapeId="0" xr:uid="{00000000-0006-0000-0000-000013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152" authorId="0" shapeId="0" xr:uid="{00000000-0006-0000-0000-000014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153" authorId="3" shapeId="0" xr:uid="{00000000-0006-0000-0000-000015000000}">
      <text>
        <r>
          <rPr>
            <b/>
            <sz val="8"/>
            <color indexed="81"/>
            <rFont val="Tahoma"/>
            <family val="2"/>
          </rPr>
          <t xml:space="preserve">Describes how the data may be used. Releasing without restriction (CC0) or with minimal attribution (CC BY).
</t>
        </r>
      </text>
    </comment>
    <comment ref="B153" authorId="3" shapeId="0" xr:uid="{00000000-0006-0000-0000-000016000000}">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154" authorId="4" shapeId="0" xr:uid="{00000000-0006-0000-0000-000019000000}">
      <text>
        <r>
          <rPr>
            <sz val="10"/>
            <color indexed="81"/>
            <rFont val="Calibri"/>
            <family val="2"/>
            <scheme val="minor"/>
          </rPr>
          <t>A description of the maintenance of this data resource. 
This includes information about the frequency of date, 
and whether there is ongoing data collection.</t>
        </r>
        <r>
          <rPr>
            <sz val="9"/>
            <color indexed="81"/>
            <rFont val="Tahoma"/>
            <family val="2"/>
          </rPr>
          <t xml:space="preserve"> </t>
        </r>
      </text>
    </comment>
    <comment ref="B154" authorId="4" shapeId="0" xr:uid="{00000000-0006-0000-0000-00001A000000}">
      <text>
        <r>
          <rPr>
            <sz val="8"/>
            <color indexed="81"/>
            <rFont val="Tahoma"/>
            <family val="2"/>
          </rPr>
          <t xml:space="preserve">A description of the maintenance of this data resource. 
This includes information about the frequency of update, 
and whether there is ongoing data collection. </t>
        </r>
      </text>
    </comment>
    <comment ref="A155" authorId="0" shapeId="0" xr:uid="{00000000-0006-0000-0000-00001B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155" authorId="0" shapeId="0" xr:uid="{00000000-0006-0000-0000-00001C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159" authorId="1" shapeId="0" xr:uid="{00000000-0006-0000-0000-000064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B159" authorId="1" shapeId="0" xr:uid="{00000000-0006-0000-0000-000065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A161" authorId="4" shapeId="0" xr:uid="{00000000-0006-0000-0000-000066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161" authorId="4" shapeId="0" xr:uid="{00000000-0006-0000-0000-000067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162" authorId="3" shapeId="0" xr:uid="{00000000-0006-0000-0000-000068000000}">
      <text>
        <r>
          <rPr>
            <b/>
            <sz val="8"/>
            <color indexed="81"/>
            <rFont val="Tahoma"/>
            <family val="2"/>
          </rPr>
          <t>This section describes the variables in the data set. Please be as complete as necessary.</t>
        </r>
      </text>
    </comment>
    <comment ref="A163" authorId="3" shapeId="0" xr:uid="{00000000-0006-0000-0000-000069000000}">
      <text>
        <r>
          <rPr>
            <b/>
            <sz val="10"/>
            <color indexed="10"/>
            <rFont val="Tahoma"/>
            <family val="2"/>
          </rPr>
          <t xml:space="preserve">If the above  'Name of Data Sheet' is filled in the formula will grab the first row variable names.  </t>
        </r>
        <r>
          <rPr>
            <sz val="10"/>
            <color indexed="81"/>
            <rFont val="Tahoma"/>
            <family val="2"/>
          </rPr>
          <t>Otherwise enter the names of the variable.  These</t>
        </r>
        <r>
          <rPr>
            <b/>
            <sz val="10"/>
            <color indexed="53"/>
            <rFont val="Tahoma"/>
            <family val="2"/>
          </rPr>
          <t xml:space="preserve"> MUST</t>
        </r>
        <r>
          <rPr>
            <sz val="10"/>
            <color indexed="81"/>
            <rFont val="Tahoma"/>
            <family val="2"/>
          </rPr>
          <t xml:space="preserve"> match the names in the first row of the data sheet.  
A convent way to ensure the names are the same is using copy, paste special, transpose.
Avoid using special characters (#$^&amp;%..) . 
A  Comments variable is useful to include any additional information about individual data points. 
All Comments for a data point can be no longer than 250 characters. 
The variable Site, a numerical 3-digit code, should be taken from the Site Name Code List (code for streams, code for lakes, code for terrestrial/landwater). If you have a new site that is not on the list,
 do not code it yourself; ask the data manager to add it to the master list. 
</t>
        </r>
        <r>
          <rPr>
            <b/>
            <sz val="10"/>
            <color indexed="81"/>
            <rFont val="Tahoma"/>
            <family val="2"/>
          </rPr>
          <t>Don't forget to fill in the appropriate columns to the right.</t>
        </r>
        <r>
          <rPr>
            <sz val="10"/>
            <color indexed="81"/>
            <rFont val="Tahoma"/>
            <family val="2"/>
          </rPr>
          <t xml:space="preserve"> Depending  on selected data type, cells that are gray do not need to be filled in.</t>
        </r>
        <r>
          <rPr>
            <sz val="8"/>
            <color indexed="81"/>
            <rFont val="Tahoma"/>
            <family val="2"/>
          </rPr>
          <t xml:space="preserve">
</t>
        </r>
      </text>
    </comment>
    <comment ref="B163" authorId="3" shapeId="0" xr:uid="{00000000-0006-0000-0000-00006A000000}">
      <text>
        <r>
          <rPr>
            <b/>
            <sz val="10"/>
            <color indexed="81"/>
            <rFont val="Tahoma"/>
            <family val="2"/>
          </rPr>
          <t>Variable Description is an explanation of what the Variable represents. 
Include details about the units, e.g. microgram of NH4-N per gram of oven dried soil.</t>
        </r>
      </text>
    </comment>
    <comment ref="C163" authorId="2" shapeId="0" xr:uid="{00000000-0006-0000-0000-00006B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63" authorId="4" shapeId="0" xr:uid="{00000000-0006-0000-0000-00006C000000}">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63" authorId="6" shapeId="0" xr:uid="{00000000-0006-0000-0000-00006D000000}">
      <text>
        <r>
          <rPr>
            <b/>
            <sz val="10"/>
            <color indexed="81"/>
            <rFont val="Tahoma"/>
            <family val="2"/>
          </rPr>
          <t xml:space="preserve">Date Time format field: </t>
        </r>
        <r>
          <rPr>
            <sz val="10"/>
            <color indexed="81"/>
            <rFont val="Tahoma"/>
            <family val="2"/>
          </rPr>
          <t>Enter the datetime format 
(ex.YYYYMMDD or YYYY-MM-DD) for variables that are Data Type - datetime.
Dates should be in the format  in the international date standard (ISO 8601), e.g. YYYY-MM-DD hh:mm:ss. 
Time in hours should be in 24 hour format (not AM or PM) and based on Alaska Standard Time, not Alaska Daylight Savings Time.
Valid format string components are: "Y" (Year), "M" (Month), "D" (Day), "h" (Hour), "m" (Minute), "s" (Second), Common separators of format string components (e.g. "-" "/" "\" ":"") are supported.</t>
        </r>
      </text>
    </comment>
    <comment ref="F163" authorId="7" shapeId="0" xr:uid="{FCCC2F72-C8B3-46DF-BD84-28CAA812422B}">
      <text>
        <r>
          <rPr>
            <b/>
            <sz val="10"/>
            <color indexed="81"/>
            <rFont val="Tahoma"/>
            <family val="2"/>
          </rPr>
          <t>For any variables that are coded, list the 
code = definitions pairs for codes used. 
Format the list as a semicolon separated list, e.g.:
MAT = Moist Acidic Tussock ; MNT = Moist Non-acidic Tussock.</t>
        </r>
      </text>
    </comment>
    <comment ref="G163" authorId="0" shapeId="0" xr:uid="{00000000-0006-0000-0000-00006F000000}">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63" authorId="1" shapeId="0" xr:uid="{00000000-0006-0000-0000-000070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63" authorId="1" shapeId="0" xr:uid="{00000000-0006-0000-0000-000071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 ref="J163" authorId="1" shapeId="0" xr:uid="{00000000-0006-0000-0000-000072000000}">
      <text>
        <r>
          <rPr>
            <sz val="10"/>
            <color indexed="81"/>
            <rFont val="Tahoma"/>
            <family val="2"/>
          </rPr>
          <t>The significant number of digits for a numeric variable.</t>
        </r>
        <r>
          <rPr>
            <sz val="9"/>
            <color indexed="81"/>
            <rFont val="Tahoma"/>
            <family val="2"/>
          </rPr>
          <t xml:space="preserve">
</t>
        </r>
      </text>
    </comment>
    <comment ref="B164" authorId="3" shapeId="0" xr:uid="{00000000-0006-0000-0000-000073000000}">
      <text>
        <r>
          <rPr>
            <b/>
            <sz val="10"/>
            <color indexed="81"/>
            <rFont val="Tahoma"/>
            <family val="2"/>
          </rPr>
          <t>Variable Description is an explanation of what the Variable represents. 
Include details about the units, e.g. microgram of NH4-N per gram of oven dried soil.</t>
        </r>
      </text>
    </comment>
    <comment ref="C164" authorId="2" shapeId="0" xr:uid="{00000000-0006-0000-0000-000074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64" authorId="4" shapeId="0" xr:uid="{C86C14D9-E43A-4EF4-940F-5881468A8FD6}">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64" authorId="6" shapeId="0" xr:uid="{E699E2CE-0B40-4133-BFEC-4EF2E4328651}">
      <text>
        <r>
          <rPr>
            <b/>
            <sz val="10"/>
            <color indexed="81"/>
            <rFont val="Tahoma"/>
            <family val="2"/>
          </rPr>
          <t xml:space="preserve">Date Time format field: </t>
        </r>
        <r>
          <rPr>
            <sz val="10"/>
            <color indexed="81"/>
            <rFont val="Tahoma"/>
            <family val="2"/>
          </rPr>
          <t>Enter the datetime format 
(ex.YYYYMMDD or YYYY-MM-DD) for variables that are Data Type - datetime.
Dates should be in the format  in the international date standard (ISO 8601), e.g. YYYY-MM-DD hh:mm:ss. 
Time in hours should be in 24 hour format (not AM or PM) and based on Alaska Standard Time, not Alaska Daylight Savings Time.
Valid format string components are: "Y" (Year), "M" (Month), "D" (Day), "h" (Hour), "m" (Minute), "s" (Second), Common separators of format string components (e.g. "-" "/" "\" ":"") are supported.</t>
        </r>
      </text>
    </comment>
    <comment ref="F164" authorId="7" shapeId="0" xr:uid="{00000000-0006-0000-0000-000077000000}">
      <text>
        <r>
          <rPr>
            <b/>
            <sz val="10"/>
            <color indexed="81"/>
            <rFont val="Tahoma"/>
            <family val="2"/>
          </rPr>
          <t>For any variables that are coded, list the 
code = definitions pairs for codes used. 
Format the list as a semicolon separated list, e.g.:
MAT = Moist Acidic Tussock ; MNT = Moist Non-acidic Tussock.</t>
        </r>
      </text>
    </comment>
    <comment ref="G164" authorId="0" shapeId="0" xr:uid="{D0DBC59F-BAA1-437D-9A22-5EFDC3EDEC55}">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64" authorId="1" shapeId="0" xr:uid="{00000000-0006-0000-0000-000079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64" authorId="1" shapeId="0" xr:uid="{00000000-0006-0000-0000-00007A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 ref="D182" authorId="4" shapeId="0" xr:uid="{4462F605-F6A0-4721-BC9A-DACACEC71356}">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83" authorId="4" shapeId="0" xr:uid="{71957E10-AC0D-4A7F-8DC3-8FA1A77252CF}">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87" authorId="4" shapeId="0" xr:uid="{298E384F-E477-4E57-B1E6-9DAD30C7E114}">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88" authorId="4" shapeId="0" xr:uid="{F995D2F1-144C-4113-B8CF-B86F2034CEC5}">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89" authorId="4" shapeId="0" xr:uid="{58C376BC-491C-4D54-8B27-7F9148D29BCE}">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0" authorId="4" shapeId="0" xr:uid="{95E89E9F-3FB2-40DE-837F-B3D378C36F03}">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1" authorId="4" shapeId="0" xr:uid="{8897FE22-45AF-4BFA-A828-DCC704024144}">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2" authorId="4" shapeId="0" xr:uid="{6EB26980-0E28-44E8-BF7C-C3C442940CEE}">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3" authorId="4" shapeId="0" xr:uid="{60AAEB79-5885-4BEE-9FCC-0DA9B424F3C0}">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4" authorId="4" shapeId="0" xr:uid="{C251E7BB-7B6F-48B0-9F4C-8E08E029AFFE}">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5" authorId="4" shapeId="0" xr:uid="{5BCD9900-5532-4710-86C6-634BDAD71A30}">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196" authorId="4" shapeId="0" xr:uid="{AA1B7EED-257F-4994-94C7-BC39E892839E}">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324" authorId="4" shapeId="0" xr:uid="{7900E16A-4993-465D-9EC6-C1F21B1D35C5}">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325" authorId="4" shapeId="0" xr:uid="{C47389B2-5A3B-4BDE-8481-37032D4B25FB}">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326" authorId="4" shapeId="0" xr:uid="{4D19AB7D-4248-4445-A147-ED77FDE13461}">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D327" authorId="4" shapeId="0" xr:uid="{44680138-A1EF-4094-B171-AEBBFB1B93D3}">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List>
</comments>
</file>

<file path=xl/sharedStrings.xml><?xml version="1.0" encoding="utf-8"?>
<sst xmlns="http://schemas.openxmlformats.org/spreadsheetml/2006/main" count="5596" uniqueCount="2542">
  <si>
    <t xml:space="preserve">DATASET ID: </t>
  </si>
  <si>
    <t>Metacat Package ID</t>
  </si>
  <si>
    <t>DATASET TITLE:</t>
  </si>
  <si>
    <t>Investigator 1</t>
  </si>
  <si>
    <t>Investigator 2</t>
  </si>
  <si>
    <t>Investigator 3</t>
  </si>
  <si>
    <t xml:space="preserve">First Name  </t>
  </si>
  <si>
    <t xml:space="preserve">Last Name  </t>
  </si>
  <si>
    <t>Data File Name</t>
  </si>
  <si>
    <t>Beginning Date</t>
  </si>
  <si>
    <t>End Date</t>
  </si>
  <si>
    <t>Number of Data Records</t>
  </si>
  <si>
    <t>Maintenance Description</t>
  </si>
  <si>
    <t>Log of Changes: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</si>
  <si>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</si>
  <si>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</si>
  <si>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</si>
  <si>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</si>
  <si>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</si>
  <si>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</si>
  <si>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</si>
  <si>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</si>
  <si>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</si>
  <si>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</si>
  <si>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 xml:space="preserve">KEYWORDS: </t>
  </si>
  <si>
    <t>ABSTRACT:</t>
  </si>
  <si>
    <t xml:space="preserve">METHODS: </t>
  </si>
  <si>
    <t xml:space="preserve">VARIABLE DESCRIPTIONS: </t>
  </si>
  <si>
    <t>Variable Name</t>
  </si>
  <si>
    <t>Variable Description</t>
  </si>
  <si>
    <t>Units</t>
  </si>
  <si>
    <t>DateTime Format</t>
  </si>
  <si>
    <t>Missing Value Code</t>
  </si>
  <si>
    <t>Unit Name</t>
  </si>
  <si>
    <t>amperePerMeter</t>
  </si>
  <si>
    <t>angstrom</t>
  </si>
  <si>
    <t>atmosphere</t>
  </si>
  <si>
    <t>bar</t>
  </si>
  <si>
    <t>calorie</t>
  </si>
  <si>
    <t>celsius</t>
  </si>
  <si>
    <t>centimeter</t>
  </si>
  <si>
    <t>centimeterPerYear</t>
  </si>
  <si>
    <t>decibar</t>
  </si>
  <si>
    <t>decigram</t>
  </si>
  <si>
    <t>decimeter</t>
  </si>
  <si>
    <t>decisecond</t>
  </si>
  <si>
    <t>degree</t>
  </si>
  <si>
    <t>dimensionless</t>
  </si>
  <si>
    <t>gram</t>
  </si>
  <si>
    <t>hectare</t>
  </si>
  <si>
    <t>henry</t>
  </si>
  <si>
    <t>hertz</t>
  </si>
  <si>
    <t>hour</t>
  </si>
  <si>
    <t>joule</t>
  </si>
  <si>
    <t>kelvin</t>
  </si>
  <si>
    <t>kilogram</t>
  </si>
  <si>
    <t>kilohertz</t>
  </si>
  <si>
    <t>kiloliter</t>
  </si>
  <si>
    <t>kilometer</t>
  </si>
  <si>
    <t>kilopascal</t>
  </si>
  <si>
    <t>kilosecond</t>
  </si>
  <si>
    <t>kilovolt</t>
  </si>
  <si>
    <t>kilowatt</t>
  </si>
  <si>
    <t>liter</t>
  </si>
  <si>
    <t>lumen</t>
  </si>
  <si>
    <t>lux</t>
  </si>
  <si>
    <t>megagram</t>
  </si>
  <si>
    <t>megahertz</t>
  </si>
  <si>
    <t>megameter</t>
  </si>
  <si>
    <t>megapascal</t>
  </si>
  <si>
    <t>megasecond</t>
  </si>
  <si>
    <t>megavolt</t>
  </si>
  <si>
    <t>megawatt</t>
  </si>
  <si>
    <t>meter</t>
  </si>
  <si>
    <t>microgram</t>
  </si>
  <si>
    <t>microliter</t>
  </si>
  <si>
    <t>micrometer</t>
  </si>
  <si>
    <t>micron</t>
  </si>
  <si>
    <t>microsecond</t>
  </si>
  <si>
    <t>millibar</t>
  </si>
  <si>
    <t>milligram</t>
  </si>
  <si>
    <t>millihertz</t>
  </si>
  <si>
    <t>milliliter</t>
  </si>
  <si>
    <t>milliliterPerLiter</t>
  </si>
  <si>
    <t>millimeter</t>
  </si>
  <si>
    <t>millisecond</t>
  </si>
  <si>
    <t>millivolt</t>
  </si>
  <si>
    <t>milliwatt</t>
  </si>
  <si>
    <t>minute</t>
  </si>
  <si>
    <t>molality</t>
  </si>
  <si>
    <t>molarity</t>
  </si>
  <si>
    <t>mole</t>
  </si>
  <si>
    <t>nanogram</t>
  </si>
  <si>
    <t>nanometer</t>
  </si>
  <si>
    <t>nanosecond</t>
  </si>
  <si>
    <t>newton</t>
  </si>
  <si>
    <t>number</t>
  </si>
  <si>
    <t>numberPerGram</t>
  </si>
  <si>
    <t>numberPerKilometerSquared</t>
  </si>
  <si>
    <t>numberPerMeterCubed</t>
  </si>
  <si>
    <t>numberPerMeterSquared</t>
  </si>
  <si>
    <t>numberPerMilliliter</t>
  </si>
  <si>
    <t>ohm</t>
  </si>
  <si>
    <t>ohmMeter</t>
  </si>
  <si>
    <t>pascal</t>
  </si>
  <si>
    <t>percent</t>
  </si>
  <si>
    <t>radian</t>
  </si>
  <si>
    <t>second</t>
  </si>
  <si>
    <t>volt</t>
  </si>
  <si>
    <t>watt</t>
  </si>
  <si>
    <r>
      <t>INVESTIGATOR INFORMATION :</t>
    </r>
    <r>
      <rPr>
        <b/>
        <sz val="9"/>
        <color indexed="48"/>
        <rFont val="Arial"/>
        <family val="2"/>
      </rPr>
      <t xml:space="preserve"> </t>
    </r>
  </si>
  <si>
    <t>TAXONOMIC COVERAGE:</t>
  </si>
  <si>
    <t>Organisms studied</t>
  </si>
  <si>
    <t>Year Released to Public</t>
  </si>
  <si>
    <t>ampere</t>
  </si>
  <si>
    <t>centigram</t>
  </si>
  <si>
    <t>centisecond</t>
  </si>
  <si>
    <t>coulomb</t>
  </si>
  <si>
    <t>hectoPascal</t>
  </si>
  <si>
    <t>kilowattPerMeterSquared</t>
  </si>
  <si>
    <t>URL of online Protocol</t>
  </si>
  <si>
    <t>OR</t>
  </si>
  <si>
    <t>Protocol Document</t>
  </si>
  <si>
    <t>Sampling and/or Lab Protocols</t>
  </si>
  <si>
    <t>Elevation</t>
  </si>
  <si>
    <t>Distribution URL for file</t>
  </si>
  <si>
    <t>Data File URL</t>
  </si>
  <si>
    <t>KEYWORD INFORMATION</t>
  </si>
  <si>
    <t>Code Information</t>
  </si>
  <si>
    <t xml:space="preserve">Example:  Eriophorum; Betula nana; Carex aquatilis var. aquatilis; Carex atlantica ssp. atlantica </t>
  </si>
  <si>
    <t>Note you can add more sites.</t>
  </si>
  <si>
    <t>Protocol Title</t>
  </si>
  <si>
    <t>amperePerMeterSquared</t>
  </si>
  <si>
    <t>becquerel</t>
  </si>
  <si>
    <t>becquerelPerGram</t>
  </si>
  <si>
    <t>becquerelPerMilligram</t>
  </si>
  <si>
    <t>becquerelPerMilliliter</t>
  </si>
  <si>
    <t>candela</t>
  </si>
  <si>
    <t>candelaPerMeterSquared</t>
  </si>
  <si>
    <t>centimeterCubedPerCentimeterCubed</t>
  </si>
  <si>
    <t>centimeterPerSecond</t>
  </si>
  <si>
    <t>centimeterSquared</t>
  </si>
  <si>
    <t>centimeterSquaredPerFourHundredthMeterSquared</t>
  </si>
  <si>
    <t>centimeterSquaredPerGram</t>
  </si>
  <si>
    <t>centimolePerKilogram</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</si>
  <si>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</si>
  <si>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</si>
  <si>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</si>
  <si>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</si>
  <si>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</si>
  <si>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</si>
  <si>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</si>
  <si>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</si>
  <si>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</si>
  <si>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</si>
  <si>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</si>
  <si>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</si>
  <si>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</si>
  <si>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</si>
  <si>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</si>
  <si>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</si>
  <si>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hectogram</t>
  </si>
  <si>
    <t>hectometer</t>
  </si>
  <si>
    <t>hectosecond</t>
  </si>
  <si>
    <t>joulePerCentimeterSquaredPerDay</t>
  </si>
  <si>
    <t>joulePerCentimeterSquaredPerHour</t>
  </si>
  <si>
    <t>joulePerMeterCubed</t>
  </si>
  <si>
    <t>kilogramPerHectare</t>
  </si>
  <si>
    <t>kilogramPerHectarePerYear</t>
  </si>
  <si>
    <t>kilogramPerMeterCubed</t>
  </si>
  <si>
    <t>kilogramPerMeterSquared</t>
  </si>
  <si>
    <t>kilogramPerMeterSquaredPerSecond</t>
  </si>
  <si>
    <t>kilogramPerMeterSquaredPerYear</t>
  </si>
  <si>
    <t>kilogramPerSecond</t>
  </si>
  <si>
    <t>kilometerPerHour</t>
  </si>
  <si>
    <t>kilometerSquared</t>
  </si>
  <si>
    <t>literPerMeterSquared</t>
  </si>
  <si>
    <t>literPerSecond</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</si>
  <si>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</si>
  <si>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</si>
  <si>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</si>
  <si>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</si>
  <si>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</si>
  <si>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</si>
  <si>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</si>
  <si>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</si>
  <si>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</si>
  <si>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</si>
  <si>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</si>
  <si>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</si>
  <si>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</si>
  <si>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</si>
  <si>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</si>
  <si>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</si>
  <si>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</si>
  <si>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</si>
  <si>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</si>
  <si>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microgramPerCentimeterCubed</t>
  </si>
  <si>
    <t>microgramPerCentimeterSquared</t>
  </si>
  <si>
    <t>microgramPerGram</t>
  </si>
  <si>
    <t>microgramPerLiter</t>
  </si>
  <si>
    <t>microgramPerLiterPerDay</t>
  </si>
  <si>
    <t>microgramPerLiterPerHour</t>
  </si>
  <si>
    <t>microgramPerMilliliter</t>
  </si>
  <si>
    <t>micrometerCubedPerGram</t>
  </si>
  <si>
    <t>micromole</t>
  </si>
  <si>
    <t>micromolePerGram</t>
  </si>
  <si>
    <t>micromolePerKilogram</t>
  </si>
  <si>
    <t>micromolePerLiter</t>
  </si>
  <si>
    <t>micromolePerMeterSquaredPerSecond</t>
  </si>
  <si>
    <t>micromolePerMeterSquaredPerMinute</t>
  </si>
  <si>
    <t>micromolePerMole</t>
  </si>
  <si>
    <t>microsiemenPerCentimeter</t>
  </si>
  <si>
    <t>milliequivalentPerLiter</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</si>
  <si>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</si>
  <si>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</si>
  <si>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</si>
  <si>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</si>
  <si>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</si>
  <si>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</si>
  <si>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</si>
  <si>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</si>
  <si>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</si>
  <si>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</si>
  <si>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</si>
  <si>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</si>
  <si>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</si>
  <si>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</si>
  <si>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</si>
  <si>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</si>
  <si>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</si>
  <si>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</si>
  <si>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millisiemenPerCentimeter</t>
  </si>
  <si>
    <t>molePerGram</t>
  </si>
  <si>
    <t>molePerKilogram</t>
  </si>
  <si>
    <t>molePerKilogramPerSecond</t>
  </si>
  <si>
    <t>molePerMeterCubed</t>
  </si>
  <si>
    <t>molePerMeterSquaredPerDay</t>
  </si>
  <si>
    <t>nanomolePerGramPerSecond</t>
  </si>
  <si>
    <t>numberPerCentimeterSquaredPerHour</t>
  </si>
  <si>
    <t>numberPerLiter</t>
  </si>
  <si>
    <t>partPerMillion</t>
  </si>
  <si>
    <t>partPerThousand</t>
  </si>
  <si>
    <t>picomolePerLiter</t>
  </si>
  <si>
    <t>picomolePerLiterPerHour</t>
  </si>
  <si>
    <t>siemenPerMeter</t>
  </si>
  <si>
    <t>siemens</t>
  </si>
  <si>
    <t>tesla</t>
  </si>
  <si>
    <t>wattPerMeterSquared</t>
  </si>
  <si>
    <t>waveNumber</t>
  </si>
  <si>
    <t>weber</t>
  </si>
  <si>
    <t>Role</t>
  </si>
  <si>
    <t>Investigator 4</t>
  </si>
  <si>
    <t>Investigator 5</t>
  </si>
  <si>
    <t>Investigator 6</t>
  </si>
  <si>
    <t>Investigator 7</t>
  </si>
  <si>
    <t>Investigator 8</t>
  </si>
  <si>
    <t>Email</t>
  </si>
  <si>
    <t>Organization</t>
  </si>
  <si>
    <t>Do Not Modify. These are the lists for the drop-downs.</t>
  </si>
  <si>
    <t>Data Type</t>
  </si>
  <si>
    <t>LTER_Site_number</t>
  </si>
  <si>
    <t>Description</t>
  </si>
  <si>
    <t>Latitude_decimal_degrees</t>
  </si>
  <si>
    <t>Longitude_decimal_degrees</t>
  </si>
  <si>
    <t>Elevation_m_asl</t>
  </si>
  <si>
    <t>Environment</t>
  </si>
  <si>
    <t>Project_PI</t>
  </si>
  <si>
    <t>Survey/series</t>
  </si>
  <si>
    <t>Stream</t>
  </si>
  <si>
    <t>Atigun River West Fork</t>
  </si>
  <si>
    <t>Confluence with the main fork of the Atigun</t>
  </si>
  <si>
    <t>Lake and stream survey 1988</t>
  </si>
  <si>
    <t>Atigun River</t>
  </si>
  <si>
    <t>Confluence with the West Fork of the Atigun</t>
  </si>
  <si>
    <t>Roche Moutonnee</t>
  </si>
  <si>
    <t>Oksrukuyik Creek</t>
  </si>
  <si>
    <t>Alexa Creek</t>
  </si>
  <si>
    <t>Happy Valley Stream</t>
  </si>
  <si>
    <t>Toolik River</t>
  </si>
  <si>
    <t>Toolik Inlet</t>
  </si>
  <si>
    <t>ISeries</t>
  </si>
  <si>
    <t>Birthday Creek</t>
  </si>
  <si>
    <t>LTER_Shaver_Kling_Bowden_Giblin_Luecke</t>
  </si>
  <si>
    <t>Anaktuvuk Burn</t>
  </si>
  <si>
    <t>Itkillik Tributary-Burned</t>
  </si>
  <si>
    <t>Itkillik Tributary-Unburned</t>
  </si>
  <si>
    <t>North River</t>
  </si>
  <si>
    <t>North River Thermokarst</t>
  </si>
  <si>
    <t>Shrew River</t>
  </si>
  <si>
    <t>Shrew River North</t>
  </si>
  <si>
    <t>South River</t>
  </si>
  <si>
    <t>South River Tributary</t>
  </si>
  <si>
    <t>Valley of Thermokarst</t>
  </si>
  <si>
    <t>Thermokarst sampling</t>
  </si>
  <si>
    <t>Valley of Thermokarst – Ref 1</t>
  </si>
  <si>
    <t>Valley of Thermokarst – Ref 2</t>
  </si>
  <si>
    <t>North River - mouth</t>
  </si>
  <si>
    <t>Test area 1 (Nanushuk River)</t>
  </si>
  <si>
    <t>Test area 2 (North R headwater)</t>
  </si>
  <si>
    <t>Toolik Lake Main Station</t>
  </si>
  <si>
    <t>Lake</t>
  </si>
  <si>
    <t>Toolik Limno Bay</t>
  </si>
  <si>
    <t>Western bay of Toolik where limno corral experiments were done in the 1980s</t>
  </si>
  <si>
    <t>N 01</t>
  </si>
  <si>
    <t>N 02</t>
  </si>
  <si>
    <t>N 03</t>
  </si>
  <si>
    <t>S 05</t>
  </si>
  <si>
    <t>S 06</t>
  </si>
  <si>
    <t>NE 12</t>
  </si>
  <si>
    <t>NE 14</t>
  </si>
  <si>
    <t>Itigaknit Lake</t>
  </si>
  <si>
    <t>I1</t>
  </si>
  <si>
    <t>Toolik Inlet Lakes</t>
  </si>
  <si>
    <t>I2</t>
  </si>
  <si>
    <t>I3</t>
  </si>
  <si>
    <t>I4</t>
  </si>
  <si>
    <t>I5</t>
  </si>
  <si>
    <t>I6</t>
  </si>
  <si>
    <t>I7</t>
  </si>
  <si>
    <t>I8</t>
  </si>
  <si>
    <t>I9</t>
  </si>
  <si>
    <t>I Swamp</t>
  </si>
  <si>
    <t>Galbraith Lake</t>
  </si>
  <si>
    <t>Island Lake</t>
  </si>
  <si>
    <t>Lake Anne</t>
  </si>
  <si>
    <t>Lake George</t>
  </si>
  <si>
    <t>Lake Charles</t>
  </si>
  <si>
    <t>Windy Lake</t>
  </si>
  <si>
    <t>South of Dead Horse</t>
  </si>
  <si>
    <t>Silhouette Lake</t>
  </si>
  <si>
    <t>Borrow Pit  1</t>
  </si>
  <si>
    <t>Borrow Pit  2</t>
  </si>
  <si>
    <t>Lake Maxine</t>
  </si>
  <si>
    <t>Lake Carolyn</t>
  </si>
  <si>
    <t>Lake Africa</t>
  </si>
  <si>
    <t>Sag C Pit</t>
  </si>
  <si>
    <t>Dune Pond</t>
  </si>
  <si>
    <t>Bern Lake</t>
  </si>
  <si>
    <t>Lake Colleen</t>
  </si>
  <si>
    <t>Lake William</t>
  </si>
  <si>
    <t>Camp Pond</t>
  </si>
  <si>
    <t>Near old camp by the south end of the runway</t>
  </si>
  <si>
    <t>Green Cabin Lake</t>
  </si>
  <si>
    <t>Headwater Lake of the Kupurak River</t>
  </si>
  <si>
    <t>Elusive Lake</t>
  </si>
  <si>
    <t>On accomplishment Creek</t>
  </si>
  <si>
    <t>Dam Pond</t>
  </si>
  <si>
    <t>Behind kitchen at new camp, just north of main Toolik Inlet</t>
  </si>
  <si>
    <t>E 05</t>
  </si>
  <si>
    <t>E 01</t>
  </si>
  <si>
    <t>NE 02</t>
  </si>
  <si>
    <t>S 01</t>
  </si>
  <si>
    <t>S 02</t>
  </si>
  <si>
    <t>S 03</t>
  </si>
  <si>
    <t>S 04</t>
  </si>
  <si>
    <t>S 07</t>
  </si>
  <si>
    <t>S 10</t>
  </si>
  <si>
    <t>S 11</t>
  </si>
  <si>
    <t>S 12</t>
  </si>
  <si>
    <t>S 13</t>
  </si>
  <si>
    <t>Itkillik Lake</t>
  </si>
  <si>
    <t>Campsite Lake</t>
  </si>
  <si>
    <t>O1</t>
  </si>
  <si>
    <t>These are lakes near Campsite Lake</t>
  </si>
  <si>
    <t>O2</t>
  </si>
  <si>
    <t>O3</t>
  </si>
  <si>
    <t>Sag 1</t>
  </si>
  <si>
    <t>Sag 2</t>
  </si>
  <si>
    <t>NE 9B</t>
  </si>
  <si>
    <t>I8 Headwater</t>
  </si>
  <si>
    <t>I2 Outlet</t>
  </si>
  <si>
    <t>I1 Outlet</t>
  </si>
  <si>
    <t>I1 into I3</t>
  </si>
  <si>
    <t>I2 into I3</t>
  </si>
  <si>
    <t>I3 Outlet</t>
  </si>
  <si>
    <t>I4 Outlet</t>
  </si>
  <si>
    <t>I4 into I5</t>
  </si>
  <si>
    <t>I5 Outlet</t>
  </si>
  <si>
    <t>I5 into I6</t>
  </si>
  <si>
    <t>I6 Inlet West</t>
  </si>
  <si>
    <t>I6 Outlet</t>
  </si>
  <si>
    <t>I7 Outlet</t>
  </si>
  <si>
    <t>I8 Inlet</t>
  </si>
  <si>
    <t>I7 into I9</t>
  </si>
  <si>
    <t>I8 into I9</t>
  </si>
  <si>
    <t>Milkyway Lower</t>
  </si>
  <si>
    <t>I Swamp Inlet</t>
  </si>
  <si>
    <t>Coastal Plain Lakes Helicopter Survey 1994, 1995 #1 and #2</t>
  </si>
  <si>
    <t>Lakes Helicopter Survey #2 1994, 1995</t>
  </si>
  <si>
    <t>NE 01</t>
  </si>
  <si>
    <t>NE 03</t>
  </si>
  <si>
    <t>NE 05</t>
  </si>
  <si>
    <t>NE 07</t>
  </si>
  <si>
    <t>N 05</t>
  </si>
  <si>
    <t>I Swamp Outlet</t>
  </si>
  <si>
    <t>I9 Outlet</t>
  </si>
  <si>
    <t>N 04</t>
  </si>
  <si>
    <t>LTER 247</t>
  </si>
  <si>
    <t>GTH_Hershey</t>
  </si>
  <si>
    <t>Geomorphic Trophic Hypothesis</t>
  </si>
  <si>
    <t>LTER 248</t>
  </si>
  <si>
    <t>LTER 249</t>
  </si>
  <si>
    <t>LTER 250</t>
  </si>
  <si>
    <t>LTER 251</t>
  </si>
  <si>
    <t>LTER 252</t>
  </si>
  <si>
    <t>LTER 253</t>
  </si>
  <si>
    <t>LTER 254</t>
  </si>
  <si>
    <t>LTER 255</t>
  </si>
  <si>
    <t>LTER 256</t>
  </si>
  <si>
    <t>LTER 257</t>
  </si>
  <si>
    <t>LTER 258</t>
  </si>
  <si>
    <t>LTER 259</t>
  </si>
  <si>
    <t>LTER 260</t>
  </si>
  <si>
    <t>LTER 261</t>
  </si>
  <si>
    <t>LTER 262</t>
  </si>
  <si>
    <t>LTER 263</t>
  </si>
  <si>
    <t>LTER 264</t>
  </si>
  <si>
    <t>LTER 265</t>
  </si>
  <si>
    <t>LTER 266</t>
  </si>
  <si>
    <t>LTER 267</t>
  </si>
  <si>
    <t>LTER 268</t>
  </si>
  <si>
    <t>LTER 269</t>
  </si>
  <si>
    <t>LTER 270</t>
  </si>
  <si>
    <t>LTER 271</t>
  </si>
  <si>
    <t>LTER 272</t>
  </si>
  <si>
    <t>Milkyway Upper</t>
  </si>
  <si>
    <t>Costal Plain Lakes Helicopter Survey (#1 and #2 1996 &amp; 1997)</t>
  </si>
  <si>
    <t>NE 04</t>
  </si>
  <si>
    <t>NE 06</t>
  </si>
  <si>
    <t>NE 08</t>
  </si>
  <si>
    <t>E 02</t>
  </si>
  <si>
    <t>E 03</t>
  </si>
  <si>
    <t>E 04</t>
  </si>
  <si>
    <t>LTER 315</t>
  </si>
  <si>
    <t>LTER 316</t>
  </si>
  <si>
    <t>LTER 317</t>
  </si>
  <si>
    <t>LTER 318</t>
  </si>
  <si>
    <t>LTER 319</t>
  </si>
  <si>
    <t>LTER 320</t>
  </si>
  <si>
    <t>LTER 321</t>
  </si>
  <si>
    <t>LTER 322</t>
  </si>
  <si>
    <t>LTER 323</t>
  </si>
  <si>
    <t>LTER 324</t>
  </si>
  <si>
    <t>LTER 325</t>
  </si>
  <si>
    <t>LTER 326</t>
  </si>
  <si>
    <t>LTER 327</t>
  </si>
  <si>
    <t>LTER 328</t>
  </si>
  <si>
    <t>LTER 329</t>
  </si>
  <si>
    <t>LTER 330</t>
  </si>
  <si>
    <t>LTER 331</t>
  </si>
  <si>
    <t>LTER 332</t>
  </si>
  <si>
    <t>LTER 333</t>
  </si>
  <si>
    <t>LTER 335</t>
  </si>
  <si>
    <t>LTER 336</t>
  </si>
  <si>
    <t>LTER 337</t>
  </si>
  <si>
    <t>LTER 338</t>
  </si>
  <si>
    <t>LTER 339</t>
  </si>
  <si>
    <t>LTER 340</t>
  </si>
  <si>
    <t>LTER 341</t>
  </si>
  <si>
    <t>LTER 342</t>
  </si>
  <si>
    <t>LTER 343</t>
  </si>
  <si>
    <t>LTER 344</t>
  </si>
  <si>
    <t>LTER 345</t>
  </si>
  <si>
    <t>LTER 346</t>
  </si>
  <si>
    <t>LTER 347</t>
  </si>
  <si>
    <t>LTER 348</t>
  </si>
  <si>
    <t>LTER 349</t>
  </si>
  <si>
    <t>LTER 350</t>
  </si>
  <si>
    <t>LTER 351</t>
  </si>
  <si>
    <t>LTER 352</t>
  </si>
  <si>
    <t>LTER 353</t>
  </si>
  <si>
    <t>LTER 354</t>
  </si>
  <si>
    <t>LTER 355</t>
  </si>
  <si>
    <t>LTER 357</t>
  </si>
  <si>
    <t>LTER 358</t>
  </si>
  <si>
    <t>LTER 359</t>
  </si>
  <si>
    <t>LTER 360</t>
  </si>
  <si>
    <t>LTER 361</t>
  </si>
  <si>
    <t>LTER 362</t>
  </si>
  <si>
    <t>LTER 363</t>
  </si>
  <si>
    <t>LTER 364</t>
  </si>
  <si>
    <t>LTER 365</t>
  </si>
  <si>
    <t>LTER 366</t>
  </si>
  <si>
    <t>LTER 367</t>
  </si>
  <si>
    <t>LTER 368</t>
  </si>
  <si>
    <t>LTER 369</t>
  </si>
  <si>
    <t>I Minus</t>
  </si>
  <si>
    <t>E 06</t>
  </si>
  <si>
    <t>Duckling pond</t>
  </si>
  <si>
    <t>Lakes north of Toolik Lake, flowing into Toolik outlet stream</t>
  </si>
  <si>
    <t>Dennis Lake</t>
  </si>
  <si>
    <t>Gypsy Pool</t>
  </si>
  <si>
    <t>Far South survey 1999</t>
  </si>
  <si>
    <t>Reds Lake</t>
  </si>
  <si>
    <t>I6 Headwater Lake</t>
  </si>
  <si>
    <t>Galbraith lake survey lake 03</t>
  </si>
  <si>
    <t>Galbraith lake survey</t>
  </si>
  <si>
    <t>Galbraith lake survey lake 04</t>
  </si>
  <si>
    <t>Galbraith lake survey lake 05</t>
  </si>
  <si>
    <t>Galbraith lake survey lake 06</t>
  </si>
  <si>
    <t>Galbraith lake survey lake 07</t>
  </si>
  <si>
    <t>Galbraith lake survey lake 08</t>
  </si>
  <si>
    <t>Galbraith lake survey lake 09</t>
  </si>
  <si>
    <t>Galbraith lake survey lake 14</t>
  </si>
  <si>
    <t>Galbraith lake survey lake 17</t>
  </si>
  <si>
    <t>Galbraith lake survey lake 18</t>
  </si>
  <si>
    <t>Galbraith lake survey lake 19</t>
  </si>
  <si>
    <t>Galbraith lake survey lake 20</t>
  </si>
  <si>
    <t>I6 Headwater Lake Inlet</t>
  </si>
  <si>
    <t>I6 Headwater Lake Outlet</t>
  </si>
  <si>
    <t>NE 09</t>
  </si>
  <si>
    <t>NE 10</t>
  </si>
  <si>
    <t>NE 15</t>
  </si>
  <si>
    <t>NE 16</t>
  </si>
  <si>
    <t>I Minus 01</t>
  </si>
  <si>
    <t>LTREB_Kling_Crump</t>
  </si>
  <si>
    <t>I Minus 02</t>
  </si>
  <si>
    <t>Slope Mtn. North 01</t>
  </si>
  <si>
    <t>Slope Mtn. North 02</t>
  </si>
  <si>
    <t>Slope Mtn. North 03</t>
  </si>
  <si>
    <t>Slope Mtn. North 04</t>
  </si>
  <si>
    <t>Slope Mtn. North 05</t>
  </si>
  <si>
    <t>Slope Mtn. North 06</t>
  </si>
  <si>
    <t>West Sag Lakes  A1</t>
  </si>
  <si>
    <t>West Sag Lakes  A2</t>
  </si>
  <si>
    <t>West Sag Lakes  A3</t>
  </si>
  <si>
    <t>West Sag Lakes  B1</t>
  </si>
  <si>
    <t>West Sag Lakes  B2</t>
  </si>
  <si>
    <t>West Sag Lakes  B3</t>
  </si>
  <si>
    <t>Escher Lakes 01</t>
  </si>
  <si>
    <t>Escher Lakes 02</t>
  </si>
  <si>
    <t>Escher Lakes 03</t>
  </si>
  <si>
    <t>Escher Lakes 04</t>
  </si>
  <si>
    <t>Escher Lakes 05</t>
  </si>
  <si>
    <t>Escher Lakes 06</t>
  </si>
  <si>
    <t>Conflict Lakes A1</t>
  </si>
  <si>
    <t>Conflict Lakes A2</t>
  </si>
  <si>
    <t>Conflict Lakes B1</t>
  </si>
  <si>
    <t>Conflict Lakes B2</t>
  </si>
  <si>
    <t>Conflict Lakes B3</t>
  </si>
  <si>
    <t>Conflict Lakes C1</t>
  </si>
  <si>
    <t>Conflict Lakes C2</t>
  </si>
  <si>
    <t>Airstrip Lakes B1</t>
  </si>
  <si>
    <t>Airstrip Lakes B2</t>
  </si>
  <si>
    <t>Airstrip Lakes B3</t>
  </si>
  <si>
    <t>Clem Lake</t>
  </si>
  <si>
    <t>Dimple Lake</t>
  </si>
  <si>
    <t>Dimple Lake Inlet</t>
  </si>
  <si>
    <t>Dimple Lake Outlet</t>
  </si>
  <si>
    <t>Dimple Lake Outlet Stream</t>
  </si>
  <si>
    <t>Horn Lake</t>
  </si>
  <si>
    <t>Luna Lake</t>
  </si>
  <si>
    <t>North Lake</t>
  </si>
  <si>
    <t>Milake into NE 14</t>
  </si>
  <si>
    <t>LTER_Bowden_Kling</t>
  </si>
  <si>
    <t>Thermokarst</t>
  </si>
  <si>
    <t>NE 14 Outlet</t>
  </si>
  <si>
    <t>Yurlake into NE 14</t>
  </si>
  <si>
    <t>NE 14 Lake Slump Inlet</t>
  </si>
  <si>
    <t>North Itigaknit A1</t>
  </si>
  <si>
    <t>North Itigaknit A2</t>
  </si>
  <si>
    <t>North Itigaknit B1</t>
  </si>
  <si>
    <t>North Itigaknit B2</t>
  </si>
  <si>
    <t>North Itigaknit B3</t>
  </si>
  <si>
    <t>NE 11</t>
  </si>
  <si>
    <t>REF1</t>
  </si>
  <si>
    <t>REF2</t>
  </si>
  <si>
    <t>REF3</t>
  </si>
  <si>
    <t>Nanushuk Lake</t>
  </si>
  <si>
    <t>Lakes sampled by LTREB on 1 July 2010 - Kling, Crump, Nannen.</t>
  </si>
  <si>
    <t>Far Lakes Survey</t>
  </si>
  <si>
    <t>Shainin Lake</t>
  </si>
  <si>
    <t>Natvakruak_3 lake</t>
  </si>
  <si>
    <t>Natvakruak_2 lake</t>
  </si>
  <si>
    <t>Natvakruak_1 lake</t>
  </si>
  <si>
    <t>Natvakruak Lake</t>
  </si>
  <si>
    <t>Drill Hole Lake</t>
  </si>
  <si>
    <t>Anaktuvik_3 lake</t>
  </si>
  <si>
    <t>Anaktuvik_2 lake</t>
  </si>
  <si>
    <t>Anaktuvik_1 lake</t>
  </si>
  <si>
    <t>Toolik Southwest Basin</t>
  </si>
  <si>
    <t>Surveyed by Sarah Barbrow in 2009, Kling,Cory,Nannen, and Crump in 2010.</t>
  </si>
  <si>
    <t>Toolik Lake Survey</t>
  </si>
  <si>
    <t>Toolik Sauna Shoal</t>
  </si>
  <si>
    <t>Toolik Inlet Bay</t>
  </si>
  <si>
    <t>Toolik Camp Shoal</t>
  </si>
  <si>
    <t>Toolik Central</t>
  </si>
  <si>
    <t>Toolik Dock</t>
  </si>
  <si>
    <t>Toolik Morraine</t>
  </si>
  <si>
    <t>Toolik Outlet Bay</t>
  </si>
  <si>
    <t>Toolik Rock Shoal</t>
  </si>
  <si>
    <t>Milake</t>
  </si>
  <si>
    <t>Surveyed by Kling, Crump, Nannen in 2010</t>
  </si>
  <si>
    <t>Yurlake</t>
  </si>
  <si>
    <t>I Minus Inlet</t>
  </si>
  <si>
    <t>I Minus Outlet</t>
  </si>
  <si>
    <t>I8 Headwater stream station 2</t>
  </si>
  <si>
    <t>Surveyed by LTREB in 2008, 2009, 2010</t>
  </si>
  <si>
    <t>Stream Survey</t>
  </si>
  <si>
    <t>I8 Headwater stream station 3</t>
  </si>
  <si>
    <t>I6 Headwater Lake into I6 station 2</t>
  </si>
  <si>
    <t>I6 Headwater Lake into I6 station 3</t>
  </si>
  <si>
    <t>I8 Northeast Inlet</t>
  </si>
  <si>
    <t>Surveyed by Ashley Larsen for her REU project in 2007.  Mentored by GWK and HEA</t>
  </si>
  <si>
    <t>REU_Kling_Larsen_Adams</t>
  </si>
  <si>
    <t>I8 Mass Balance Survey</t>
  </si>
  <si>
    <t>I8 Lake Northeast</t>
  </si>
  <si>
    <t>I8 Lake East</t>
  </si>
  <si>
    <t>I8 Lake Southeast</t>
  </si>
  <si>
    <t>I8 Lake Center</t>
  </si>
  <si>
    <t>I8 Lake Southwest</t>
  </si>
  <si>
    <t>I8 Lake West</t>
  </si>
  <si>
    <t>I8 Lake Northwest</t>
  </si>
  <si>
    <t>I8 Inlet Southeast</t>
  </si>
  <si>
    <t>I8 Inlet South</t>
  </si>
  <si>
    <t>I8 Inlet East</t>
  </si>
  <si>
    <t>I8 Inlet East Northeast</t>
  </si>
  <si>
    <t>TW Weir</t>
  </si>
  <si>
    <t>Terrestrial</t>
  </si>
  <si>
    <t>TW Lower</t>
  </si>
  <si>
    <t>Tussock Watershed stream where it enters Toolik Lake</t>
  </si>
  <si>
    <t>Biocomplexity_Kling_Stieglitz</t>
  </si>
  <si>
    <t>Yuriko Yano and Kei Koba sites on Water Track 12 - FS=Footslope, CR=Crest, UB=Upper Back Slope, LB=Lower Back Slope</t>
  </si>
  <si>
    <t>Landscapes_Shaver</t>
  </si>
  <si>
    <t>NSF_Burn_Shaver</t>
  </si>
  <si>
    <t>Phenology Station at 2304 Tower</t>
  </si>
  <si>
    <t>Control CALM grid, NW corner</t>
  </si>
  <si>
    <t>Moderate CALM grid, NW corner</t>
  </si>
  <si>
    <t>Severe CALM grid, NW corner</t>
  </si>
  <si>
    <t>CALM Grid (Thaw depth)</t>
  </si>
  <si>
    <t>AR101</t>
  </si>
  <si>
    <t>AR102</t>
  </si>
  <si>
    <t>AR103</t>
  </si>
  <si>
    <t>Vegetation and Soils Transect</t>
  </si>
  <si>
    <t>AR104</t>
  </si>
  <si>
    <t>AR105</t>
  </si>
  <si>
    <t>AR106</t>
  </si>
  <si>
    <t>AR107</t>
  </si>
  <si>
    <t>AR108</t>
  </si>
  <si>
    <t>AR109</t>
  </si>
  <si>
    <t>AR110</t>
  </si>
  <si>
    <t>AR111</t>
  </si>
  <si>
    <t>AR112</t>
  </si>
  <si>
    <t>AR113</t>
  </si>
  <si>
    <t>ARFB</t>
  </si>
  <si>
    <t>ARFC</t>
  </si>
  <si>
    <t>Surface Reflectance Sampling</t>
  </si>
  <si>
    <t>KUPB</t>
  </si>
  <si>
    <t>Dimple Flux Star</t>
  </si>
  <si>
    <t>South River Harvest Transect</t>
  </si>
  <si>
    <t>South River Flux Star</t>
  </si>
  <si>
    <t>Select Site or enter New One</t>
  </si>
  <si>
    <t>Google Map Link</t>
  </si>
  <si>
    <t>Link to Google Map</t>
  </si>
  <si>
    <t>Location Name</t>
  </si>
  <si>
    <t>kilogramPerYear</t>
  </si>
  <si>
    <t>megaJoulePerMeterSquaredPerDay</t>
  </si>
  <si>
    <t>meterCubedPerDay</t>
  </si>
  <si>
    <t>meterCubedPerYear</t>
  </si>
  <si>
    <t>micromolePerCentimeterCubed</t>
  </si>
  <si>
    <t>millimolePerLiter</t>
  </si>
  <si>
    <t>millimolePerMeterSquaredPerDay</t>
  </si>
  <si>
    <t>nominalDay</t>
  </si>
  <si>
    <t>nominalHour</t>
  </si>
  <si>
    <t>nominalLeapYear</t>
  </si>
  <si>
    <t>nominalMinute</t>
  </si>
  <si>
    <t>nominalWeek</t>
  </si>
  <si>
    <t>nominalYear</t>
  </si>
  <si>
    <t>PSU</t>
  </si>
  <si>
    <t>sievert</t>
  </si>
  <si>
    <t>dayOfYear</t>
  </si>
  <si>
    <t>gray</t>
  </si>
  <si>
    <t>kilowattPerMeterSquaredPerSecond</t>
  </si>
  <si>
    <t>meterPerMinute</t>
  </si>
  <si>
    <t>nanogramPerLiter</t>
  </si>
  <si>
    <t>picogramPerLiter</t>
  </si>
  <si>
    <t>micrometerCubedPerMilliliter</t>
  </si>
  <si>
    <t>micrometerCubed</t>
  </si>
  <si>
    <t>micromolePerMeterSquaredPerDay</t>
  </si>
  <si>
    <t>micromolePerMeterSquaredPerSecondPerPascal</t>
  </si>
  <si>
    <t>micromolePerMicromole</t>
  </si>
  <si>
    <t>milligramPerGram</t>
  </si>
  <si>
    <t>numberPerMeter</t>
  </si>
  <si>
    <t>serialDateNumberYear</t>
  </si>
  <si>
    <t>centimeterPerHour</t>
  </si>
  <si>
    <t>joulePerMeterCubedPerKelvin</t>
  </si>
  <si>
    <t>literPerMilligramPerMeterSquared</t>
  </si>
  <si>
    <t>meterSquaredPerSecondSquared</t>
  </si>
  <si>
    <t>microgramPerGramPerDay</t>
  </si>
  <si>
    <t>microgramPerMilligram</t>
  </si>
  <si>
    <t>microgramPerMeterSquared</t>
  </si>
  <si>
    <t>microgramPerMeterSquaredPerMinute</t>
  </si>
  <si>
    <t>micromolePerGramPerHour</t>
  </si>
  <si>
    <t>millimeterPerMinute</t>
  </si>
  <si>
    <t>millimolePerMeterSquared</t>
  </si>
  <si>
    <t>molePerMeterSquaredPerSecond</t>
  </si>
  <si>
    <t>numberPerMillimeterSquared</t>
  </si>
  <si>
    <t>Ramanunit</t>
  </si>
  <si>
    <t>Arctic LTER Vocabulary</t>
  </si>
  <si>
    <t>Core Areas</t>
  </si>
  <si>
    <t>LTER Keywords</t>
  </si>
  <si>
    <t>Number of Header Rows</t>
  </si>
  <si>
    <t>Name of Data Sheet</t>
  </si>
  <si>
    <t>Maximum Value</t>
  </si>
  <si>
    <t>Minimum Value</t>
  </si>
  <si>
    <t>Data</t>
  </si>
  <si>
    <t>day</t>
  </si>
  <si>
    <t>gramPerMeterSquaredPerDayPerEffort</t>
  </si>
  <si>
    <t>kilogramPerMeterPerSecondSquared</t>
  </si>
  <si>
    <t>literPerHectare</t>
  </si>
  <si>
    <t>meterCubedPerGram</t>
  </si>
  <si>
    <t>meterPerMeterSquared</t>
  </si>
  <si>
    <t>micromolePerLiterPerDay</t>
  </si>
  <si>
    <t>microwattPerCentimeterSquaredPerNanometer</t>
  </si>
  <si>
    <t>millimeterPerDay</t>
  </si>
  <si>
    <t>nauticalMile</t>
  </si>
  <si>
    <t>numberPerCelsius</t>
  </si>
  <si>
    <t>Precision</t>
  </si>
  <si>
    <t>Other Files to Reference</t>
  </si>
  <si>
    <t>&lt;----If you rename the data worksheet, change it here and the 'Variable Names' will fill in (:-).</t>
  </si>
  <si>
    <t xml:space="preserve">2304 Tower </t>
  </si>
  <si>
    <t xml:space="preserve">2308 Tower </t>
  </si>
  <si>
    <t xml:space="preserve">2309 Tower </t>
  </si>
  <si>
    <t>Ahaliorak</t>
  </si>
  <si>
    <t>Where stream crosses the Haul Road</t>
  </si>
  <si>
    <t>LTER_Hobbie</t>
  </si>
  <si>
    <t>Devil Mountain Lake</t>
  </si>
  <si>
    <t>LTER_Kling</t>
  </si>
  <si>
    <t>Gunsight Headwall</t>
  </si>
  <si>
    <t>PHOTO_Kling_Cory</t>
  </si>
  <si>
    <t>Gunsight Lake</t>
  </si>
  <si>
    <t>Gunsight Stream</t>
  </si>
  <si>
    <t>Small lake north of LH2-1</t>
  </si>
  <si>
    <t>Itkillik River near Shirukak Lake</t>
  </si>
  <si>
    <t>Boggy lake next to Imaiknik</t>
  </si>
  <si>
    <t>595ft lake on quad map</t>
  </si>
  <si>
    <t>585ft lake on quad map</t>
  </si>
  <si>
    <t xml:space="preserve"> Small lake west of Itkillik Lake</t>
  </si>
  <si>
    <t>Lakes Helicopter Survey #2 1995 only for this site (sites 1-13 also done in 1994)</t>
  </si>
  <si>
    <t>Horn Lake headwall</t>
  </si>
  <si>
    <t>Horn Lake watertrack</t>
  </si>
  <si>
    <t>Huryn slump</t>
  </si>
  <si>
    <t>Huryn Stream</t>
  </si>
  <si>
    <t>I Minus TK A</t>
  </si>
  <si>
    <t>I Minus TK B</t>
  </si>
  <si>
    <t>I Minus TK C</t>
  </si>
  <si>
    <t>I Minus TK D</t>
  </si>
  <si>
    <t>I Minus TK E</t>
  </si>
  <si>
    <t>I Minus TK F</t>
  </si>
  <si>
    <t>I Minus TK G</t>
  </si>
  <si>
    <t>I Minus TK H</t>
  </si>
  <si>
    <t>I Minus TK I</t>
  </si>
  <si>
    <t>Swamp between I8 an I9</t>
  </si>
  <si>
    <t>Kavik</t>
  </si>
  <si>
    <t>Lake 395</t>
  </si>
  <si>
    <t>Lake 395 Inlet</t>
  </si>
  <si>
    <t>Lake 395 thermokarst</t>
  </si>
  <si>
    <t>LHS 1-12</t>
  </si>
  <si>
    <t>Coastal Lakes Survey starting in 2013</t>
  </si>
  <si>
    <t>LHS 1-13</t>
  </si>
  <si>
    <t>LHS 2-01</t>
  </si>
  <si>
    <t>LHS 2-02</t>
  </si>
  <si>
    <t>LHS 2-03</t>
  </si>
  <si>
    <t>LOR</t>
  </si>
  <si>
    <t>?</t>
  </si>
  <si>
    <t>LS 1-05</t>
  </si>
  <si>
    <t>LS 1-06</t>
  </si>
  <si>
    <t>LS 1-07</t>
  </si>
  <si>
    <t>LS 1-08</t>
  </si>
  <si>
    <t>LS 1-27</t>
  </si>
  <si>
    <t>LS 1-28</t>
  </si>
  <si>
    <t>LTER 345 Slump Inlet</t>
  </si>
  <si>
    <t>LTER 345 Trench Inlet</t>
  </si>
  <si>
    <t>LTER 346 Outlet</t>
  </si>
  <si>
    <t>LTER 347 Outlet</t>
  </si>
  <si>
    <t>LTER 389</t>
  </si>
  <si>
    <t>LTER 390</t>
  </si>
  <si>
    <t>LTER 391</t>
  </si>
  <si>
    <t>LTER 393</t>
  </si>
  <si>
    <t>LTER 394</t>
  </si>
  <si>
    <t>LTER 395</t>
  </si>
  <si>
    <t>LTER 396</t>
  </si>
  <si>
    <t>LTER 397</t>
  </si>
  <si>
    <t>LTER 398</t>
  </si>
  <si>
    <t>LTER 408</t>
  </si>
  <si>
    <t>LTER 409</t>
  </si>
  <si>
    <t>LTER 410</t>
  </si>
  <si>
    <t>LTER 411</t>
  </si>
  <si>
    <t>LTER 412</t>
  </si>
  <si>
    <t>LTER 413</t>
  </si>
  <si>
    <t>LTER 414</t>
  </si>
  <si>
    <t>LTER 415</t>
  </si>
  <si>
    <t>LTER 416</t>
  </si>
  <si>
    <t>LTER 417</t>
  </si>
  <si>
    <t>LTER 418</t>
  </si>
  <si>
    <t>LTER 419</t>
  </si>
  <si>
    <t>LTER 420</t>
  </si>
  <si>
    <t>LTER 421</t>
  </si>
  <si>
    <t>LTER 422</t>
  </si>
  <si>
    <t>LTER 423</t>
  </si>
  <si>
    <t>LTER 424</t>
  </si>
  <si>
    <t>LTER 425</t>
  </si>
  <si>
    <t>LTER 426</t>
  </si>
  <si>
    <t>LTER 427</t>
  </si>
  <si>
    <t>LTER 428</t>
  </si>
  <si>
    <t>LTER 429</t>
  </si>
  <si>
    <t>LTER 430</t>
  </si>
  <si>
    <t>LTER 550</t>
  </si>
  <si>
    <t>LTER 551</t>
  </si>
  <si>
    <t>LTER 552</t>
  </si>
  <si>
    <t>LTER 553</t>
  </si>
  <si>
    <t>LTER 554</t>
  </si>
  <si>
    <t>LTER 555</t>
  </si>
  <si>
    <t>LTER 556</t>
  </si>
  <si>
    <t>LTER 557</t>
  </si>
  <si>
    <t>LTER 558</t>
  </si>
  <si>
    <t>LTER 559</t>
  </si>
  <si>
    <t>LTER 560</t>
  </si>
  <si>
    <t>LTER 561</t>
  </si>
  <si>
    <t>LTER 562</t>
  </si>
  <si>
    <t>LTER 563</t>
  </si>
  <si>
    <t>LTER 564</t>
  </si>
  <si>
    <t>LTER 565</t>
  </si>
  <si>
    <t>LTER 566</t>
  </si>
  <si>
    <t>LTER 567</t>
  </si>
  <si>
    <t>LTER 568</t>
  </si>
  <si>
    <t>LTER 569</t>
  </si>
  <si>
    <t>LTER 570</t>
  </si>
  <si>
    <t>LTER 571</t>
  </si>
  <si>
    <t>LTER 572</t>
  </si>
  <si>
    <t>LTER 573</t>
  </si>
  <si>
    <t>LTER 574</t>
  </si>
  <si>
    <t>LTER 575</t>
  </si>
  <si>
    <t>LTER 576</t>
  </si>
  <si>
    <t>LTER 577</t>
  </si>
  <si>
    <t>LTER 578</t>
  </si>
  <si>
    <t>LTER 579</t>
  </si>
  <si>
    <t>LTER 580</t>
  </si>
  <si>
    <t>LTER 581</t>
  </si>
  <si>
    <t>LTER 582</t>
  </si>
  <si>
    <t>LTER 583</t>
  </si>
  <si>
    <t>LTER 584</t>
  </si>
  <si>
    <t>LTER 585</t>
  </si>
  <si>
    <t>LTER 586</t>
  </si>
  <si>
    <t>LTER 587</t>
  </si>
  <si>
    <t>LTER 588</t>
  </si>
  <si>
    <t>LTER 589</t>
  </si>
  <si>
    <t>LTER 590</t>
  </si>
  <si>
    <t>LTER 591</t>
  </si>
  <si>
    <t>Milake Outlet</t>
  </si>
  <si>
    <t>Outlet of small lake draining into NE-14</t>
  </si>
  <si>
    <t>ARCSS_TK_KLING</t>
  </si>
  <si>
    <t>N 06</t>
  </si>
  <si>
    <t>N 07</t>
  </si>
  <si>
    <t>NE 14 Lake Shore</t>
  </si>
  <si>
    <t>North Killeak Lake</t>
  </si>
  <si>
    <t>PALE_Kling_Brubaker</t>
  </si>
  <si>
    <t>Paleo Lakes Survey 1997</t>
  </si>
  <si>
    <t>RS Panel 1, NW corner</t>
  </si>
  <si>
    <t>RS Panel 2, NW of center</t>
  </si>
  <si>
    <t>RS Panel 3, NE corner</t>
  </si>
  <si>
    <t>RS Panel/Ground control point</t>
  </si>
  <si>
    <t>RS Panel 4, NE of center</t>
  </si>
  <si>
    <t>RS Panel 5, SW corner</t>
  </si>
  <si>
    <t>RS Panel 6, SW of center</t>
  </si>
  <si>
    <t>RS Panel 7, SE corner</t>
  </si>
  <si>
    <t>RS Panel 8, SE of center</t>
  </si>
  <si>
    <t>S 14</t>
  </si>
  <si>
    <t>Sagavanirktok north of ice cut</t>
  </si>
  <si>
    <t>Saviukviayak Tributary 1</t>
  </si>
  <si>
    <t>Saviukviayak Tributary 2</t>
  </si>
  <si>
    <t>Shasta</t>
  </si>
  <si>
    <t>South Killeak Lake</t>
  </si>
  <si>
    <t>Headwater area of the North River, Anaktuvuk River burn area</t>
  </si>
  <si>
    <t>Toolik River Thermokarst</t>
  </si>
  <si>
    <t>Toolik River Thermokarst Upstream</t>
  </si>
  <si>
    <t>Streams draining the "valley of thermokarst" in the Anaktuvuk River burn area.</t>
  </si>
  <si>
    <t>Valley of Thermokarst Impacted</t>
  </si>
  <si>
    <t>Valley of Thermokarst Reference</t>
  </si>
  <si>
    <t>Valley of Thermokarst Upper</t>
  </si>
  <si>
    <t>Whitefish Lake</t>
  </si>
  <si>
    <t>Yurlake Outlet</t>
  </si>
  <si>
    <t>Using keywords from a controlled vocabulary (CV) will improve the future discovery and reuse of your data.</t>
  </si>
  <si>
    <t xml:space="preserve"> Additionally add one or two keywords that best describe your lab, station, and/or project (e.g., Toolik Lake Station, ARC LTER) to the Arctic LTER Vocabulary. This will help others discover your data by site/project).</t>
  </si>
  <si>
    <t>Funding of this work:</t>
  </si>
  <si>
    <t>PI First Name</t>
  </si>
  <si>
    <t>PI Last Name</t>
  </si>
  <si>
    <t>Title of Grant</t>
  </si>
  <si>
    <t>Funding Agency</t>
  </si>
  <si>
    <t>Coastal Plain Lake 01</t>
  </si>
  <si>
    <t>Coastal Plain Lake 02</t>
  </si>
  <si>
    <t>Coastal Plain Lake 03</t>
  </si>
  <si>
    <t>Coastal Plain Lake 04</t>
  </si>
  <si>
    <t>Coastal Plain Lake 05</t>
  </si>
  <si>
    <t>Coastal Plain Lake 06</t>
  </si>
  <si>
    <t>Coastal Plain Lake 07</t>
  </si>
  <si>
    <t>Coastal Plain Lake 08</t>
  </si>
  <si>
    <t>Coastal Plain Lake 09</t>
  </si>
  <si>
    <t>Coastal Plain Lake 10</t>
  </si>
  <si>
    <t>Coastal Plain Lake 11</t>
  </si>
  <si>
    <t>Coastal Plain Lake 12</t>
  </si>
  <si>
    <t>Coastal Plain Lake 13</t>
  </si>
  <si>
    <t>Coastal Plain Lake 14</t>
  </si>
  <si>
    <t>Coastal Plain Lake 15</t>
  </si>
  <si>
    <t>Coastal Plain Lake 16</t>
  </si>
  <si>
    <t>Coastal Plain Lake 17</t>
  </si>
  <si>
    <t>Coastal Plain Lake 18</t>
  </si>
  <si>
    <t>Coastal Plain Lake 19</t>
  </si>
  <si>
    <t>Coastal Plain Lake 20</t>
  </si>
  <si>
    <t>Coastal Plain Lake 21</t>
  </si>
  <si>
    <t>Coastal Plain Lake 22</t>
  </si>
  <si>
    <t>Coastal Plain Lake 23</t>
  </si>
  <si>
    <t>Coastal Plain Lake 24</t>
  </si>
  <si>
    <t>Coastal Plain Lake 25</t>
  </si>
  <si>
    <t>Coastal Plain Lake 26</t>
  </si>
  <si>
    <t>Coastal Plain Lake 27</t>
  </si>
  <si>
    <t>Coastal Plain Lake 28</t>
  </si>
  <si>
    <t>Costal Plain Lake 29</t>
  </si>
  <si>
    <t>Helicopter Survey Lake 01</t>
  </si>
  <si>
    <t>Helicopter Survey Lake 02</t>
  </si>
  <si>
    <t>Helicopter Survey Lake 03</t>
  </si>
  <si>
    <t>Helicopter Survey Lake 04</t>
  </si>
  <si>
    <t>Helicopter Survey Lake 05</t>
  </si>
  <si>
    <t>Helicopter Survey Lake 06</t>
  </si>
  <si>
    <t>Helicopter Survey Lake 07</t>
  </si>
  <si>
    <t>Helicopter Survey Lake 08</t>
  </si>
  <si>
    <t>Helicopter Survey Lake 09</t>
  </si>
  <si>
    <t>Helicopter Survey Lake 10</t>
  </si>
  <si>
    <t>Helicopter Survey Lake 11</t>
  </si>
  <si>
    <t>Helicopter Survey Lake 12</t>
  </si>
  <si>
    <t>Helicopter Survey Lake 13</t>
  </si>
  <si>
    <t>Helicopter Survey Lake 15</t>
  </si>
  <si>
    <t>Paleo Lakes survey 1</t>
  </si>
  <si>
    <t>Paleo Lakes survey 2</t>
  </si>
  <si>
    <t>Paleo Lakes survey 3</t>
  </si>
  <si>
    <t>Paleo Lakes survey 4</t>
  </si>
  <si>
    <t>Paleo Lakes survey 5</t>
  </si>
  <si>
    <t>Paleo Lakes survey 7</t>
  </si>
  <si>
    <t>Perched Lake</t>
  </si>
  <si>
    <t>Reba Lake</t>
  </si>
  <si>
    <t>Fog 01</t>
  </si>
  <si>
    <t>Fog 02</t>
  </si>
  <si>
    <t>Fog 03</t>
  </si>
  <si>
    <t>Fog 04</t>
  </si>
  <si>
    <t>Fog 05</t>
  </si>
  <si>
    <t/>
  </si>
  <si>
    <t>E 01 Outlet</t>
  </si>
  <si>
    <t>Fantasy Lake</t>
  </si>
  <si>
    <t>Hershey Creek</t>
  </si>
  <si>
    <t>I8 Outlet</t>
  </si>
  <si>
    <t>Imnavait Weir</t>
  </si>
  <si>
    <t>Kuparuk River</t>
  </si>
  <si>
    <t>LTER 452</t>
  </si>
  <si>
    <t>LTER 453</t>
  </si>
  <si>
    <t>LTER 454</t>
  </si>
  <si>
    <t>LTER 455</t>
  </si>
  <si>
    <t>LTER 456</t>
  </si>
  <si>
    <t>LTER 457</t>
  </si>
  <si>
    <t>LTER 458</t>
  </si>
  <si>
    <t>LTER 459</t>
  </si>
  <si>
    <t>LTER 460</t>
  </si>
  <si>
    <t>LTER 461</t>
  </si>
  <si>
    <t>LTER 462</t>
  </si>
  <si>
    <t>LTER 463</t>
  </si>
  <si>
    <t>LTER 464</t>
  </si>
  <si>
    <t>LTER 465</t>
  </si>
  <si>
    <t>LTER 466</t>
  </si>
  <si>
    <t>LTER 467</t>
  </si>
  <si>
    <t>LTER 468</t>
  </si>
  <si>
    <t>LTER 469</t>
  </si>
  <si>
    <t>LTER 470</t>
  </si>
  <si>
    <t>LTER 471</t>
  </si>
  <si>
    <t>LTER 472</t>
  </si>
  <si>
    <t>LTER 473</t>
  </si>
  <si>
    <t>LTER 474</t>
  </si>
  <si>
    <t>LTER 475</t>
  </si>
  <si>
    <t>LTER 476</t>
  </si>
  <si>
    <t>LTER 477</t>
  </si>
  <si>
    <t>LTER 478</t>
  </si>
  <si>
    <t>LTER 479</t>
  </si>
  <si>
    <t>LTER 480</t>
  </si>
  <si>
    <t>Toolik Lake Limno Corrals</t>
  </si>
  <si>
    <t>Experiments done in Limno Bay</t>
  </si>
  <si>
    <t>Toolik Outlet</t>
  </si>
  <si>
    <t>TW 01</t>
  </si>
  <si>
    <t>Tussock Watershed soil water sites</t>
  </si>
  <si>
    <t>TW 02</t>
  </si>
  <si>
    <t>TW 07</t>
  </si>
  <si>
    <t>TW 08</t>
  </si>
  <si>
    <t>TW 09</t>
  </si>
  <si>
    <t>TW 10</t>
  </si>
  <si>
    <t>TW 11</t>
  </si>
  <si>
    <t>TW 12</t>
  </si>
  <si>
    <t>TW 13</t>
  </si>
  <si>
    <t>TW 14</t>
  </si>
  <si>
    <t>Wolf Creek</t>
  </si>
  <si>
    <t>Oksrukuyik Creek Tributary</t>
  </si>
  <si>
    <t>Ahaliorak Lake</t>
  </si>
  <si>
    <t>Lake and stream survey 1988 #21</t>
  </si>
  <si>
    <t>Lake and stream survey 1988 #14</t>
  </si>
  <si>
    <t>Lake and stream survey 1988 #15</t>
  </si>
  <si>
    <t>Lake and stream survey 1988 #27; C Pond; CP</t>
  </si>
  <si>
    <t>Oil Can; Gas Can</t>
  </si>
  <si>
    <t>LH-1</t>
  </si>
  <si>
    <t>LS-1</t>
  </si>
  <si>
    <t>LH-2</t>
  </si>
  <si>
    <t>LS-2</t>
  </si>
  <si>
    <t>LH-3</t>
  </si>
  <si>
    <t>LS-3</t>
  </si>
  <si>
    <t>LH-4</t>
  </si>
  <si>
    <t>LS-4</t>
  </si>
  <si>
    <t>LH-5</t>
  </si>
  <si>
    <t>LS-5</t>
  </si>
  <si>
    <t>LH-6</t>
  </si>
  <si>
    <t>LS-6</t>
  </si>
  <si>
    <t>LH-7</t>
  </si>
  <si>
    <t>LS-7</t>
  </si>
  <si>
    <t>LH-8</t>
  </si>
  <si>
    <t>LS-8</t>
  </si>
  <si>
    <t>LH-9</t>
  </si>
  <si>
    <t>LS-9</t>
  </si>
  <si>
    <t>LH-10</t>
  </si>
  <si>
    <t>LS-10</t>
  </si>
  <si>
    <t>LH-11</t>
  </si>
  <si>
    <t>LS-11</t>
  </si>
  <si>
    <t>LH-12</t>
  </si>
  <si>
    <t>LS-12</t>
  </si>
  <si>
    <t>LH-13</t>
  </si>
  <si>
    <t>LS-13</t>
  </si>
  <si>
    <t>LH-14</t>
  </si>
  <si>
    <t>LS-14</t>
  </si>
  <si>
    <t>LS-15</t>
  </si>
  <si>
    <t>LH-16</t>
  </si>
  <si>
    <t>LS-16</t>
  </si>
  <si>
    <t>LH-17</t>
  </si>
  <si>
    <t>LS-17</t>
  </si>
  <si>
    <t>LH-18</t>
  </si>
  <si>
    <t>LS-18</t>
  </si>
  <si>
    <t>LH-19</t>
  </si>
  <si>
    <t>LS-19</t>
  </si>
  <si>
    <t>LH-20</t>
  </si>
  <si>
    <t>LS-20</t>
  </si>
  <si>
    <t>LH-21</t>
  </si>
  <si>
    <t>LS-21</t>
  </si>
  <si>
    <t>LH-22</t>
  </si>
  <si>
    <t>LS-22</t>
  </si>
  <si>
    <t>LH-23</t>
  </si>
  <si>
    <t>LS-23</t>
  </si>
  <si>
    <t>LH-24</t>
  </si>
  <si>
    <t>LS-24</t>
  </si>
  <si>
    <t>LH-25</t>
  </si>
  <si>
    <t>LS-25</t>
  </si>
  <si>
    <t>LH-26</t>
  </si>
  <si>
    <t>LS-26</t>
  </si>
  <si>
    <t>LH-27</t>
  </si>
  <si>
    <t>LS-27</t>
  </si>
  <si>
    <t>LH-28</t>
  </si>
  <si>
    <t>LS-28</t>
  </si>
  <si>
    <t>LH-29</t>
  </si>
  <si>
    <t>Dimple Inlet</t>
  </si>
  <si>
    <t>Dimple Outlet; Dimple Lake Outlet - NEW</t>
  </si>
  <si>
    <t>Dimple Outlet Stream</t>
  </si>
  <si>
    <t>Lake and stream survey 1988 #20</t>
  </si>
  <si>
    <t>E 1; E1</t>
  </si>
  <si>
    <t>E1 Outlet; E1-Out; E 1 Outlet</t>
  </si>
  <si>
    <t>E 2; E2</t>
  </si>
  <si>
    <t>E 3; E3</t>
  </si>
  <si>
    <t>E 4; E4</t>
  </si>
  <si>
    <t>Oil Spill Lake; Oil; E 5; E5; Oil Lake</t>
  </si>
  <si>
    <t>E 6; E6; Jorgenson</t>
  </si>
  <si>
    <t>Foggy Lake; Fog 01; F1</t>
  </si>
  <si>
    <t>Hanging Lake; Fog 02; F2</t>
  </si>
  <si>
    <t>Moose Lake; Fog 03; F3</t>
  </si>
  <si>
    <t>Fog 04; F4</t>
  </si>
  <si>
    <t>Fog 05; F5</t>
  </si>
  <si>
    <t>Lake and stream survey 1988 #04</t>
  </si>
  <si>
    <t>GS03</t>
  </si>
  <si>
    <t>GS04</t>
  </si>
  <si>
    <t>GS05</t>
  </si>
  <si>
    <t>GS06</t>
  </si>
  <si>
    <t>GS07</t>
  </si>
  <si>
    <t>GS08</t>
  </si>
  <si>
    <t>GS09</t>
  </si>
  <si>
    <t>GS14</t>
  </si>
  <si>
    <t>GS17</t>
  </si>
  <si>
    <t>GS18</t>
  </si>
  <si>
    <t>GS19</t>
  </si>
  <si>
    <t>GS20</t>
  </si>
  <si>
    <t>GTH#46; GTH 046</t>
  </si>
  <si>
    <t>LH2-1</t>
  </si>
  <si>
    <t>LH2-2</t>
  </si>
  <si>
    <t>Colville River; LH2-3</t>
  </si>
  <si>
    <t>Shirukak Lake; LH2-4</t>
  </si>
  <si>
    <t>Itkillik River near Shirukak Lake; LH2-5</t>
  </si>
  <si>
    <t>Imaiknik Lake; LH2-6</t>
  </si>
  <si>
    <t>LH2-7</t>
  </si>
  <si>
    <t>LH2-8</t>
  </si>
  <si>
    <t>LH2-9</t>
  </si>
  <si>
    <t>LH2-10</t>
  </si>
  <si>
    <t>LH2-11</t>
  </si>
  <si>
    <t>Ahaliorak Lake; LH2-12</t>
  </si>
  <si>
    <t>Sitchiak Lake; LH2-13</t>
  </si>
  <si>
    <t>Coastal plain survey #2 site 15 in 1995; LH2-15</t>
  </si>
  <si>
    <t>I Minus 1</t>
  </si>
  <si>
    <t>I Minus 2</t>
  </si>
  <si>
    <t>Swamp; I-Swamp; I-swamp</t>
  </si>
  <si>
    <t>I-swamp In; Swamp In; IS20</t>
  </si>
  <si>
    <t>I-swamp Out; Swamp Out; IS21</t>
  </si>
  <si>
    <t>I 1; I-1</t>
  </si>
  <si>
    <t>I1-I3; IS4; I1 to I3</t>
  </si>
  <si>
    <t>I1 Out; IS3; I1-outlet</t>
  </si>
  <si>
    <t>I 2; I-2</t>
  </si>
  <si>
    <t>I2-I3; IS5; I2 to I3</t>
  </si>
  <si>
    <t>I2 Out; IS2; I2-out</t>
  </si>
  <si>
    <t>I 3; I-3</t>
  </si>
  <si>
    <t>I3 Out; IS6; I3-out</t>
  </si>
  <si>
    <t>I 4; I-4</t>
  </si>
  <si>
    <t>I4-I5; IS8; I4 to I5</t>
  </si>
  <si>
    <t>I4 Out; IS7; I4-out</t>
  </si>
  <si>
    <t>I 5; I-5</t>
  </si>
  <si>
    <t>I5-I6; IS10; I5 to I6</t>
  </si>
  <si>
    <t>I5 Out; IS9; I5-out</t>
  </si>
  <si>
    <t>I 6; I-6</t>
  </si>
  <si>
    <t>I6 West Headwater; I6 HW; I6 Headwaters; I6 Headwaters Lake; I6 West Headwaters</t>
  </si>
  <si>
    <t>I6 West Headwaters Inlet; I6 HW Inlet; I6WHin; I6 Headwaters Inlet</t>
  </si>
  <si>
    <t>I6 West Headwaters Outlet; I6 HW Outlet; I6WHout; I6 Headwaters Outlet</t>
  </si>
  <si>
    <t>I6 West Inlet; IS11; I6-In West</t>
  </si>
  <si>
    <t>I6 Out; IS12; I6-out</t>
  </si>
  <si>
    <t>I 7; I-7</t>
  </si>
  <si>
    <t>I7-I9; IS16; I7 to I9</t>
  </si>
  <si>
    <t>I7 Out; IS13; I7-out</t>
  </si>
  <si>
    <t>I 8; I-8</t>
  </si>
  <si>
    <t>I8 HW; IS1; I8 Head; I8 Headwaters</t>
  </si>
  <si>
    <t>I8 In; IS14; I8-In</t>
  </si>
  <si>
    <t>I8-I9; IS17; I8 to I9</t>
  </si>
  <si>
    <t>I8 Out; Blueberry Creek ; IS15</t>
  </si>
  <si>
    <t>I 9; I-9</t>
  </si>
  <si>
    <t>I9 Out; IS22</t>
  </si>
  <si>
    <t>IMN Weir; Imnavait</t>
  </si>
  <si>
    <t>Lake and stream survey 1988 #28</t>
  </si>
  <si>
    <t>Has been called NE15, which is incorrect.  Delete this reference if you find it, and change to Itigaknit.</t>
  </si>
  <si>
    <t>Itkillik</t>
  </si>
  <si>
    <t>Angie 1a</t>
  </si>
  <si>
    <t>Angie 2a</t>
  </si>
  <si>
    <t>Kup; Kup at road</t>
  </si>
  <si>
    <t>Lake and stream survey 1988 #18</t>
  </si>
  <si>
    <t>Lake and stream survey 1988 #05</t>
  </si>
  <si>
    <t>Lake and stream survey 1988 #17</t>
  </si>
  <si>
    <t>Lake and stream survey 1988 #10</t>
  </si>
  <si>
    <t>Lake and stream survey 1988 #22; Colleen Lake</t>
  </si>
  <si>
    <t>Lake and stream survey 1988 #06</t>
  </si>
  <si>
    <t>Lake and stream survey 1988 #16</t>
  </si>
  <si>
    <t>Lake and stream survey 1988 #26; William Lake</t>
  </si>
  <si>
    <t>GTH 01</t>
  </si>
  <si>
    <t>GTH 02</t>
  </si>
  <si>
    <t>GTH 03</t>
  </si>
  <si>
    <t>GTH 04</t>
  </si>
  <si>
    <t>GTH 05</t>
  </si>
  <si>
    <t>GTH 06</t>
  </si>
  <si>
    <t>GTH 07</t>
  </si>
  <si>
    <t>GTH 08</t>
  </si>
  <si>
    <t>GTH 09</t>
  </si>
  <si>
    <t>GTH 10</t>
  </si>
  <si>
    <t>GTH 11</t>
  </si>
  <si>
    <t>GTH 12</t>
  </si>
  <si>
    <t>GTH 13</t>
  </si>
  <si>
    <t>GTH 14</t>
  </si>
  <si>
    <t>GTH 15</t>
  </si>
  <si>
    <t>GTH 16</t>
  </si>
  <si>
    <t>GTH 17</t>
  </si>
  <si>
    <t>GTH 18</t>
  </si>
  <si>
    <t>GTH 19</t>
  </si>
  <si>
    <t>GTH 20</t>
  </si>
  <si>
    <t>GTH 21</t>
  </si>
  <si>
    <t>GTH 22</t>
  </si>
  <si>
    <t>GTH 23</t>
  </si>
  <si>
    <t>GTH 24</t>
  </si>
  <si>
    <t>GTH 25</t>
  </si>
  <si>
    <t>GTH 26</t>
  </si>
  <si>
    <t>GTH 27</t>
  </si>
  <si>
    <t>GTH 28</t>
  </si>
  <si>
    <t>GTH 29</t>
  </si>
  <si>
    <t>GTH 30</t>
  </si>
  <si>
    <t>GTH 31</t>
  </si>
  <si>
    <t>GTH 32</t>
  </si>
  <si>
    <t>GTH 33</t>
  </si>
  <si>
    <t>GTH 34</t>
  </si>
  <si>
    <t>GTH 35</t>
  </si>
  <si>
    <t>GTH 36</t>
  </si>
  <si>
    <t>GTH 37</t>
  </si>
  <si>
    <t>GTH 38</t>
  </si>
  <si>
    <t>GTH 39</t>
  </si>
  <si>
    <t>GTH 40</t>
  </si>
  <si>
    <t>GTH 41</t>
  </si>
  <si>
    <t>GTH 42</t>
  </si>
  <si>
    <t>GTH 43</t>
  </si>
  <si>
    <t>GTH 44</t>
  </si>
  <si>
    <t>GTH 45</t>
  </si>
  <si>
    <t>GTH 47</t>
  </si>
  <si>
    <t>GTH 48</t>
  </si>
  <si>
    <t>GTH 49</t>
  </si>
  <si>
    <t>GTH 50</t>
  </si>
  <si>
    <t>GTH 51</t>
  </si>
  <si>
    <t>GTH 52</t>
  </si>
  <si>
    <t>GTH 53</t>
  </si>
  <si>
    <t>GTH 54</t>
  </si>
  <si>
    <t>GTH 55</t>
  </si>
  <si>
    <t>GTH 56</t>
  </si>
  <si>
    <t>GTH 57; Wolverine Lake</t>
  </si>
  <si>
    <t>GTH 58; Wounded Caribou Lake</t>
  </si>
  <si>
    <t>Wounded Caribou Lake Outlet</t>
  </si>
  <si>
    <t>GTH 59</t>
  </si>
  <si>
    <t>GTH 60</t>
  </si>
  <si>
    <t>GTH 61</t>
  </si>
  <si>
    <t>GTH 62</t>
  </si>
  <si>
    <t>GTH 63</t>
  </si>
  <si>
    <t>GTH 64</t>
  </si>
  <si>
    <t>GTH 65</t>
  </si>
  <si>
    <t>GTH 66</t>
  </si>
  <si>
    <t>GTH 67</t>
  </si>
  <si>
    <t>GTH 69</t>
  </si>
  <si>
    <t>GTH 70</t>
  </si>
  <si>
    <t>GTH 71</t>
  </si>
  <si>
    <t>GTH 72</t>
  </si>
  <si>
    <t>GTH 73</t>
  </si>
  <si>
    <t>GTH 74</t>
  </si>
  <si>
    <t>GTH 75</t>
  </si>
  <si>
    <t>GTH 76</t>
  </si>
  <si>
    <t>GTH 77</t>
  </si>
  <si>
    <t>GTH 78</t>
  </si>
  <si>
    <t>GTH 79</t>
  </si>
  <si>
    <t>GTH 80</t>
  </si>
  <si>
    <t>GTH 81</t>
  </si>
  <si>
    <t>GTH 83</t>
  </si>
  <si>
    <t>GTH 84</t>
  </si>
  <si>
    <t>GTH 85</t>
  </si>
  <si>
    <t>GTH 87</t>
  </si>
  <si>
    <t>GTH 88</t>
  </si>
  <si>
    <t>GTH 89</t>
  </si>
  <si>
    <t>GTH 90</t>
  </si>
  <si>
    <t>GTH 91</t>
  </si>
  <si>
    <t>GTH 82</t>
  </si>
  <si>
    <t>GTH 92</t>
  </si>
  <si>
    <t>GTH 93</t>
  </si>
  <si>
    <t>GTH 94</t>
  </si>
  <si>
    <t>GTH 95</t>
  </si>
  <si>
    <t>GTH 96</t>
  </si>
  <si>
    <t>GTH 97</t>
  </si>
  <si>
    <t>GTH 98</t>
  </si>
  <si>
    <t>GTH 99; Airstrip Lakes A1</t>
  </si>
  <si>
    <t>GTH 100; Airstrip Lakes A2</t>
  </si>
  <si>
    <t>GTH 101; Airstrip Lakes A3</t>
  </si>
  <si>
    <t>GTH 102</t>
  </si>
  <si>
    <t>GTH 103; Airstrip Lakes A4</t>
  </si>
  <si>
    <t>GTH 104</t>
  </si>
  <si>
    <t>GTH 105</t>
  </si>
  <si>
    <t>GTH 106</t>
  </si>
  <si>
    <t>GTH 107</t>
  </si>
  <si>
    <t>GTH 108</t>
  </si>
  <si>
    <t>GTH 109</t>
  </si>
  <si>
    <t>GTH 110</t>
  </si>
  <si>
    <t>GTH 111</t>
  </si>
  <si>
    <t>GTH 112</t>
  </si>
  <si>
    <t>GTH 113</t>
  </si>
  <si>
    <t>GTH 114</t>
  </si>
  <si>
    <t>Conflict Lakes B4; GTH154 or 153</t>
  </si>
  <si>
    <t>GTH 115</t>
  </si>
  <si>
    <t>GTH 116</t>
  </si>
  <si>
    <t>GTH 117</t>
  </si>
  <si>
    <t>GTH 118</t>
  </si>
  <si>
    <t>GTH 119</t>
  </si>
  <si>
    <t>GTH 120</t>
  </si>
  <si>
    <t>GTH 121</t>
  </si>
  <si>
    <t>GTH 122</t>
  </si>
  <si>
    <t>GTH 123</t>
  </si>
  <si>
    <t>GTH 124</t>
  </si>
  <si>
    <t>GTH 125</t>
  </si>
  <si>
    <t>GTH 126</t>
  </si>
  <si>
    <t>Kup headwater lake -- Fourth lake above Green Cabin Lake</t>
  </si>
  <si>
    <t>MWL; IS18; Milkyway</t>
  </si>
  <si>
    <t>MWU; IS24</t>
  </si>
  <si>
    <t>N1; N1S and N1D for Shallow and Deep ends of the lake</t>
  </si>
  <si>
    <t>N2; N2F, N2C, N2 Reference, and N2 Treatment</t>
  </si>
  <si>
    <t>N3</t>
  </si>
  <si>
    <t>N4</t>
  </si>
  <si>
    <t>N5</t>
  </si>
  <si>
    <t>N6</t>
  </si>
  <si>
    <t>N7</t>
  </si>
  <si>
    <t>NE1</t>
  </si>
  <si>
    <t>NE2</t>
  </si>
  <si>
    <t>NE3</t>
  </si>
  <si>
    <t>NE4</t>
  </si>
  <si>
    <t>NE5</t>
  </si>
  <si>
    <t>NE6</t>
  </si>
  <si>
    <t>NE7</t>
  </si>
  <si>
    <t>NE8</t>
  </si>
  <si>
    <t>NE9</t>
  </si>
  <si>
    <t>NE10</t>
  </si>
  <si>
    <t>Dog Bone Lake</t>
  </si>
  <si>
    <t>Lunker Lake</t>
  </si>
  <si>
    <t>NE15</t>
  </si>
  <si>
    <t>NE16</t>
  </si>
  <si>
    <t>NE9B; bedrock lake; ne 9b</t>
  </si>
  <si>
    <t>Bacterial Survey 21; BS21</t>
  </si>
  <si>
    <t>Bacterial Survey 22; BS22</t>
  </si>
  <si>
    <t>Bacterial Survey 23; BS23</t>
  </si>
  <si>
    <t>Bacterial Survey 24; BS24</t>
  </si>
  <si>
    <t>Bacterial Survey 25; BS25</t>
  </si>
  <si>
    <t>O 1</t>
  </si>
  <si>
    <t>O 2</t>
  </si>
  <si>
    <t>O 3</t>
  </si>
  <si>
    <t>Ox; Oxy</t>
  </si>
  <si>
    <t>PLS1  or Winter Trail</t>
  </si>
  <si>
    <t>PLS2 or Red Green (RG)</t>
  </si>
  <si>
    <t>PLS3 or UU</t>
  </si>
  <si>
    <t>PLS4 or QQ</t>
  </si>
  <si>
    <t>PLS5 or SS</t>
  </si>
  <si>
    <t>PLS7 or WW</t>
  </si>
  <si>
    <t xml:space="preserve">Perch Lake </t>
  </si>
  <si>
    <t>Phenology Station @ 2304 Tower</t>
  </si>
  <si>
    <t>Mt. Roche; Roche Moutanee; RMT</t>
  </si>
  <si>
    <t>S5</t>
  </si>
  <si>
    <t>S6</t>
  </si>
  <si>
    <t>LTER 592</t>
  </si>
  <si>
    <t>Lake and stream survey 1988 #19</t>
  </si>
  <si>
    <t>Picnic pulloff</t>
  </si>
  <si>
    <t>Shasta Lake</t>
  </si>
  <si>
    <t>Lake and stream survey 1988 #12</t>
  </si>
  <si>
    <t>South Main; South River Main</t>
  </si>
  <si>
    <t>South River Trib</t>
  </si>
  <si>
    <t>TM; Tlk; Toolik Main</t>
  </si>
  <si>
    <t>Toolik Inlet Stream; IS19; Toolik inlet; TI; T</t>
  </si>
  <si>
    <t>TLB; Toolik Bay</t>
  </si>
  <si>
    <t>Toolik Outlet Stream</t>
  </si>
  <si>
    <t>TW1</t>
  </si>
  <si>
    <t>TW2</t>
  </si>
  <si>
    <t>TW7</t>
  </si>
  <si>
    <t>TW8</t>
  </si>
  <si>
    <t>TW9</t>
  </si>
  <si>
    <t>TW10</t>
  </si>
  <si>
    <t>TW11</t>
  </si>
  <si>
    <t>TW12</t>
  </si>
  <si>
    <t>TW13</t>
  </si>
  <si>
    <t>TW14</t>
  </si>
  <si>
    <t>TWLower; TWL</t>
  </si>
  <si>
    <t>Tussock watershed (TW) Weir       ; Weir</t>
  </si>
  <si>
    <t>VTK</t>
  </si>
  <si>
    <t>VTK1</t>
  </si>
  <si>
    <t>VTK2</t>
  </si>
  <si>
    <t>Lake and stream survey 1988 #11</t>
  </si>
  <si>
    <t>Yurlake into NE14</t>
  </si>
  <si>
    <t>Alternate Names ; separated</t>
  </si>
  <si>
    <t>Sagavanirktok River</t>
  </si>
  <si>
    <t>Sag R; Sag</t>
  </si>
  <si>
    <t>Toolik River various locations</t>
  </si>
  <si>
    <t>Sampled at various locations, at the Haul road crossing and at the confluence with the Kuparuk River</t>
  </si>
  <si>
    <t>Imnavait Creek</t>
  </si>
  <si>
    <t>IMN; Imnaviat</t>
  </si>
  <si>
    <t>Ribdon River</t>
  </si>
  <si>
    <t>Kuparuk Spring</t>
  </si>
  <si>
    <t>Kuparuk River Ice Field</t>
  </si>
  <si>
    <t>Kuparuk aufeis</t>
  </si>
  <si>
    <t>Section Creek</t>
  </si>
  <si>
    <t>Cobblestone Creek</t>
  </si>
  <si>
    <t>Toolik River Ice Field</t>
  </si>
  <si>
    <t>Toolik aufeis</t>
  </si>
  <si>
    <t>May Creek</t>
  </si>
  <si>
    <t>Echooka River</t>
  </si>
  <si>
    <t>Atigun tributary station 01</t>
  </si>
  <si>
    <t>Atigun trib sta 1</t>
  </si>
  <si>
    <t>Atigun tributary station 02</t>
  </si>
  <si>
    <t>Atigun trib sta 2</t>
  </si>
  <si>
    <t>Atigun tributary station 03</t>
  </si>
  <si>
    <t>Atigun trib sta 3</t>
  </si>
  <si>
    <t>Gates River Station 04</t>
  </si>
  <si>
    <t>Gates River Sta. 4</t>
  </si>
  <si>
    <t>Gates River Station 05</t>
  </si>
  <si>
    <t>Gates River Sta. 5</t>
  </si>
  <si>
    <t>Gates River Station 06</t>
  </si>
  <si>
    <t>Gates River Sta. 6</t>
  </si>
  <si>
    <t>S 08</t>
  </si>
  <si>
    <t>S 09</t>
  </si>
  <si>
    <t>Coastal Plain Lake  30</t>
  </si>
  <si>
    <t>Colville river</t>
  </si>
  <si>
    <t>Coastal Plain survey #3 in 1995</t>
  </si>
  <si>
    <t>Coastal Plain Lake  00</t>
  </si>
  <si>
    <t>Costal plain Survey #1 in 1995</t>
  </si>
  <si>
    <t>I8 Outlet Tributary</t>
  </si>
  <si>
    <t>"NA" is the same as Blueberry Creek, and should be called I-8 Outlet</t>
  </si>
  <si>
    <t>NA Trib; Blueberry Creek Trib; IS23</t>
  </si>
  <si>
    <t>NE 13</t>
  </si>
  <si>
    <t>NE13</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</si>
  <si>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</si>
  <si>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</si>
  <si>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</si>
  <si>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</si>
  <si>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</si>
  <si>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</si>
  <si>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</si>
  <si>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</si>
  <si>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</si>
  <si>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</si>
  <si>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</si>
  <si>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Desert Lake</t>
  </si>
  <si>
    <t>Far South Lake  04</t>
  </si>
  <si>
    <t>Far South Lake  05</t>
  </si>
  <si>
    <t>North Lake Inlet</t>
  </si>
  <si>
    <t>North Lake Outlet</t>
  </si>
  <si>
    <t>Perched Lake Outlet</t>
  </si>
  <si>
    <t>Perch Lake Outlet</t>
  </si>
  <si>
    <t>I8 Inlet-0.42k</t>
  </si>
  <si>
    <t>I8 Headwaters Habitat Survey</t>
  </si>
  <si>
    <t>TW 03</t>
  </si>
  <si>
    <t>TW3</t>
  </si>
  <si>
    <t>TW 04</t>
  </si>
  <si>
    <t>TW4</t>
  </si>
  <si>
    <t>TW 05</t>
  </si>
  <si>
    <t>TW5</t>
  </si>
  <si>
    <t>TW 06</t>
  </si>
  <si>
    <t>TW6</t>
  </si>
  <si>
    <t>Watering Plots C1</t>
  </si>
  <si>
    <t>WP C1; WPC1</t>
  </si>
  <si>
    <t>Watering Plots C2</t>
  </si>
  <si>
    <t>WP C2; WPC2</t>
  </si>
  <si>
    <t>Watering Plots C3</t>
  </si>
  <si>
    <t>WP C3; WPC3</t>
  </si>
  <si>
    <t>Watering Plots C4</t>
  </si>
  <si>
    <t>WP C4; WPC4</t>
  </si>
  <si>
    <t>Watering Plots C5</t>
  </si>
  <si>
    <t>WP C5; WPC5</t>
  </si>
  <si>
    <t>Watering Plots C6</t>
  </si>
  <si>
    <t>WP C6; WPC6</t>
  </si>
  <si>
    <t>Watering Plots W1</t>
  </si>
  <si>
    <t>WP W1; WPW1</t>
  </si>
  <si>
    <t>Watering Plots W2</t>
  </si>
  <si>
    <t>WP W2; WPW2</t>
  </si>
  <si>
    <t>Watering Plots W3</t>
  </si>
  <si>
    <t>WP W3; WPW3</t>
  </si>
  <si>
    <t>Watering Plots W4</t>
  </si>
  <si>
    <t>WP W4; WPW4</t>
  </si>
  <si>
    <t>Watering Plots W5</t>
  </si>
  <si>
    <t>WP W5; WPW5</t>
  </si>
  <si>
    <t>Watering Plots W6</t>
  </si>
  <si>
    <t>WP W6; WPW6</t>
  </si>
  <si>
    <t>Watering Plots Barrel Water</t>
  </si>
  <si>
    <t>WP Barrel; WPBarrel</t>
  </si>
  <si>
    <t xml:space="preserve">LTER Tussock Block 1 Exclosure Control     </t>
  </si>
  <si>
    <t xml:space="preserve">LTER Tussock Block 1 Exclosure Control Large Mesh Fence  </t>
  </si>
  <si>
    <t xml:space="preserve">LTER Tussock Block 1 Exclosure Control Small Mesh Fence  </t>
  </si>
  <si>
    <t xml:space="preserve">LTER Tussock Block 1 Greenhouse with Nitrogen and Phosphorus  </t>
  </si>
  <si>
    <t>B1 GH NP</t>
  </si>
  <si>
    <t xml:space="preserve">LTER Tussock Block 1 Greenhouse Control     </t>
  </si>
  <si>
    <t>B1 GH CT</t>
  </si>
  <si>
    <t xml:space="preserve">LTER Tussock Block 1 Control 1     </t>
  </si>
  <si>
    <t xml:space="preserve">LTER Tussock Block 1 Phosphorus Only     </t>
  </si>
  <si>
    <t>B1 P</t>
  </si>
  <si>
    <t xml:space="preserve">LTER Tussock Block 1 Nitrogen Only     </t>
  </si>
  <si>
    <t>B1 N</t>
  </si>
  <si>
    <t xml:space="preserve">LTER Tussock Block 1 Nitrogen and Phosphorus    </t>
  </si>
  <si>
    <t>B1 NP</t>
  </si>
  <si>
    <t>LTER Tussock Block 1 Exclosure Nitrogen and Phosphorus Large Mesh Fence</t>
  </si>
  <si>
    <t>LTER Tussock Block 1 Exclosure Nitrogen and Phosphorus Small Mesh Fence</t>
  </si>
  <si>
    <t xml:space="preserve">LTER Tussock Block 1 Exclosure Nitrogen and Phosphorus Control  </t>
  </si>
  <si>
    <t xml:space="preserve">LTER Tussock Block 1 Shade with Nitrogen and Phosphorus  </t>
  </si>
  <si>
    <t xml:space="preserve">LTER Tussock Block 1 Shade Control     </t>
  </si>
  <si>
    <t xml:space="preserve">LTER Tussock Block 1 Control 2     </t>
  </si>
  <si>
    <t xml:space="preserve">LTER Tussock Block 1 Extra  3     </t>
  </si>
  <si>
    <t xml:space="preserve">LTER Tussock Block 2 Exclosure Nitrogen and Phosphorus Control  </t>
  </si>
  <si>
    <t>LTER Tussock Block 2 Exclosure Nitrogen and Phosphorus Small Mesh Fence</t>
  </si>
  <si>
    <t>LTER Tussock Block 2 Exclosure Nitrogen and Phosphorus Large Mesh Fence</t>
  </si>
  <si>
    <t xml:space="preserve">LTER Tussock Block 2 Phosphorus Only     </t>
  </si>
  <si>
    <t xml:space="preserve">LTER Tussock Block 2 Control 2     </t>
  </si>
  <si>
    <t xml:space="preserve">LTER Tussock Block 2 Shade with Nitrogen and Phosphorus  </t>
  </si>
  <si>
    <t xml:space="preserve">LTER Tussock Block 2 Shade Control     </t>
  </si>
  <si>
    <t xml:space="preserve">LTER Tussock Block 2 Control 1     </t>
  </si>
  <si>
    <t xml:space="preserve">LTER Tussock Block 2 Greenhouse with Nitrogen and Phosphorus  </t>
  </si>
  <si>
    <t>B2 GH NP</t>
  </si>
  <si>
    <t xml:space="preserve">LTER Tussock Block 2 Greenhouse Control     </t>
  </si>
  <si>
    <t>B2 GH CT</t>
  </si>
  <si>
    <t xml:space="preserve">LTER Tussock Block 2 Nitrogen Only     </t>
  </si>
  <si>
    <t>B2 N</t>
  </si>
  <si>
    <t xml:space="preserve">LTER Tussock Block 2 Nitrogen and Phosphorus    </t>
  </si>
  <si>
    <t>B2 NP</t>
  </si>
  <si>
    <t xml:space="preserve">LTER Tussock Block 2 Exclosure Control     </t>
  </si>
  <si>
    <t xml:space="preserve">LTER Tussock Block 2 Exclosure Control Large Mesh Fence  </t>
  </si>
  <si>
    <t xml:space="preserve">LTER Tussock Block 2 Exclosure Control Small Mesh Fence  </t>
  </si>
  <si>
    <t xml:space="preserve">LTER Tussock Block 2 Extra  3     </t>
  </si>
  <si>
    <t xml:space="preserve">LTER Tussock Block 3 Shade with Nitrogen and Phosphorus  </t>
  </si>
  <si>
    <t xml:space="preserve">LTER Tussock Block 3 Shade Control     </t>
  </si>
  <si>
    <t xml:space="preserve">LTER Tussock Block 3 Phosphorus Only     </t>
  </si>
  <si>
    <t>B3 P</t>
  </si>
  <si>
    <t xml:space="preserve">LTER Tussock Block 3 Nitrogen and Phosphorus    </t>
  </si>
  <si>
    <t>B3 NP</t>
  </si>
  <si>
    <t xml:space="preserve">LTER Tussock Block 3 Control 1     </t>
  </si>
  <si>
    <t>B3 CT 1</t>
  </si>
  <si>
    <t xml:space="preserve">LTER Tussock Block 3 Control 2     </t>
  </si>
  <si>
    <t>B3 CT 2</t>
  </si>
  <si>
    <t xml:space="preserve">LTER Tussock Block 3 Greenhouse with Nitrogen and Phosphorus  </t>
  </si>
  <si>
    <t>B3 GH NP</t>
  </si>
  <si>
    <t xml:space="preserve">LTER Tussock Block 3 Greenhouse Control     </t>
  </si>
  <si>
    <t>B3 GH CT</t>
  </si>
  <si>
    <t xml:space="preserve">LTER Tussock Block 3 Exclosure Nitrogen and Phosphorus Control  </t>
  </si>
  <si>
    <t>LTER Tussock Block 3 Exclosure Nitrogen and Phosphorus Large Mesh Fence</t>
  </si>
  <si>
    <t>LTER Tussock Block 3 Exclosure Nitrogen and Phosphorus Small Mesh Fence</t>
  </si>
  <si>
    <t xml:space="preserve">LTER Tussock Block 3 Extra  3     </t>
  </si>
  <si>
    <t xml:space="preserve">LTER Tussock Block 3 Nitrogen Only     </t>
  </si>
  <si>
    <t>B3 N</t>
  </si>
  <si>
    <t xml:space="preserve">LTER Tussock Block 3 Exclosure Control     </t>
  </si>
  <si>
    <t xml:space="preserve">LTER Tussock Block 3 Exclosure Control Small Mesh Fence  </t>
  </si>
  <si>
    <t xml:space="preserve">LTER Tussock Block 3 Exclosure Control Large Mesh Fence  </t>
  </si>
  <si>
    <t xml:space="preserve">LTER Tussock Block 4 Nitrogen Only     </t>
  </si>
  <si>
    <t>B4 N</t>
  </si>
  <si>
    <t xml:space="preserve">LTER Tussock Block 4 Phosphorus Only     </t>
  </si>
  <si>
    <t>B4 P</t>
  </si>
  <si>
    <t xml:space="preserve">LTER Tussock Block 4 Control 2     </t>
  </si>
  <si>
    <t>B4 CT 2</t>
  </si>
  <si>
    <t xml:space="preserve">LTER Tussock Block 4 Control 1     </t>
  </si>
  <si>
    <t>B4 CT 1</t>
  </si>
  <si>
    <t xml:space="preserve">LTER Tussock Block 4 Shade with Nitrogen and Phosphorus  </t>
  </si>
  <si>
    <t xml:space="preserve">LTER Tussock Block 4 Shade Control     </t>
  </si>
  <si>
    <t xml:space="preserve">LTER Tussock Block 4 Extra  3     </t>
  </si>
  <si>
    <t xml:space="preserve">LTER Tussock Block 4 Greenhouse with Nitrogen and Phosphorus  </t>
  </si>
  <si>
    <t>B4 GH NP</t>
  </si>
  <si>
    <t xml:space="preserve">LTER Tussock Block 4 Greenhouse Control     </t>
  </si>
  <si>
    <t>B4 GH CT</t>
  </si>
  <si>
    <t>LTER Tussock Block 4 Exclosure Nitrogen and Phosphorus Small Mesh Fence</t>
  </si>
  <si>
    <t>LTER Tussock Block 4 Exclosure Nitrogen and Phosphorus Large Mesh Fence</t>
  </si>
  <si>
    <t xml:space="preserve">LTER Tussock Block 4 Exclosure Nitrogen and Phosphorus Control  </t>
  </si>
  <si>
    <t xml:space="preserve">LTER Tussock Block 4 Exclosure Control     </t>
  </si>
  <si>
    <t xml:space="preserve">LTER Tussock Block 4 Exclosure Control Large Mesh Fence  </t>
  </si>
  <si>
    <t xml:space="preserve">LTER Tussock Block 4 Exclosure Control Small Mesh Fence  </t>
  </si>
  <si>
    <t xml:space="preserve">LTER Tussock Block 4 Nitrogen and Phosphorus    </t>
  </si>
  <si>
    <t>B4 NP</t>
  </si>
  <si>
    <t xml:space="preserve">Tussock Non-Acidic Block 1 Greenhouse Fertilized     </t>
  </si>
  <si>
    <t>NA B1 GHF</t>
  </si>
  <si>
    <t xml:space="preserve">Tussock Non-Acidic Block 1 Greenhouse Control     </t>
  </si>
  <si>
    <t xml:space="preserve">Tussock Non-Acidic Block 1 Phosphorus      </t>
  </si>
  <si>
    <t>NA B1 P</t>
  </si>
  <si>
    <t xml:space="preserve">Tussock Non-Acidic Block 1 Nitrogen      </t>
  </si>
  <si>
    <t>NA B1 N</t>
  </si>
  <si>
    <t xml:space="preserve">Tussock Non-Acidic Block 1 X1      </t>
  </si>
  <si>
    <t xml:space="preserve">Tussock Non-Acidic Block 1 Nitrogen and Phosphorus    </t>
  </si>
  <si>
    <t>NA B1 NP</t>
  </si>
  <si>
    <t xml:space="preserve">Tussock Non-Acidic Block 1 Control      </t>
  </si>
  <si>
    <t>NA B1 CT</t>
  </si>
  <si>
    <t xml:space="preserve">Tussock Non-Acidic Block 2 Nitrogen      </t>
  </si>
  <si>
    <t xml:space="preserve">Tussock Non-Acidic Block 2 Phosphorus      </t>
  </si>
  <si>
    <t xml:space="preserve">Tussock Non-Acidic Block 2 X1      </t>
  </si>
  <si>
    <t xml:space="preserve">Tussock Non-Acidic Block 2 Nitrogen and Phosphorus    </t>
  </si>
  <si>
    <t>NA B2 NP</t>
  </si>
  <si>
    <t xml:space="preserve">Tussock Non-Acidic Block 2 Control      </t>
  </si>
  <si>
    <t>NA B2 CT</t>
  </si>
  <si>
    <t xml:space="preserve">Tussock Non-Acidic Block 2 Greenhouse Fertilized     </t>
  </si>
  <si>
    <t>NA B2 GHF</t>
  </si>
  <si>
    <t xml:space="preserve">Tussock Non-Acidic Block 2 Greenhouse Control     </t>
  </si>
  <si>
    <t xml:space="preserve">Tussock Non-Acidic Block 3 Phosphorus      </t>
  </si>
  <si>
    <t>NA B3 P</t>
  </si>
  <si>
    <t xml:space="preserve">Tussock Non-Acidic Block 3 Nitrogen and Phosphorus    </t>
  </si>
  <si>
    <t>NA B3 NP</t>
  </si>
  <si>
    <t xml:space="preserve">Tussock Non-Acidic Block 3 Control      </t>
  </si>
  <si>
    <t>NA B3</t>
  </si>
  <si>
    <t xml:space="preserve">Tussock Non-Acidic Block 3 X1      </t>
  </si>
  <si>
    <t xml:space="preserve">Tussock Non-Acidic Block 3 Extra Plot     </t>
  </si>
  <si>
    <t xml:space="preserve">Tussock Non-Acidic Block 3 Nitrogen      </t>
  </si>
  <si>
    <t>NA B3 N</t>
  </si>
  <si>
    <t>Imnavait Site 02</t>
  </si>
  <si>
    <t>Imnavait Site2</t>
  </si>
  <si>
    <t>Imnavait Site 03</t>
  </si>
  <si>
    <t>Imnavait Site3</t>
  </si>
  <si>
    <t>Imnavait Upper</t>
  </si>
  <si>
    <t>Imnavait WT 07-01</t>
  </si>
  <si>
    <t>Imnavait WT 07-02</t>
  </si>
  <si>
    <t>Imnavait WT 07-03</t>
  </si>
  <si>
    <t>Imnavait WT 07-04</t>
  </si>
  <si>
    <t>Imnavait WT 08-01</t>
  </si>
  <si>
    <t>Imnavait WT 08-01; IMN WT 8-1</t>
  </si>
  <si>
    <t>Imnavait WT 08-02</t>
  </si>
  <si>
    <t>Imnavait WT 08-02; IMN WT 8-2</t>
  </si>
  <si>
    <t>Imnavait WT 08-03</t>
  </si>
  <si>
    <t>Imnavait WT 08-03; IMN WT 8-3</t>
  </si>
  <si>
    <t>Imnavait WT 08-04</t>
  </si>
  <si>
    <t>Imnavait WT 08-04; IMN WT 8-4</t>
  </si>
  <si>
    <t>Imnavait WT 08-05</t>
  </si>
  <si>
    <t>Imnavait WT 08-05; IMN WT 8-5</t>
  </si>
  <si>
    <t>Imnavait WT 08-06</t>
  </si>
  <si>
    <t>Imnavait WT 08-06; IMN WT 8-6</t>
  </si>
  <si>
    <t>Imnavait WT 08-07</t>
  </si>
  <si>
    <t>Imnavait WT 08-07; IMN WT 8-7</t>
  </si>
  <si>
    <t>Imnavait WT 08-08</t>
  </si>
  <si>
    <t>Imnavait WT 08-08; IMN WT 8-8</t>
  </si>
  <si>
    <t>Imnavait WT 08-09</t>
  </si>
  <si>
    <t>Imnavait WT 08-09; IMN WT 8-9</t>
  </si>
  <si>
    <t>Imnavait WT 08-10</t>
  </si>
  <si>
    <t>Imnavait WT 08-10; IMN WT 8-10</t>
  </si>
  <si>
    <t>Imnavait WT 08-11</t>
  </si>
  <si>
    <t>Imnavait WT 08-11; IMN WT 8-11</t>
  </si>
  <si>
    <t>Imnavait WT 08-12</t>
  </si>
  <si>
    <t>Imnavait WT 08-12; IMN WT 8-12</t>
  </si>
  <si>
    <t>Imnavait WT 08-13</t>
  </si>
  <si>
    <t>Imnavait WT 08-13; IMN WT 8-13</t>
  </si>
  <si>
    <t>Imnavait WT 08-14</t>
  </si>
  <si>
    <t>Imnavait WT 08-14; IMN WT 8-14</t>
  </si>
  <si>
    <t>Imnavait WT 08-15</t>
  </si>
  <si>
    <t>Imnavait WT 08-15; IMN WT 8-15</t>
  </si>
  <si>
    <t>Imnavait WT 08-16</t>
  </si>
  <si>
    <t>Imnavait WT 08-16; IMN WT 8-16</t>
  </si>
  <si>
    <t>Imnavait WT 08-17</t>
  </si>
  <si>
    <t>Imnavait WT 08-17; IMN WT 8-17</t>
  </si>
  <si>
    <t>Imnavait WT 12 CR5</t>
  </si>
  <si>
    <t>Imnavait WT 12 FS5</t>
  </si>
  <si>
    <t>Imnavait WT 12 LB5</t>
  </si>
  <si>
    <t>Imnavait WT 12 UB5</t>
  </si>
  <si>
    <t>Imnavait WT 07 Weir</t>
  </si>
  <si>
    <t>WT7 weir</t>
  </si>
  <si>
    <t>TW 04a</t>
  </si>
  <si>
    <t>Soil water transect site in the tussock watershed established in 2017</t>
  </si>
  <si>
    <t>TW 06a</t>
  </si>
  <si>
    <t xml:space="preserve">Prudhoe Bay (PB) S2       </t>
  </si>
  <si>
    <t>Sampled with Doug Kane's group during mid-1990s</t>
  </si>
  <si>
    <t>PBS2</t>
  </si>
  <si>
    <t xml:space="preserve">Prudhoe Bay (PB) S3       </t>
  </si>
  <si>
    <t>PBS3</t>
  </si>
  <si>
    <t xml:space="preserve">Prudhoe Bay (PB) S4       </t>
  </si>
  <si>
    <t>PBS4</t>
  </si>
  <si>
    <t xml:space="preserve">Prudhoe Bay (PB) S5       </t>
  </si>
  <si>
    <t>PBS5</t>
  </si>
  <si>
    <t xml:space="preserve">Prudhoe Bay (PB) S7       </t>
  </si>
  <si>
    <t>PBS7</t>
  </si>
  <si>
    <t xml:space="preserve">Prudhoe Bay (PB) S11       </t>
  </si>
  <si>
    <t>PBS11</t>
  </si>
  <si>
    <t xml:space="preserve">Prudhoe Bay (PB) S12       </t>
  </si>
  <si>
    <t>PBS12</t>
  </si>
  <si>
    <t xml:space="preserve">Prudhoe Bay (PB) Weir       </t>
  </si>
  <si>
    <t>PBWeir</t>
  </si>
  <si>
    <t xml:space="preserve">Prudhoe Bay (PB) Kuparuk       </t>
  </si>
  <si>
    <t>PBKup; Kup PB</t>
  </si>
  <si>
    <t>S 07 Inlet</t>
  </si>
  <si>
    <t>S7 In; S7In</t>
  </si>
  <si>
    <t xml:space="preserve">S 07 into S 06        </t>
  </si>
  <si>
    <t>S7 into S6; S7-S6</t>
  </si>
  <si>
    <t>S 06 Outlet</t>
  </si>
  <si>
    <t>S6 Out; S6Out</t>
  </si>
  <si>
    <t>E 5 Outlet</t>
  </si>
  <si>
    <t>E5 Out; E5Out; E 05 Outlet</t>
  </si>
  <si>
    <t>E 5 Inlet South</t>
  </si>
  <si>
    <t>E 05 In South; E5InS; E 05 Inlet South</t>
  </si>
  <si>
    <t>E 5 Inlet West</t>
  </si>
  <si>
    <t>E 05 In West; E5InWest; E 05 Inlet West</t>
  </si>
  <si>
    <t xml:space="preserve">Rain water         </t>
  </si>
  <si>
    <t>Rain</t>
  </si>
  <si>
    <t>RainWater</t>
  </si>
  <si>
    <t>Fog 01 Outlet</t>
  </si>
  <si>
    <t>Outlet stream from lake Fog 01</t>
  </si>
  <si>
    <t>LTER_Lakes</t>
  </si>
  <si>
    <t>Fog 02 Outlet</t>
  </si>
  <si>
    <t>Outlet stream from lake Fog 02</t>
  </si>
  <si>
    <t>Fog 03 Outlet</t>
  </si>
  <si>
    <t>Outlet stream from lake Fog 03</t>
  </si>
  <si>
    <t>Fog 05 Outlet</t>
  </si>
  <si>
    <t>Outlet stream extending from lake Fog 05 to the Sagavanirktok River.</t>
  </si>
  <si>
    <t>Jade Lake</t>
  </si>
  <si>
    <t>Lake to the east of Jade Mountain (local Toolik Camp Name) that has not outlet and is only present in wet years.</t>
  </si>
  <si>
    <t>Bay on Toolik that the Toolik Inlet flows into.  Sampled when the ice is too rotten for sample Toolik main.</t>
  </si>
  <si>
    <t>Lower Campsite Lake</t>
  </si>
  <si>
    <t>Lower Campsite Lake -streams and lake sample lake</t>
  </si>
  <si>
    <t>Upper Zev Lake</t>
  </si>
  <si>
    <t>Upper Zev Lake - streams and lake sample lake</t>
  </si>
  <si>
    <t>Zev Lake</t>
  </si>
  <si>
    <t>Zev Lake - streams and lake sample lake</t>
  </si>
  <si>
    <t>LTER Heath Tundra</t>
  </si>
  <si>
    <t>Arctic LTER Experimental Plots: Heath Tundra - Block 1, Northeast corner near Toolik Field Station, North Slope, Alaska.</t>
  </si>
  <si>
    <t>LTER Low Nutrient Moist Acidic Tussock Tundra (MAT06)</t>
  </si>
  <si>
    <t>Low Nutrient Moist Acidic Tussock Tundra (LMAT) Northeast corner Block 1</t>
  </si>
  <si>
    <t>LTER Moist Acidic Tussock Tundra (MAT89)</t>
  </si>
  <si>
    <t>Arctic LTER Experimental Plots: Moist Acidic Tussock Tundra (MAT) Northeast corner block 1 near Toolik Field Station, North Slope, Alaska.</t>
  </si>
  <si>
    <t>LTER Moist Acidic Tussock Tundra 1981 plots (MAT81)</t>
  </si>
  <si>
    <t>Arctic LTER Experimental Plots: 1981 Moist Acidic Tussock Tundra Northeast corner Block 3 near Toolik Field Station, North Slope, Alaska.</t>
  </si>
  <si>
    <t>LTER Moist NonAcidic NonTussock Tundra (NNT89)</t>
  </si>
  <si>
    <t>Arctic LTER Experimental Plots: Moist NonAcidic NonTussock Tundra (MNNT) Northeast corner Block 1 near Toolik Field Station, North Slope, Alaska.</t>
  </si>
  <si>
    <t>LTER Moist NonAcidic Tussock Tundra (MNT89)</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</si>
  <si>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</si>
  <si>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</si>
  <si>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</si>
  <si>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</si>
  <si>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</si>
  <si>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</si>
  <si>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</si>
  <si>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</si>
  <si>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</si>
  <si>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Toolik Main</t>
  </si>
  <si>
    <t>Funding Number</t>
  </si>
  <si>
    <t>Link to NSF Award Search</t>
  </si>
  <si>
    <t>Intellectual Rights</t>
  </si>
  <si>
    <t>CCBY</t>
  </si>
  <si>
    <t>Metadata Template - ARCTIC LTER</t>
  </si>
  <si>
    <t>Non-tabular files include: word doc, images, pdfs, kml, shape files, etc. Use a semicolon to separated the file names.</t>
  </si>
  <si>
    <t>NON-TABLUAR FILES</t>
  </si>
  <si>
    <t>Files Descriptions</t>
  </si>
  <si>
    <t>ORCID ID</t>
  </si>
  <si>
    <t>Metadata Form Version: 2021.1.1</t>
  </si>
  <si>
    <t>This Section describes the data sheets or files of comma delimited data.  If there are more data sheets/files then fill in the second section below.</t>
  </si>
  <si>
    <t>LTER funding Yes/No</t>
  </si>
  <si>
    <t>Owner</t>
  </si>
  <si>
    <t>erastetter@mbl.edu</t>
  </si>
  <si>
    <t>Edward</t>
  </si>
  <si>
    <t>Rastetter</t>
  </si>
  <si>
    <t>MBL</t>
  </si>
  <si>
    <t>bkwiatkowski@mbl.edu</t>
  </si>
  <si>
    <t>Bonnie</t>
  </si>
  <si>
    <t>Kwiatkowski</t>
  </si>
  <si>
    <t>Investigator 9</t>
  </si>
  <si>
    <t>Investigator 10</t>
  </si>
  <si>
    <t>Investigator 11</t>
  </si>
  <si>
    <t>Investigator 12</t>
  </si>
  <si>
    <t>Investigator 13</t>
  </si>
  <si>
    <t>Investigator 14</t>
  </si>
  <si>
    <t>Investigator 15</t>
  </si>
  <si>
    <t>dkicklighter@mbl.edu</t>
  </si>
  <si>
    <t>David</t>
  </si>
  <si>
    <t>Kicklighter</t>
  </si>
  <si>
    <t>Audrey</t>
  </si>
  <si>
    <t>Barker Plotkin</t>
  </si>
  <si>
    <t>Harvard University</t>
  </si>
  <si>
    <t>Helene</t>
  </si>
  <si>
    <t>Genet</t>
  </si>
  <si>
    <t>University of Alaska, Fairbanks</t>
  </si>
  <si>
    <t>Jesse</t>
  </si>
  <si>
    <t>Nippert</t>
  </si>
  <si>
    <t>Kansas State University</t>
  </si>
  <si>
    <t>O'Keefe</t>
  </si>
  <si>
    <t>Saint Edward's University</t>
  </si>
  <si>
    <t>Steven</t>
  </si>
  <si>
    <t>Perakis</t>
  </si>
  <si>
    <t>US Geological Survey</t>
  </si>
  <si>
    <t>Stephen</t>
  </si>
  <si>
    <t>Porder</t>
  </si>
  <si>
    <t>Brown University</t>
  </si>
  <si>
    <t>Sarah</t>
  </si>
  <si>
    <t>Roley</t>
  </si>
  <si>
    <t>Michigan State University</t>
  </si>
  <si>
    <t>Roger</t>
  </si>
  <si>
    <t>Ruess</t>
  </si>
  <si>
    <t>Jonathan</t>
  </si>
  <si>
    <t>Thompson</t>
  </si>
  <si>
    <t>William</t>
  </si>
  <si>
    <t>Wieder</t>
  </si>
  <si>
    <t>University of Colorado, Boulder</t>
  </si>
  <si>
    <t>Kevin</t>
  </si>
  <si>
    <t>Wilcox</t>
  </si>
  <si>
    <t>University of Wyoming</t>
  </si>
  <si>
    <t>Ruth</t>
  </si>
  <si>
    <t>Yanai</t>
  </si>
  <si>
    <t>State University of New York</t>
  </si>
  <si>
    <t>aabarker@fas.harvard.edu</t>
  </si>
  <si>
    <t>hgenet@alaska.edu</t>
  </si>
  <si>
    <t>jthomps@fas.harvard.edu</t>
  </si>
  <si>
    <t>nippert@ksu.edu</t>
  </si>
  <si>
    <t>kokeefe@stedwards.edu</t>
  </si>
  <si>
    <t>rdyanai@syr.edu</t>
  </si>
  <si>
    <t>rwruess@alaska.edu</t>
  </si>
  <si>
    <t>No</t>
  </si>
  <si>
    <t>DESC0019037</t>
  </si>
  <si>
    <t>USDA Forest Service</t>
  </si>
  <si>
    <t>DOE</t>
  </si>
  <si>
    <t>sarah.roley@wsu.edu</t>
  </si>
  <si>
    <t>sperakis@usgs.gov</t>
  </si>
  <si>
    <t>stephen_porder@brown.edu</t>
  </si>
  <si>
    <t>wilcoxkr@gmail.com</t>
  </si>
  <si>
    <t>wwieder@ucar.edu</t>
  </si>
  <si>
    <t>Kellogg Biological Station restored tall grass prairie</t>
  </si>
  <si>
    <t>Konza Prairie native tall grass prairie</t>
  </si>
  <si>
    <t>Niwot dry meadow tundra</t>
  </si>
  <si>
    <t>Bonanza Creek lowland black spruce forest</t>
  </si>
  <si>
    <t>Bonanza Creek upland black spruce forest</t>
  </si>
  <si>
    <t>Hubbard Brook northern hardwood forest</t>
  </si>
  <si>
    <t>HJ Andrews temperate coniferous forest</t>
  </si>
  <si>
    <t>Caxiuanã tropical rain forest</t>
  </si>
  <si>
    <t>0000-0002-8620-5431</t>
  </si>
  <si>
    <t>numeric</t>
  </si>
  <si>
    <t>Oct 6, 2021: Initial publication BK.</t>
  </si>
  <si>
    <t>0000-0003-0158-9753</t>
  </si>
  <si>
    <t>0000-0001-6820-2651</t>
  </si>
  <si>
    <t>0000-0002-4473-9785</t>
  </si>
  <si>
    <t>0000-0003-4537-9563</t>
  </si>
  <si>
    <t>0000-0002-7939-342X </t>
  </si>
  <si>
    <t>0000-0001-7799-0514</t>
  </si>
  <si>
    <t>0000-0003-0703-9314</t>
  </si>
  <si>
    <t>0000-0002-5279-766X</t>
  </si>
  <si>
    <t>0000-0002-6733-9338</t>
  </si>
  <si>
    <t>0000-0003-4557-6161</t>
  </si>
  <si>
    <t>0000-0003-0512-1226</t>
  </si>
  <si>
    <t>0000-0001-7116-1985</t>
  </si>
  <si>
    <t>0000-0001-6829-1148</t>
  </si>
  <si>
    <t>0000-0001-6987-2489</t>
  </si>
  <si>
    <t>Harvard Forest oak-maple forest</t>
  </si>
  <si>
    <t>composite alpine dry meadow tundra Niwot Ridge, Colorado</t>
  </si>
  <si>
    <t>composite restored tall grass prairie at Kellogg Biological Station, Michigan</t>
  </si>
  <si>
    <t>composite native tall grass prairie at Konza Prairie, Kansas</t>
  </si>
  <si>
    <t>composite lowland black spruce forest near Bonanza Creek, Alaska</t>
  </si>
  <si>
    <t>composite upland black spruce forest near Bonanza Creek, Alaska</t>
  </si>
  <si>
    <t>composite northern hardwood forest in Hubbard Brook, NH</t>
  </si>
  <si>
    <t>composite transition oak-maple forest in Harvard Forest, Massachusetts</t>
  </si>
  <si>
    <t>composite temperate coniferous forest at HJ Andrews Experimental Forest, Oregon</t>
  </si>
  <si>
    <t>composite lowland tropical rainforest near Caxiuanã National Forest, Pará, Brazil</t>
  </si>
  <si>
    <t>Using root and soil traits to forecast woody encroachment dynamics in mesic grassland</t>
  </si>
  <si>
    <t>Time</t>
  </si>
  <si>
    <t>NH4</t>
  </si>
  <si>
    <t>NO3</t>
  </si>
  <si>
    <t>PO4</t>
  </si>
  <si>
    <t>water</t>
  </si>
  <si>
    <t>Biomass</t>
  </si>
  <si>
    <t>VPD</t>
  </si>
  <si>
    <t>thetaN</t>
  </si>
  <si>
    <t>thetaP</t>
  </si>
  <si>
    <t>declination</t>
  </si>
  <si>
    <t>Interception</t>
  </si>
  <si>
    <t>Denitrification</t>
  </si>
  <si>
    <t>Snowfall</t>
  </si>
  <si>
    <t>Rainfall</t>
  </si>
  <si>
    <t>Calibration</t>
  </si>
  <si>
    <t>Simulation time in days</t>
  </si>
  <si>
    <t>Incoming shortwave radiation</t>
  </si>
  <si>
    <t>Daily temperature minimum</t>
  </si>
  <si>
    <t>Daily temperature maximum</t>
  </si>
  <si>
    <t>Daily atmospheric carbon dioxide concentration</t>
  </si>
  <si>
    <t>Daily ammonium input</t>
  </si>
  <si>
    <t>Daily nitrate input</t>
  </si>
  <si>
    <t>Daily phosphate input</t>
  </si>
  <si>
    <t>Daily precipitation</t>
  </si>
  <si>
    <t>Daily dissolved organic carbon input</t>
  </si>
  <si>
    <t>Daily dissolved organic nitrogen input</t>
  </si>
  <si>
    <t>Daily apatite input</t>
  </si>
  <si>
    <t>Daily water run in from upslope</t>
  </si>
  <si>
    <t>Dissolved organic carbon in run in</t>
  </si>
  <si>
    <t>Dissolved organic nitrogen in run in</t>
  </si>
  <si>
    <t>Nitrate in run in</t>
  </si>
  <si>
    <t>Ammonium in run in</t>
  </si>
  <si>
    <t>Phosphate in run in</t>
  </si>
  <si>
    <t>Placeholder: use this column to include observations in the driver file. This allows the user to easily compare the observations with the model output.</t>
  </si>
  <si>
    <t>Sum of daily GPP: Jan 1 to the current day</t>
  </si>
  <si>
    <t>Sum of daily NPP: Jan 1 to the current day</t>
  </si>
  <si>
    <t>Sum of daily NEP: Jan 1 to the current day</t>
  </si>
  <si>
    <t>Sum of daily doC uptake: Jan 1 to the current day</t>
  </si>
  <si>
    <t>Sum of daily fine litter C: Jan 1 to the current day</t>
  </si>
  <si>
    <t>Sum of daily coarse woody litter C: Jan 1 to the current day</t>
  </si>
  <si>
    <t>Sum of daily microbial respiration: Jan 1 to the current day</t>
  </si>
  <si>
    <t>Sum of daily net nitrogen mineralization: Jan 1 to the current day</t>
  </si>
  <si>
    <t>Sum of daily net phosphorus mineralization: Jan 1 to the current day</t>
  </si>
  <si>
    <t>Sum of daily total vegetation nitrogen uptake: Jan 1 to the current day</t>
  </si>
  <si>
    <t>Sum of daily vegetation ammonium uptake: Jan 1 to the current day</t>
  </si>
  <si>
    <t>Sum of daily vegetation nitrate uptake: Jan 1 to the current day</t>
  </si>
  <si>
    <t>Sum of daily vegetation dissolved organic nitrogen uptake: Jan 1 to the current day</t>
  </si>
  <si>
    <t>Sum of daily symbiotic nitrogen fixation: Jan 1 to the current day</t>
  </si>
  <si>
    <t>Sum of daily microbial ammonium uptake: Jan 1 to the current day</t>
  </si>
  <si>
    <t>Sum of daily microbial nitrate uptake: Jan 1 to the current day</t>
  </si>
  <si>
    <t>Sum of daily Phase I nitrogen mineralization: Jan 1 to the current day</t>
  </si>
  <si>
    <t>Sum of daily Phase I to Phase II soil carbon transition: Jan 1 to the current day</t>
  </si>
  <si>
    <t>Sum of daily Phase I soil respiration carbon: Jan 1 to the current day</t>
  </si>
  <si>
    <t>Sum of daily fine litter &amp; coarse debris nitrogen: Jan 1 to the current day</t>
  </si>
  <si>
    <t>Sum of daily fine litter nitrogen: Jan 1 to the current day</t>
  </si>
  <si>
    <t>Sum of daily coarse woody litter nitrogen: Jan 1 to the current day</t>
  </si>
  <si>
    <t>Sum of daily fine litter &amp; coarse debris phosphorus: Jan 1 to the current day</t>
  </si>
  <si>
    <t>Sum of daily fine litter phosphorus: Jan 1 to the current day</t>
  </si>
  <si>
    <t>Sum of daily coarse woody litter phosphorus: Jan 1 to the current day</t>
  </si>
  <si>
    <t>Sum of daily fine litter &amp; coarse debris carbon: Jan 1 to the current day</t>
  </si>
  <si>
    <t>Sum of daily vegetation phosphate uptake: Jan 1 to the current day</t>
  </si>
  <si>
    <t>Sum of daily woody debris carbon activation: Jan 1 to the current day</t>
  </si>
  <si>
    <t>Sum of daily woody debris nitrogen activation: Jan 1 to the current day</t>
  </si>
  <si>
    <t>Sum of daily woody debris phosphorus activation: Jan 1 to the current day</t>
  </si>
  <si>
    <t>Sum of daily Phase I to Phase II soil nitrogen transition: Jan 1 to the current day</t>
  </si>
  <si>
    <t>Sum of daily Phase I to Phase II soil phosphorus transition: Jan 1 to the current day</t>
  </si>
  <si>
    <t>Sum of daily nonsymbiotic nitrogen fixation: Jan 1 to the current day</t>
  </si>
  <si>
    <t>Sum of daily microbial phosphate uptake: Jan 1 to the current day</t>
  </si>
  <si>
    <t>Sum of daily Phase I phosphorus mineralization: Jan 1 to the current day</t>
  </si>
  <si>
    <t>Sum of daily Phase II carbon mineralization: Jan 1 to the current day</t>
  </si>
  <si>
    <t>Sum of daily Phase II nitrogen mineralization: Jan 1 to the current day</t>
  </si>
  <si>
    <t>Sum of daily Phase II phosphorus mineralization: Jan 1 to the current day</t>
  </si>
  <si>
    <t>Sum of daily ammonium inputs (does not include inputs from run in): Jan 1 to the current day</t>
  </si>
  <si>
    <t>Sum of daily ammonium leaching (not including overland flow losses): Jan 1 to the current day</t>
  </si>
  <si>
    <t>Sum of daily nitrification inputs: Jan 1 to the current day</t>
  </si>
  <si>
    <t>Sum of daily nitrate inputs (does not include inputs from run in): Jan 1 to the current day</t>
  </si>
  <si>
    <t>Sum of daily nitrate leaching (not including overland flow losses): Jan 1 to the current day</t>
  </si>
  <si>
    <t>Sum of daily denitrification: Jan 1 to the current day</t>
  </si>
  <si>
    <t>Sum of daily primary mineral phosphorus weathering: Jan 1 to the current day</t>
  </si>
  <si>
    <t>Sum of daily non occluded phosphorus weathering: Jan 1 to the current day</t>
  </si>
  <si>
    <t>Sum of daily occluded phosphorus weathering: Jan 1 to the current day</t>
  </si>
  <si>
    <t>Sum of daily primary mineral phosphorus inputs (does not include inputs from run in): Jan 1 to the current day</t>
  </si>
  <si>
    <t>Sum of daily non occluded phosphorus formation: Jan 1 to the current day</t>
  </si>
  <si>
    <t>Sum of daily occluded phosphorus formation: Jan 1 to the current day</t>
  </si>
  <si>
    <t>Sum of daily dissolved organic carbon inputs (does not include inputs from run in): Jan 1 to the current day</t>
  </si>
  <si>
    <t>Sum of daily dissolved organic nitrogen inputs (does not include inputs from run in): Jan 1 to the current day</t>
  </si>
  <si>
    <t>Sum of daily dissolved organic carbon leaching (not including overland flow losses): Jan 1 to the current day</t>
  </si>
  <si>
    <t>Sum of daily dissolved organic nitrogen leaching (not including overland flow losses): Jan 1 to the current day</t>
  </si>
  <si>
    <t>Sum of daily water leaching loss (not including overland flow): Jan 1 to the current day</t>
  </si>
  <si>
    <t>Sum of daily transpiration (mm H2O): Jan 1 to the current day</t>
  </si>
  <si>
    <t>Sum of daily precipitation: Jan 1 to the current day</t>
  </si>
  <si>
    <t>Sum of daily interception: Jan 1 to the current day</t>
  </si>
  <si>
    <t>Sum of daily rainfall: Jan 1 to the current day</t>
  </si>
  <si>
    <t>Sum of daily snowmelt (water equivalents): Jan 1 to the current day</t>
  </si>
  <si>
    <t>Sum of daily snowfall (water equivalents): Jan 1 to the current day</t>
  </si>
  <si>
    <t>Sum of daily lateral water inputs : Jan 1 to the current day</t>
  </si>
  <si>
    <t>Sum of daily dissolved organic carbon in run in: Jan 1 to the current day</t>
  </si>
  <si>
    <t>Sum of daily dissolved organic nitrogen in run in: Jan 1 to the current day</t>
  </si>
  <si>
    <t>Sum of daily ammonium in run in: Jan 1 to the current day</t>
  </si>
  <si>
    <t>Sum of daily nitrate in run in: Jan 1 to the current day</t>
  </si>
  <si>
    <t>Sum of daily phosphate in run in: Jan 1 to the current day</t>
  </si>
  <si>
    <t>Sum of daily run in infiltration excess overland flow of water: Jan 1 to the current day</t>
  </si>
  <si>
    <t>Sum of daily dissolved organic carbon in Cum overland flow: Jan 1 to the current day</t>
  </si>
  <si>
    <t>Sum of daily dissolved organic nitrogen in Cum overland flow: Jan 1 to the current day</t>
  </si>
  <si>
    <t>Sum of daily ammonium in Cum overland flow: Jan 1 to the current day</t>
  </si>
  <si>
    <t>Sum of daily nitrate in Cum overland flow: Jan 1 to the current day</t>
  </si>
  <si>
    <t>Sum of daily phosphate in Cum overland flow: Jan 1 to the current day</t>
  </si>
  <si>
    <t>Sum of daily biomass carbon lost through fire: Jan 1 to the current day</t>
  </si>
  <si>
    <t>Sum of daily biomass nitrogen lost through fire: Jan 1 to the current day</t>
  </si>
  <si>
    <t>Sum of daily biomass phosphorus lost through fire: Jan 1 to the current day</t>
  </si>
  <si>
    <t>Sum of daily woody debris carbon lost through fire: Jan 1 to the current day</t>
  </si>
  <si>
    <t>Sum of daily woody debris nitrogen lost through fire: Jan 1 to the current day</t>
  </si>
  <si>
    <t>Sum of daily woody debris phosphorus lost through fire: Jan 1 to the current day</t>
  </si>
  <si>
    <t>Sum of daily Phase I soil carbon lost through fire: Jan 1 to the current day</t>
  </si>
  <si>
    <t>Sum of daily Phase I soil nitrogen lost through fire: Jan 1 to the current day</t>
  </si>
  <si>
    <t>Sum of daily Phase I soil phosphorus lost through fire: Jan 1 to the current day</t>
  </si>
  <si>
    <t>Sum of daily carbon volatilized through fire: Jan 1 to the current day</t>
  </si>
  <si>
    <t>Sum of daily nitrogen volatilized through fire: Jan 1 to the current day</t>
  </si>
  <si>
    <t>Sum of daily phosphorus volatilized through fire: Jan 1 to the current day</t>
  </si>
  <si>
    <t>Sum of daily fine litter standing dead carbon: Jan 1 to the current day</t>
  </si>
  <si>
    <t>Sum of daily fine litter standing dead nitrogen: Jan 1 to the current day</t>
  </si>
  <si>
    <t>Sum of daily fine litter standing dead phosphorus: Jan 1 to the current day</t>
  </si>
  <si>
    <t>vegetation biomass carbon</t>
  </si>
  <si>
    <t>vegetation biomass nitrogen</t>
  </si>
  <si>
    <t>vegetation biomass phosphorus</t>
  </si>
  <si>
    <t>primary effort for carbon</t>
  </si>
  <si>
    <t>primary effort for nitrogen</t>
  </si>
  <si>
    <t>primary effort for phosphorus</t>
  </si>
  <si>
    <t>subeffort effort for carbon dioxide</t>
  </si>
  <si>
    <t>subeffort effort for water</t>
  </si>
  <si>
    <t>subeffort effort for light</t>
  </si>
  <si>
    <t>subeffort effort for ammonium</t>
  </si>
  <si>
    <t>subeffort effort for nitrate</t>
  </si>
  <si>
    <t>subeffort effort for dissolved organic nitrogen</t>
  </si>
  <si>
    <t>Phase I soil organic matter carbon</t>
  </si>
  <si>
    <t>Phase II soil organic matter carbon</t>
  </si>
  <si>
    <t>Phase I soil organic matter nitrogen</t>
  </si>
  <si>
    <t>Phase I soil organic matter phosphorus</t>
  </si>
  <si>
    <t>Woody debris and standing dead carbon</t>
  </si>
  <si>
    <t>Woody debris and standing dead nitrogen</t>
  </si>
  <si>
    <t>Woody debris and standing dead phosphorus</t>
  </si>
  <si>
    <t>Phase II soil organic matter nitrogen</t>
  </si>
  <si>
    <t>Phase II soil organic matter phosphorus</t>
  </si>
  <si>
    <t>Soil inorganic ammonium</t>
  </si>
  <si>
    <t>soil inorganic nitrate</t>
  </si>
  <si>
    <t>soil inorganic phosphate</t>
  </si>
  <si>
    <t>primary mineral phosphorus</t>
  </si>
  <si>
    <t>non occluded phosphorus</t>
  </si>
  <si>
    <t>occluded phosphorus</t>
  </si>
  <si>
    <t>soil water</t>
  </si>
  <si>
    <t>snow pack (water equivalents)</t>
  </si>
  <si>
    <t>snow heat (arbitrary units)</t>
  </si>
  <si>
    <t>fraction of full canopy</t>
  </si>
  <si>
    <t>average carbon requirement</t>
  </si>
  <si>
    <t>average nitrogen requirement</t>
  </si>
  <si>
    <t>average phosphorus requirement</t>
  </si>
  <si>
    <t>average carbon acquisition</t>
  </si>
  <si>
    <t>average nitrogen acquisition</t>
  </si>
  <si>
    <t>average phosphorus acquisition</t>
  </si>
  <si>
    <t>degree days above zero</t>
  </si>
  <si>
    <t>degree days below zero</t>
  </si>
  <si>
    <t>Valid only on day 365 of each year, maximum biomass carbon for the year</t>
  </si>
  <si>
    <t>Valid only on day 365 of each year, maximum leaf area index for the year</t>
  </si>
  <si>
    <t>daily average temperature</t>
  </si>
  <si>
    <t>vegetation biomass in dry weight</t>
  </si>
  <si>
    <t>active (leaf+root) biomass in dry weight</t>
  </si>
  <si>
    <t>leaf biomass in dry weight</t>
  </si>
  <si>
    <t>root biomass in dry weight</t>
  </si>
  <si>
    <t>wood biomass in dry weight</t>
  </si>
  <si>
    <t>leaf area index</t>
  </si>
  <si>
    <t>leaf area index assuming a full canopy</t>
  </si>
  <si>
    <t>fractional increase in canopy per day</t>
  </si>
  <si>
    <t>canopy growth moisture response function</t>
  </si>
  <si>
    <t>fractional decrease in canopy per day</t>
  </si>
  <si>
    <t>canopy litter fall moisture response function</t>
  </si>
  <si>
    <t>vapor pressure deficit</t>
  </si>
  <si>
    <t>soil water potential</t>
  </si>
  <si>
    <t>pimary mineral phosphorus weathering</t>
  </si>
  <si>
    <t>non occluded phosphorus formation</t>
  </si>
  <si>
    <t>non occluded phosphorus weathering</t>
  </si>
  <si>
    <t>occluded phosphorus weathering</t>
  </si>
  <si>
    <t>occluded phosphorus formation</t>
  </si>
  <si>
    <t>light limited photosynthesis</t>
  </si>
  <si>
    <t>water limited photosynthesis</t>
  </si>
  <si>
    <t>carbon dioxide limited photosynthesis</t>
  </si>
  <si>
    <t>daily photosynthesis</t>
  </si>
  <si>
    <t>vegetation water uptake</t>
  </si>
  <si>
    <t>potential evapotranspiration</t>
  </si>
  <si>
    <t>soil water dissolved ammonium concentration</t>
  </si>
  <si>
    <t>soil water dissolved nitrate concentration</t>
  </si>
  <si>
    <t>soil water dissolved phosphorus concentration</t>
  </si>
  <si>
    <t>vegetation ammonium uptake</t>
  </si>
  <si>
    <t>vegetation nitrate uptake</t>
  </si>
  <si>
    <t>vegetation phosphorus uptake</t>
  </si>
  <si>
    <t>vegetation nitrogen concentration</t>
  </si>
  <si>
    <t>optimum vegetation nitrogen concentration</t>
  </si>
  <si>
    <t>vegetation phosphorus concentration</t>
  </si>
  <si>
    <t>optimum vegetation phosphorus concentration</t>
  </si>
  <si>
    <t>plant available dissolved organic carbon concentration</t>
  </si>
  <si>
    <t>vegetation dissolved organic carbon uptake</t>
  </si>
  <si>
    <t>vegetation dissolved organic nitrogen uptake</t>
  </si>
  <si>
    <t>symbiotic nitrogen fixation</t>
  </si>
  <si>
    <t>total vegetation nitrogen uptake</t>
  </si>
  <si>
    <t>leaf, twig, fine root litter carbon</t>
  </si>
  <si>
    <t>leaf, twig, fine root litter nitrogen</t>
  </si>
  <si>
    <t>leaf, twig, fine root litter phosphorus</t>
  </si>
  <si>
    <t>leaf litter to standing dead carbon</t>
  </si>
  <si>
    <t>leaf litter to standing dead nitrogen</t>
  </si>
  <si>
    <t>leaf litter to standing dead phosphorus</t>
  </si>
  <si>
    <t>coarse woody litter carbon</t>
  </si>
  <si>
    <t>coarse woody litter nitrogen</t>
  </si>
  <si>
    <t>coarse woody litter phosphorus</t>
  </si>
  <si>
    <t>coarse woody litter carbon activation</t>
  </si>
  <si>
    <t>coarse woody litter nitrogen activation</t>
  </si>
  <si>
    <t>coarse woody litter phosphorus activation</t>
  </si>
  <si>
    <t>total plant respiration carbon</t>
  </si>
  <si>
    <t>millimeterPerMegapascalPerHour</t>
  </si>
  <si>
    <t>soil water limited canopy conductance</t>
  </si>
  <si>
    <t>nitrogen use efficiency</t>
  </si>
  <si>
    <t>phosphorus use efficiency</t>
  </si>
  <si>
    <t>water use efficiency</t>
  </si>
  <si>
    <t>metabolic plant respiration</t>
  </si>
  <si>
    <t>allocatable effort-internal variable used to correct round off error</t>
  </si>
  <si>
    <t>growth carbon requirement</t>
  </si>
  <si>
    <t>growth nitrogen requirement</t>
  </si>
  <si>
    <t>growth phosphorus requirement</t>
  </si>
  <si>
    <t>marginal nitrogen yield for ammonium</t>
  </si>
  <si>
    <t>marginal nitrogen yield for dissolved organic nitrogen</t>
  </si>
  <si>
    <t>marginal nitrogen yield for nitrogen fixation</t>
  </si>
  <si>
    <t>marginal carbon yield for carbon dioxide</t>
  </si>
  <si>
    <t>marginal carbon yield for light</t>
  </si>
  <si>
    <t>marginal carbon yield for water</t>
  </si>
  <si>
    <t>weighted mean of carbon marginal yields</t>
  </si>
  <si>
    <t>marginal nitrogenl yield for nitrate</t>
  </si>
  <si>
    <t>weighted mean of nitrogen marginal yields</t>
  </si>
  <si>
    <t>total carbon requirement</t>
  </si>
  <si>
    <t>total nitrogen requirement</t>
  </si>
  <si>
    <t>total phosphorus requirement</t>
  </si>
  <si>
    <t>mean requirement/uptake ratio</t>
  </si>
  <si>
    <t>originally mesophyll CO2 but no longer calculated by the model.</t>
  </si>
  <si>
    <t>sum of primary efforts</t>
  </si>
  <si>
    <t>total effort allocated to roots</t>
  </si>
  <si>
    <t>total effort allocated to leaves</t>
  </si>
  <si>
    <t>total soil carbon, includes Phase I, Phase II, and woody debris</t>
  </si>
  <si>
    <t>total soil nitrogen, includes Phase I, Phase II, and woody debris</t>
  </si>
  <si>
    <t>total soil phosphorus, includes Phase I, Phase II, and woody debris</t>
  </si>
  <si>
    <t>net primary production</t>
  </si>
  <si>
    <t>subsurface water leaching</t>
  </si>
  <si>
    <t>ammonium in subsurface leaching</t>
  </si>
  <si>
    <t>nitrate in subsurface leaching</t>
  </si>
  <si>
    <t>dissolved organic carbon in subsurface leaching</t>
  </si>
  <si>
    <t>phosphate in subsurface leaching</t>
  </si>
  <si>
    <t>dissolved organic nitrogen in subsurface leaching</t>
  </si>
  <si>
    <t>total nitrogen in subsurface leaching</t>
  </si>
  <si>
    <t>microbial use carbon:nitrogen ratio</t>
  </si>
  <si>
    <t>microbial use carbon:phosphorus ratio</t>
  </si>
  <si>
    <t>microbial uptake of ammonium</t>
  </si>
  <si>
    <t>microbial uptake of nitrate</t>
  </si>
  <si>
    <t>total microbial nitrogen uptake</t>
  </si>
  <si>
    <t>microbial uptake of phosphate</t>
  </si>
  <si>
    <t>total microbial carbon use</t>
  </si>
  <si>
    <t>total microbial nitrogen use</t>
  </si>
  <si>
    <t>total microbial phosphorus use</t>
  </si>
  <si>
    <t>microbial carbon efficiency</t>
  </si>
  <si>
    <t>microbial nitrogen efficiency</t>
  </si>
  <si>
    <t>microbial phosphorus efficiency</t>
  </si>
  <si>
    <t>gross nitrogen mineralization</t>
  </si>
  <si>
    <t>gross phosphorus mineralization</t>
  </si>
  <si>
    <t>Phase I to Phase II carbon transition</t>
  </si>
  <si>
    <t>Phase I to Phase II nitrogen transition</t>
  </si>
  <si>
    <t>Phase I to Phase II phosphorus transition</t>
  </si>
  <si>
    <t>Phase I microbial respiration</t>
  </si>
  <si>
    <t>Phase II nitrogen mineralization</t>
  </si>
  <si>
    <t>Phase II phosphorus mineralization</t>
  </si>
  <si>
    <t>Phase II carbon mineralization</t>
  </si>
  <si>
    <t>nonsymbiotic nitrogen fixation</t>
  </si>
  <si>
    <t>nitrification</t>
  </si>
  <si>
    <t>total nitrogen deposition</t>
  </si>
  <si>
    <t>change in total effort</t>
  </si>
  <si>
    <t>net nitrogen mineralization</t>
  </si>
  <si>
    <t>net phosphorus mineralization</t>
  </si>
  <si>
    <t>net ecosystem production</t>
  </si>
  <si>
    <t>net ecosystem nitrogen balance</t>
  </si>
  <si>
    <t>net ecosystem phosphorus balance</t>
  </si>
  <si>
    <t>net ecosystem carbon balance</t>
  </si>
  <si>
    <t>net ecosystem water balance</t>
  </si>
  <si>
    <t>cumulative net ecosystem carbon balance, resets on day 365</t>
  </si>
  <si>
    <t>cumulative net ecosystem phosphorus balance, resets on day 365</t>
  </si>
  <si>
    <t>cumulative net ecosystem nitrogen balance, resets on day 365</t>
  </si>
  <si>
    <t>cumulative net ecosystem water balance, resets on day 365</t>
  </si>
  <si>
    <t>total biomass if the canopy were full in grams dry weight</t>
  </si>
  <si>
    <t>canopy litter carbon</t>
  </si>
  <si>
    <t>snow melt (water equivalents)</t>
  </si>
  <si>
    <t>day of the year, Jan 1=1</t>
  </si>
  <si>
    <t>Hours of day light</t>
  </si>
  <si>
    <t>interception</t>
  </si>
  <si>
    <t>requirement ratio carbon</t>
  </si>
  <si>
    <t>requirement ratio nitrogen</t>
  </si>
  <si>
    <t>requirement ratio phosphorus</t>
  </si>
  <si>
    <t>partial derivative of UC with respect to vCO2</t>
  </si>
  <si>
    <t>partial derivative of UC with respect to vW</t>
  </si>
  <si>
    <t>partial derivative of UC with respect to vI</t>
  </si>
  <si>
    <t>partial derivative of UC with respect to vNH4</t>
  </si>
  <si>
    <t>partial derivative of UC with respect to vNO3</t>
  </si>
  <si>
    <t>partial derivative of UC with respect to vdoN</t>
  </si>
  <si>
    <t>partial derivative of UC with respect to vNfix</t>
  </si>
  <si>
    <t>partial derivative of UC with respect to vC</t>
  </si>
  <si>
    <t>carbon effort kickstarter</t>
  </si>
  <si>
    <t>nitrogen effort kickstarter</t>
  </si>
  <si>
    <t>phosphorus effort kickstarter</t>
  </si>
  <si>
    <t>carbon dioxide effort kickstarter</t>
  </si>
  <si>
    <t>water effort kickstarter</t>
  </si>
  <si>
    <t>light effort kickstarter</t>
  </si>
  <si>
    <t>ammonium effort kickstarter</t>
  </si>
  <si>
    <t>nitrate effort kickstarter</t>
  </si>
  <si>
    <t>nitrogen fixation effort kickstarter</t>
  </si>
  <si>
    <t>dissolved organic nitrogen effort kickstarter</t>
  </si>
  <si>
    <t>rooting depth at sites with permafrost</t>
  </si>
  <si>
    <t>near root depleteion factor</t>
  </si>
  <si>
    <t>average distance between roots</t>
  </si>
  <si>
    <t>root length</t>
  </si>
  <si>
    <t>denitrification</t>
  </si>
  <si>
    <t>depth of peat layer, not used in the current simulations</t>
  </si>
  <si>
    <t>soil volume per unit carbon, not used in the current simulations</t>
  </si>
  <si>
    <t>unfrozen fraction of soil volume for sites with permafrosts</t>
  </si>
  <si>
    <t>soil temperature</t>
  </si>
  <si>
    <t>upward heat conductivity</t>
  </si>
  <si>
    <t>upward heat conductivity for unfrozen soil</t>
  </si>
  <si>
    <t>upward heat conductivity for frozen soil</t>
  </si>
  <si>
    <t>heat capacity of frozen soil</t>
  </si>
  <si>
    <t>heat capacity of unfrozen soil</t>
  </si>
  <si>
    <t>snowfall (water equivalents)</t>
  </si>
  <si>
    <t>rainfall</t>
  </si>
  <si>
    <t>volumetric water content</t>
  </si>
  <si>
    <t>overland water flow from lateral run in</t>
  </si>
  <si>
    <t>dissolved organic carbon in overland water flow from lateral run in</t>
  </si>
  <si>
    <t>dissolved organic nitrogen in overland water flow from lateral run in</t>
  </si>
  <si>
    <t>ammoniun in overland water flow from lateral run in</t>
  </si>
  <si>
    <t>nitrate in overland water flow from lateral run in</t>
  </si>
  <si>
    <t>phosphate in overland water flow from lateral run in</t>
  </si>
  <si>
    <t>overland water flow from precipitation</t>
  </si>
  <si>
    <t>depth of thaw,used only for sites with permafrost otherwise this is turned off</t>
  </si>
  <si>
    <t>dummy process used to store the annual flux targets needed during calibration</t>
  </si>
  <si>
    <t>temperature and moisture response of soil</t>
  </si>
  <si>
    <t>Count of the years since the simulation began</t>
  </si>
  <si>
    <t>change in atmospheric CO2 per day in climate change simulations</t>
  </si>
  <si>
    <t>simulated precipitation, not used in these simulations</t>
  </si>
  <si>
    <t>change in summer precipitation in climate change change simulations, not used here</t>
  </si>
  <si>
    <t>change in winter precipitation in climate change change simulations, not used here</t>
  </si>
  <si>
    <t>change in summer maximum and minimum temperature per day in climate change simulations, applied to both winter and summer in these simulations</t>
  </si>
  <si>
    <t>change in winter maximum and minimum temperature per day in climate change simulations, not used here</t>
  </si>
  <si>
    <t>biomass carbon burned in fire</t>
  </si>
  <si>
    <t>biomass nitrogen burned in fire</t>
  </si>
  <si>
    <t>biomass phosphorus burned in fire</t>
  </si>
  <si>
    <t>woody debris carbon burned in fire</t>
  </si>
  <si>
    <t>woody debris nitrogen burned in fire</t>
  </si>
  <si>
    <t>woody debris phosphorus burned in fire</t>
  </si>
  <si>
    <t>Phase I soil carbon burned in fire</t>
  </si>
  <si>
    <t>Phase I soil nitrogen burned in fire</t>
  </si>
  <si>
    <t>Phase I soil phosphorus burned in fire</t>
  </si>
  <si>
    <t>Phosphate residual from fire</t>
  </si>
  <si>
    <t>Nitrate residual from fire</t>
  </si>
  <si>
    <t>nitrogen volatilized in fire</t>
  </si>
  <si>
    <t>phosphorus volatilized in fire</t>
  </si>
  <si>
    <t>effective leaf area index for standing dead leaves</t>
  </si>
  <si>
    <t>lateral run in used during simulation. Value equals value in the driver file unless simulation is a climate change simulation</t>
  </si>
  <si>
    <t>atmospheric precipitation used during simulation. Value equals value in the driver file unless simulation is a climate change simulation</t>
  </si>
  <si>
    <t>atmospheric minimum temperature used during simulation. Value equals value in the driver file unless simulation is a climate change simulation</t>
  </si>
  <si>
    <t>atmospheric maximum temperature used during simulation. Value equals value in the driver file unless simulation is a climate change simulation</t>
  </si>
  <si>
    <t>atmospheric carbon dioxide concentration used during simulation. Value equals value in the driver file unless simulation is a climate change simulation</t>
  </si>
  <si>
    <t>Ecosystem responses to changes in climate and carbon dioxide in twelve mature ecosystems ranging from prairie to forest and from the arctic to the tropics</t>
  </si>
  <si>
    <t>2020MELMultisiteClimate</t>
  </si>
  <si>
    <t>average growing season air temperature</t>
  </si>
  <si>
    <t>D_TotalShortWave</t>
  </si>
  <si>
    <t>D_TemperatureMin</t>
  </si>
  <si>
    <t>D_TemperatureMax</t>
  </si>
  <si>
    <t>D_CarbonDioxide</t>
  </si>
  <si>
    <t>D_NH4Input</t>
  </si>
  <si>
    <t>D_NO3Input</t>
  </si>
  <si>
    <t>D_PO4Input</t>
  </si>
  <si>
    <t>D_Precipitation</t>
  </si>
  <si>
    <t>D_DoCInput</t>
  </si>
  <si>
    <t>D_DoNInput</t>
  </si>
  <si>
    <t>D_ApatiteInput</t>
  </si>
  <si>
    <t>D_RunIn</t>
  </si>
  <si>
    <t>D_DoCInRunIn</t>
  </si>
  <si>
    <t>D_DoNInRunIn</t>
  </si>
  <si>
    <t>D_NH4InRunIn</t>
  </si>
  <si>
    <t>D_NO3InRunIn</t>
  </si>
  <si>
    <t>D_PO4InRunIn</t>
  </si>
  <si>
    <t>D_ObservedSeries1</t>
  </si>
  <si>
    <t>D_ObservedSeries2</t>
  </si>
  <si>
    <t>biomassC</t>
  </si>
  <si>
    <t>biomassN</t>
  </si>
  <si>
    <t>biomassP</t>
  </si>
  <si>
    <t>effortC</t>
  </si>
  <si>
    <t>effortN</t>
  </si>
  <si>
    <t>effortP</t>
  </si>
  <si>
    <t>subEffortCO2</t>
  </si>
  <si>
    <t>subEffortLight</t>
  </si>
  <si>
    <t>subEffortH2O</t>
  </si>
  <si>
    <t>subEffortNH4</t>
  </si>
  <si>
    <t>subEffortNO3</t>
  </si>
  <si>
    <t>subEffortDoN</t>
  </si>
  <si>
    <t>subEffortNfix</t>
  </si>
  <si>
    <t>PhaseISOMC</t>
  </si>
  <si>
    <t>PhaseISOMN</t>
  </si>
  <si>
    <t>PhaseISOMP</t>
  </si>
  <si>
    <t>WoodyDebrisC</t>
  </si>
  <si>
    <t>WoodyDebrisN</t>
  </si>
  <si>
    <t>WoodyDebrisP</t>
  </si>
  <si>
    <t>PhaseIISOMC</t>
  </si>
  <si>
    <t>PhaseIISOMN</t>
  </si>
  <si>
    <t>PhaseIISOMP</t>
  </si>
  <si>
    <t>PPrimaryMin</t>
  </si>
  <si>
    <t>PNon_Occluded</t>
  </si>
  <si>
    <t>POccluded</t>
  </si>
  <si>
    <t>snowPack</t>
  </si>
  <si>
    <t>SoilHeat</t>
  </si>
  <si>
    <t>canopyFraction</t>
  </si>
  <si>
    <t>AveRequirementC</t>
  </si>
  <si>
    <t>AveRequirementN</t>
  </si>
  <si>
    <t>AveRequirementP</t>
  </si>
  <si>
    <t>AveAcquisitionC</t>
  </si>
  <si>
    <t>AveAcquisitionN</t>
  </si>
  <si>
    <t>AveAcquisitionP</t>
  </si>
  <si>
    <t>DegreeDayPositive</t>
  </si>
  <si>
    <t>DegreeDayNegative</t>
  </si>
  <si>
    <t>CumGPP</t>
  </si>
  <si>
    <t>CumNPP</t>
  </si>
  <si>
    <t>CumNEP</t>
  </si>
  <si>
    <t>CumUdoC</t>
  </si>
  <si>
    <t>CumLitC</t>
  </si>
  <si>
    <t>CumLcWC</t>
  </si>
  <si>
    <t>CumTotalLitterC</t>
  </si>
  <si>
    <t>CumTotalLitterN</t>
  </si>
  <si>
    <t>CumTotalLitterP</t>
  </si>
  <si>
    <t>CumTotMicrobResp</t>
  </si>
  <si>
    <t>CumNetNMin</t>
  </si>
  <si>
    <t>CumNetPMin</t>
  </si>
  <si>
    <t>CumTotalNUptake</t>
  </si>
  <si>
    <t>CumUNH4</t>
  </si>
  <si>
    <t>CumUNO3</t>
  </si>
  <si>
    <t>CumUdoN</t>
  </si>
  <si>
    <t>CumNFixation</t>
  </si>
  <si>
    <t>CumLitN</t>
  </si>
  <si>
    <t>CumLcWN</t>
  </si>
  <si>
    <t>CumUPO4</t>
  </si>
  <si>
    <t>CumLitP</t>
  </si>
  <si>
    <t>CumLcWP</t>
  </si>
  <si>
    <t>CumLcWCa</t>
  </si>
  <si>
    <t>CumRCm</t>
  </si>
  <si>
    <t>CumTiiC</t>
  </si>
  <si>
    <t>CumLcWNa</t>
  </si>
  <si>
    <t>CumUNH4m</t>
  </si>
  <si>
    <t>CumUNO3m</t>
  </si>
  <si>
    <t>CumRNm</t>
  </si>
  <si>
    <t>CumTiiN</t>
  </si>
  <si>
    <t>CumNonsymNfix</t>
  </si>
  <si>
    <t>CumLcWPa</t>
  </si>
  <si>
    <t>CumUPO4m</t>
  </si>
  <si>
    <t>CumRPm</t>
  </si>
  <si>
    <t>CumTiiP</t>
  </si>
  <si>
    <t>CumMiiC</t>
  </si>
  <si>
    <t>CumMiiN</t>
  </si>
  <si>
    <t>CumMiiP</t>
  </si>
  <si>
    <t>CumINH4</t>
  </si>
  <si>
    <t>CumLNH4</t>
  </si>
  <si>
    <t>CumNitrification</t>
  </si>
  <si>
    <t>CumINO3</t>
  </si>
  <si>
    <t>CumLNO3</t>
  </si>
  <si>
    <t>CumDNtr</t>
  </si>
  <si>
    <t>CumPaw</t>
  </si>
  <si>
    <t>CumPnow</t>
  </si>
  <si>
    <t>CumIPO4</t>
  </si>
  <si>
    <t>CumLPO4</t>
  </si>
  <si>
    <t>CumPO4P</t>
  </si>
  <si>
    <t>CumIPa</t>
  </si>
  <si>
    <t>CumPocclw</t>
  </si>
  <si>
    <t>CumPnos</t>
  </si>
  <si>
    <t>CumIdoC</t>
  </si>
  <si>
    <t>CumIdoN</t>
  </si>
  <si>
    <t>CumLdoC</t>
  </si>
  <si>
    <t>CumLdoN</t>
  </si>
  <si>
    <t>CumUW</t>
  </si>
  <si>
    <t>CumRunoff</t>
  </si>
  <si>
    <t>CumPrecipitation</t>
  </si>
  <si>
    <t>CumInterception</t>
  </si>
  <si>
    <t>CumRainfall</t>
  </si>
  <si>
    <t>CumSnowfall</t>
  </si>
  <si>
    <t>CumSnowmelt</t>
  </si>
  <si>
    <t>CumRunIn</t>
  </si>
  <si>
    <t>CumRinDoC</t>
  </si>
  <si>
    <t>CumRinDoN</t>
  </si>
  <si>
    <t>CumRinNH4</t>
  </si>
  <si>
    <t>CumRinNO3</t>
  </si>
  <si>
    <t>CumRinPO4</t>
  </si>
  <si>
    <t>CumOverlandFlow</t>
  </si>
  <si>
    <t>CumOverlandDoC</t>
  </si>
  <si>
    <t>CumOverlandDoN</t>
  </si>
  <si>
    <t>CumOverlandNH4</t>
  </si>
  <si>
    <t>CumOverlandNO3</t>
  </si>
  <si>
    <t>CumOverlandPO4</t>
  </si>
  <si>
    <t>LAIPeakSeason</t>
  </si>
  <si>
    <t>CumBCFireLoss</t>
  </si>
  <si>
    <t>CumBNFireLoss</t>
  </si>
  <si>
    <t>CumBPFireLoss</t>
  </si>
  <si>
    <t>CumWCFireLoss</t>
  </si>
  <si>
    <t>CumWNFireLoss</t>
  </si>
  <si>
    <t>CumWPFireLoss</t>
  </si>
  <si>
    <t>CumDCFireLoss</t>
  </si>
  <si>
    <t>CumDNFireLoss</t>
  </si>
  <si>
    <t>CumDPFireLoss</t>
  </si>
  <si>
    <t>CumTotCVolatilizedFire</t>
  </si>
  <si>
    <t>CumTotNVolatilizedFire</t>
  </si>
  <si>
    <t>CumTotPVolatilizedFire</t>
  </si>
  <si>
    <t>CumCFineLitToDebris</t>
  </si>
  <si>
    <t>CumNFineLitToDebris</t>
  </si>
  <si>
    <t>CumPFineLitToDebris</t>
  </si>
  <si>
    <t>BCPeakSeason</t>
  </si>
  <si>
    <t>TemperatureAve</t>
  </si>
  <si>
    <t>BiomassActive</t>
  </si>
  <si>
    <t>BiomassLeaf</t>
  </si>
  <si>
    <t>BiomassRoot</t>
  </si>
  <si>
    <t>BiomassWoody</t>
  </si>
  <si>
    <t>leafArea</t>
  </si>
  <si>
    <t>LeafAreaMax</t>
  </si>
  <si>
    <t>canopyFractionGrowth</t>
  </si>
  <si>
    <t>canopyGrowthWaterResp</t>
  </si>
  <si>
    <t>canopyFractionSenescence</t>
  </si>
  <si>
    <t>canopyLitterWaterResp</t>
  </si>
  <si>
    <t>soilPotential</t>
  </si>
  <si>
    <t>PBalApatiteWeathering</t>
  </si>
  <si>
    <t>PBalPO4Precipitation</t>
  </si>
  <si>
    <t>PBalNon_occlWeathrng</t>
  </si>
  <si>
    <t>PBalOccldWeathering</t>
  </si>
  <si>
    <t>PBalNon_occldStablz</t>
  </si>
  <si>
    <t>canopyCondSoilLimited</t>
  </si>
  <si>
    <t>CBalPs_LightLimit</t>
  </si>
  <si>
    <t>CBalPs_CO2Limit</t>
  </si>
  <si>
    <t>CBalPs_WaterLimit</t>
  </si>
  <si>
    <t>CBalPhotosynthesis</t>
  </si>
  <si>
    <t>WBalWaterUptake</t>
  </si>
  <si>
    <t>potentialET</t>
  </si>
  <si>
    <t>aqueousNH4</t>
  </si>
  <si>
    <t>NBalNH4Uptake</t>
  </si>
  <si>
    <t>aqueousNO3</t>
  </si>
  <si>
    <t>NBalNO3Uptake</t>
  </si>
  <si>
    <t>PlantAvailDoC</t>
  </si>
  <si>
    <t>doCUptake</t>
  </si>
  <si>
    <t>NBalDoNUptake</t>
  </si>
  <si>
    <t>NBalNFixation</t>
  </si>
  <si>
    <t>NBalTotalNUptake</t>
  </si>
  <si>
    <t>aqueousPO4</t>
  </si>
  <si>
    <t>PBalPO4Uptake</t>
  </si>
  <si>
    <t>actualNConc_</t>
  </si>
  <si>
    <t>optimumNConc_</t>
  </si>
  <si>
    <t>actualPConc_</t>
  </si>
  <si>
    <t>optimumPConc_</t>
  </si>
  <si>
    <t>CBalLitterC</t>
  </si>
  <si>
    <t>NBalLitterN</t>
  </si>
  <si>
    <t>PBalLitterP</t>
  </si>
  <si>
    <t>CBalFine_DebrisLitter</t>
  </si>
  <si>
    <t>NBalFine_DebrisLitter</t>
  </si>
  <si>
    <t>PBalFine_DebrisLitter</t>
  </si>
  <si>
    <t>CCoarseLitter</t>
  </si>
  <si>
    <t>NCoarseLitter</t>
  </si>
  <si>
    <t>PCoarseLitter</t>
  </si>
  <si>
    <t>CCWDActivation</t>
  </si>
  <si>
    <t>NCWDActivation</t>
  </si>
  <si>
    <t>PCWDActivation</t>
  </si>
  <si>
    <t>maintCReq</t>
  </si>
  <si>
    <t>CBalTotalPlantResp</t>
  </si>
  <si>
    <t>N_useEff</t>
  </si>
  <si>
    <t>P_useEff</t>
  </si>
  <si>
    <t>H2O_useEff</t>
  </si>
  <si>
    <t>allocatableEffort</t>
  </si>
  <si>
    <t>growthCReq</t>
  </si>
  <si>
    <t>growthNReq</t>
  </si>
  <si>
    <t>growthPReq</t>
  </si>
  <si>
    <t>marginalYieldNH4</t>
  </si>
  <si>
    <t>marginalYieldNO3</t>
  </si>
  <si>
    <t>marginalYieldDoN</t>
  </si>
  <si>
    <t>marginalYieldNfix</t>
  </si>
  <si>
    <t>marginalYieldCO2</t>
  </si>
  <si>
    <t>marginalYieldLight</t>
  </si>
  <si>
    <t>marginalYieldH2O</t>
  </si>
  <si>
    <t>averageCYield</t>
  </si>
  <si>
    <t>averageNYield</t>
  </si>
  <si>
    <t>TotalCReq</t>
  </si>
  <si>
    <t>TotalNReq</t>
  </si>
  <si>
    <t>TotalPReq</t>
  </si>
  <si>
    <t>MeanReq_uptake</t>
  </si>
  <si>
    <t>mesophyllCO2</t>
  </si>
  <si>
    <t>TotalEffort</t>
  </si>
  <si>
    <t>TotalRootEffort</t>
  </si>
  <si>
    <t>TotalLeafEffort</t>
  </si>
  <si>
    <t>TotalSoilC</t>
  </si>
  <si>
    <t>TotalSoilN</t>
  </si>
  <si>
    <t>TotalSoilP</t>
  </si>
  <si>
    <t>CBalNPP</t>
  </si>
  <si>
    <t>WBalRunoff</t>
  </si>
  <si>
    <t>NH4Leach</t>
  </si>
  <si>
    <t>NO3Leach</t>
  </si>
  <si>
    <t>CBalDoCLeach</t>
  </si>
  <si>
    <t>NBalDoNLeach</t>
  </si>
  <si>
    <t>NBalTotalNLeach</t>
  </si>
  <si>
    <t>PBalPO4Leach</t>
  </si>
  <si>
    <t>NBalMicrNH4Uptake</t>
  </si>
  <si>
    <t>NBalMicrNO3Uptake</t>
  </si>
  <si>
    <t>NBalTotMicrNUptake</t>
  </si>
  <si>
    <t>PBalMicrPUptake</t>
  </si>
  <si>
    <t>totalCConsump</t>
  </si>
  <si>
    <t>totalNConsump</t>
  </si>
  <si>
    <t>totalPConsump</t>
  </si>
  <si>
    <t>CEfficiency</t>
  </si>
  <si>
    <t>NEfficiency</t>
  </si>
  <si>
    <t>PEfficiency</t>
  </si>
  <si>
    <t>CBalMicrobialResp</t>
  </si>
  <si>
    <t>NBalGrossNMin</t>
  </si>
  <si>
    <t>PBalGrossPMin</t>
  </si>
  <si>
    <t>CBalPhaseIITran</t>
  </si>
  <si>
    <t>NBalPhaseIITran</t>
  </si>
  <si>
    <t>PBalPhaseIITran</t>
  </si>
  <si>
    <t>CBalPhaseIIMin</t>
  </si>
  <si>
    <t>NBalPhaseIIMin</t>
  </si>
  <si>
    <t>PBalPhaseIIMin</t>
  </si>
  <si>
    <t>NBalNonSymNFix</t>
  </si>
  <si>
    <t>NBalNitrification</t>
  </si>
  <si>
    <t>deltaEffortTotal</t>
  </si>
  <si>
    <t>NBalTotalNdep</t>
  </si>
  <si>
    <t>NBalNetNMin</t>
  </si>
  <si>
    <t>PBalNetPMin</t>
  </si>
  <si>
    <t>CBalNEP</t>
  </si>
  <si>
    <t>NBalNetEcos</t>
  </si>
  <si>
    <t>PBalNetEcos</t>
  </si>
  <si>
    <t>CBalNetEcos</t>
  </si>
  <si>
    <t>WBalNetEcos</t>
  </si>
  <si>
    <t>CumNetEcoCBal</t>
  </si>
  <si>
    <t>CumNetEcoNBal</t>
  </si>
  <si>
    <t>CumNetEcoPBal</t>
  </si>
  <si>
    <t>CumNetEcoWBal</t>
  </si>
  <si>
    <t>biomassWFullCanopy</t>
  </si>
  <si>
    <t>CanopyLitter</t>
  </si>
  <si>
    <t>SnowMelt</t>
  </si>
  <si>
    <t>DayOfYear</t>
  </si>
  <si>
    <t>DayLength</t>
  </si>
  <si>
    <t>requirementRatioCA</t>
  </si>
  <si>
    <t>requirementRatioN</t>
  </si>
  <si>
    <t>requirementRatioPO4</t>
  </si>
  <si>
    <t>dUCDvCO2</t>
  </si>
  <si>
    <t>dUCDvW</t>
  </si>
  <si>
    <t>dUCDvI</t>
  </si>
  <si>
    <t>dUCDvNH4</t>
  </si>
  <si>
    <t>dUCDvNO3</t>
  </si>
  <si>
    <t>dUCDvdoN</t>
  </si>
  <si>
    <t>dUCDvNfix</t>
  </si>
  <si>
    <t>dUCDVC</t>
  </si>
  <si>
    <t>kickstarter_CEffort</t>
  </si>
  <si>
    <t>kickstarter_NEffort</t>
  </si>
  <si>
    <t>kickstarter_PEffort</t>
  </si>
  <si>
    <t>kickstarter_CO2Subeffort</t>
  </si>
  <si>
    <t>kickstarter_WSubeffort</t>
  </si>
  <si>
    <t>kickstarter_ISubeffort</t>
  </si>
  <si>
    <t>kickstarter_NH4Subeffort</t>
  </si>
  <si>
    <t>kickstarter_NO3Subeffort</t>
  </si>
  <si>
    <t>kickstarter_NfixSubeffort</t>
  </si>
  <si>
    <t>kickstarter_DoNSubeffort</t>
  </si>
  <si>
    <t>rootingDepth_Actual</t>
  </si>
  <si>
    <t>nearRootDepletionFactor</t>
  </si>
  <si>
    <t>betweenRootHalfDistance</t>
  </si>
  <si>
    <t>RootLength</t>
  </si>
  <si>
    <t>DepthOfPeat</t>
  </si>
  <si>
    <t>SoilVolumePerGC</t>
  </si>
  <si>
    <t>UnfrozenSoilFraction</t>
  </si>
  <si>
    <t>SoilTemperature</t>
  </si>
  <si>
    <t>UpwardCond</t>
  </si>
  <si>
    <t>UpwardThawCond</t>
  </si>
  <si>
    <t>UpwardFrozenCond</t>
  </si>
  <si>
    <t>FrozenHeatCap</t>
  </si>
  <si>
    <t>ThawedHeatCap</t>
  </si>
  <si>
    <t>VolumetricWaterContent</t>
  </si>
  <si>
    <t>OverlandFlow_Runin</t>
  </si>
  <si>
    <t>OverlandDoC_Runin</t>
  </si>
  <si>
    <t>OverlandDoN_Runin</t>
  </si>
  <si>
    <t>OverlandNH4_Runin</t>
  </si>
  <si>
    <t>OverlandNO3_Runin</t>
  </si>
  <si>
    <t>OverlandPO4_Runin</t>
  </si>
  <si>
    <t>OverlandFlow_Infil</t>
  </si>
  <si>
    <t>DepthOfThaw</t>
  </si>
  <si>
    <t>SoilTempWaterResponse</t>
  </si>
  <si>
    <t>YearsSinceSimStart</t>
  </si>
  <si>
    <t>CO2Deviation</t>
  </si>
  <si>
    <t>TempSummerDev</t>
  </si>
  <si>
    <t>TempWinterDev</t>
  </si>
  <si>
    <t>PptSimulated</t>
  </si>
  <si>
    <t>PptSummerDev</t>
  </si>
  <si>
    <t>PptWinterDev</t>
  </si>
  <si>
    <t>ProjectedCO2</t>
  </si>
  <si>
    <t>ProjectedTmax</t>
  </si>
  <si>
    <t>ProjectedTmin</t>
  </si>
  <si>
    <t>ProjectedPrecip</t>
  </si>
  <si>
    <t>AveGrowSeasonTemp</t>
  </si>
  <si>
    <t>BiomassCFireLoss</t>
  </si>
  <si>
    <t>BiomassNFireLoss</t>
  </si>
  <si>
    <t>BiomassPFireLoss</t>
  </si>
  <si>
    <t>DebrisCFireLoss</t>
  </si>
  <si>
    <t>DebrisNFireLoss</t>
  </si>
  <si>
    <t>DebrisPFireLoss</t>
  </si>
  <si>
    <t>PhaseICFireLoss</t>
  </si>
  <si>
    <t>PhaseINFireLoss</t>
  </si>
  <si>
    <t>PhaseIPFireLoss</t>
  </si>
  <si>
    <t>FireNO3Deposition</t>
  </si>
  <si>
    <t>FirePO4Deposition</t>
  </si>
  <si>
    <t>FireNVolatilized</t>
  </si>
  <si>
    <t>FirePVolatilized</t>
  </si>
  <si>
    <t>StandingDeadLAIEquiv</t>
  </si>
  <si>
    <t>ProjectedRunin</t>
  </si>
  <si>
    <t>https://portal.edirepository.org/nis/mapbrowse?packageid=knb-lter-arc.20133</t>
  </si>
  <si>
    <t>phosphorus cycling, carbon sequestration, carbon-nitrogen interactions, carbon-phosphorus interactions, LTER, ARC, BNZ, HBR, HFR, KBS, KNZ, NWT, AND, Caxiuanã</t>
  </si>
  <si>
    <t>primary production, disturbance</t>
  </si>
  <si>
    <t>Hubbard Brook Experimental Forest</t>
  </si>
  <si>
    <t>Pacific Northwest Research Station</t>
  </si>
  <si>
    <t>HJ Andrews Experimental Forest</t>
  </si>
  <si>
    <t>Kimberly</t>
  </si>
  <si>
    <t>USDA</t>
  </si>
  <si>
    <t xml:space="preserve"> Forest Service</t>
  </si>
  <si>
    <t>Northern Research Station</t>
  </si>
  <si>
    <t>Atigun Wet Sedge</t>
  </si>
  <si>
    <t>Atigun Wet Sedge, Atigun River crossing of the Dalton Road near Atigun Gorge, Alaska, U.S.A.</t>
  </si>
  <si>
    <t>knb-lter-arc.20133.2</t>
  </si>
  <si>
    <t xml:space="preserve">Version 2: Correct arctic site names and coordinates. Add code to mirror data set to the Arctic Data Center. Update keywords. BK 17Feb22 </t>
  </si>
  <si>
    <t>primary production, carbon cycling, nitrogen cycling, models, climate change, disturbance, nutrient cycling, phosphorus, nitrogen, modeling</t>
  </si>
  <si>
    <t>2020MELMultisiteClimate_v2.csv</t>
  </si>
  <si>
    <t>2020MELMultisiteClimate.zip</t>
  </si>
  <si>
    <t>Zip file containing the MEL executable, the driver files, the parameter files and the output files for each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</si>
</sst>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0"/>
    <numFmt numFmtId="166" formatCode="0.000000"/>
    <numFmt numFmtId="167" formatCode="0.000"/>
    <numFmt numFmtId="168" formatCode="yyyy\-mm\-dd"/>
  </numFmts>
  <fonts count="40" x14ac:knownFonts="1">
    <font>
      <sz val="10"/>
      <name val="Arial"/>
    </font>
    <font>
      <sz val="11"/>
      <color theme="1"/>
      <name val="Calibri"/>
      <family val="2"/>
      <scheme val="minor"/>
    </font>
    <font>
      <u/>
      <sz val="10"/>
      <color indexed="12"/>
      <name val="Arial"/>
      <family val="2"/>
    </font>
    <font>
      <b/>
      <sz val="14"/>
      <name val="Arial"/>
      <family val="2"/>
    </font>
    <font>
      <b/>
      <sz val="10"/>
      <name val="Arial"/>
      <family val="2"/>
    </font>
    <font>
      <b/>
      <sz val="9"/>
      <color indexed="48"/>
      <name val="Arial"/>
      <family val="2"/>
    </font>
    <font>
      <b/>
      <sz val="9"/>
      <name val="Arial"/>
      <family val="2"/>
    </font>
    <font>
      <sz val="10"/>
      <name val="Arial"/>
      <family val="2"/>
    </font>
    <font>
      <b/>
      <u/>
      <sz val="10"/>
      <color indexed="10"/>
      <name val="Arial"/>
      <family val="2"/>
    </font>
    <font>
      <b/>
      <sz val="10"/>
      <color indexed="12"/>
      <name val="Arial"/>
      <family val="2"/>
    </font>
    <font>
      <b/>
      <sz val="8"/>
      <color indexed="81"/>
      <name val="Tahoma"/>
      <family val="2"/>
    </font>
    <font>
      <b/>
      <sz val="8"/>
      <color indexed="10"/>
      <name val="Tahoma"/>
      <family val="2"/>
    </font>
    <font>
      <sz val="8"/>
      <color indexed="81"/>
      <name val="Tahoma"/>
      <family val="2"/>
    </font>
    <font>
      <sz val="8"/>
      <color indexed="10"/>
      <name val="Tahoma"/>
      <family val="2"/>
    </font>
    <font>
      <u/>
      <sz val="10"/>
      <color indexed="22"/>
      <name val="Arial"/>
      <family val="2"/>
    </font>
    <font>
      <sz val="10"/>
      <color indexed="22"/>
      <name val="Arial"/>
      <family val="2"/>
    </font>
    <font>
      <sz val="10"/>
      <color indexed="81"/>
      <name val="Tahoma"/>
      <family val="2"/>
    </font>
    <font>
      <sz val="10"/>
      <color indexed="10"/>
      <name val="Tahoma"/>
      <family val="2"/>
    </font>
    <font>
      <b/>
      <sz val="10"/>
      <color indexed="81"/>
      <name val="Tahoma"/>
      <family val="2"/>
    </font>
    <font>
      <sz val="12"/>
      <name val="Arial"/>
      <family val="2"/>
    </font>
    <font>
      <b/>
      <sz val="9"/>
      <color indexed="81"/>
      <name val="Tahoma"/>
      <family val="2"/>
    </font>
    <font>
      <b/>
      <sz val="8"/>
      <color indexed="12"/>
      <name val="Arial"/>
      <family val="2"/>
    </font>
    <font>
      <b/>
      <sz val="8"/>
      <color indexed="10"/>
      <name val="Arial"/>
      <family val="2"/>
    </font>
    <font>
      <b/>
      <sz val="8"/>
      <color indexed="39"/>
      <name val="Tahoma"/>
      <family val="2"/>
    </font>
    <font>
      <sz val="9"/>
      <color indexed="81"/>
      <name val="Tahoma"/>
      <family val="2"/>
    </font>
    <font>
      <b/>
      <sz val="10"/>
      <color indexed="10"/>
      <name val="Tahoma"/>
      <family val="2"/>
    </font>
    <font>
      <b/>
      <sz val="12"/>
      <color indexed="81"/>
      <name val="Tahoma"/>
      <family val="2"/>
    </font>
    <font>
      <b/>
      <sz val="10"/>
      <color indexed="53"/>
      <name val="Tahoma"/>
      <family val="2"/>
    </font>
    <font>
      <sz val="10"/>
      <name val="Arial"/>
      <family val="2"/>
    </font>
    <font>
      <b/>
      <sz val="12"/>
      <color rgb="FFFF0000"/>
      <name val="Arial"/>
      <family val="2"/>
    </font>
    <font>
      <b/>
      <sz val="11"/>
      <name val="Calibri"/>
      <family val="2"/>
    </font>
    <font>
      <sz val="11"/>
      <name val="Calibri"/>
      <family val="2"/>
    </font>
    <font>
      <sz val="10"/>
      <color theme="1"/>
      <name val="Arial"/>
      <family val="2"/>
    </font>
    <font>
      <sz val="8"/>
      <name val="Arial"/>
      <family val="2"/>
    </font>
    <font>
      <sz val="8"/>
      <color rgb="FF000000"/>
      <name val="Arial"/>
      <family val="2"/>
    </font>
    <font>
      <sz val="8"/>
      <color indexed="10"/>
      <name val="Arial"/>
      <family val="2"/>
    </font>
    <font>
      <sz val="8"/>
      <color theme="1"/>
      <name val="Arial"/>
      <family val="2"/>
    </font>
    <font>
      <sz val="10"/>
      <color indexed="81"/>
      <name val="Calibri"/>
      <family val="2"/>
      <scheme val="minor"/>
    </font>
    <font>
      <b/>
      <sz val="9"/>
      <color theme="0" tint="-0.34998626667073579"/>
      <name val="Arial"/>
      <family val="2"/>
    </font>
    <font>
      <b/>
      <sz val="10"/>
      <color rgb="FFFF0000"/>
      <name val="Arial"/>
      <family val="2"/>
    </font>
  </fonts>
  <fills count="10">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27"/>
        <bgColor indexed="31"/>
      </patternFill>
    </fill>
    <fill>
      <patternFill patternType="solid">
        <fgColor rgb="FF66FF99"/>
        <bgColor indexed="64"/>
      </patternFill>
    </fill>
    <fill>
      <patternFill patternType="solid">
        <fgColor theme="0" tint="-0.14999847407452621"/>
        <bgColor indexed="64"/>
      </patternFill>
    </fill>
    <fill>
      <patternFill patternType="solid">
        <fgColor rgb="FFCCFFFF"/>
        <bgColor indexed="31"/>
      </patternFill>
    </fill>
    <fill>
      <patternFill patternType="solid">
        <fgColor rgb="FF00FFFF"/>
        <bgColor indexed="64"/>
      </patternFill>
    </fill>
    <fill>
      <patternFill patternType="solid">
        <fgColor theme="3"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right/>
      <top style="thin">
        <color auto="1"/>
      </top>
      <bottom style="thin">
        <color auto="1"/>
      </bottom>
      <diagonal/>
    </border>
  </borders>
  <cellStyleXfs count="8">
    <xf numFmtId="0" fontId="0" fillId="0" borderId="0"/>
    <xf numFmtId="0" fontId="2" fillId="0" borderId="0" applyNumberFormat="0" applyFill="0" applyBorder="0" applyAlignment="0" applyProtection="0">
      <alignment vertical="top"/>
      <protection locked="0"/>
    </xf>
    <xf numFmtId="0" fontId="7" fillId="0" borderId="0"/>
    <xf numFmtId="0" fontId="7" fillId="0" borderId="0"/>
    <xf numFmtId="0" fontId="1" fillId="0" borderId="0"/>
    <xf numFmtId="0" fontId="36" fillId="0" borderId="0"/>
    <xf numFmtId="0" fontId="7" fillId="0" borderId="0">
      <alignment vertical="top"/>
    </xf>
    <xf numFmtId="0" fontId="1" fillId="0" borderId="0"/>
  </cellStyleXfs>
  <cellXfs count="167">
    <xf numFmtId="0" fontId="0" fillId="0" borderId="0" xfId="0"/>
    <xf numFmtId="0" fontId="3" fillId="0" borderId="0" xfId="0" applyFont="1" applyAlignment="1" applyProtection="1">
      <alignment vertical="top"/>
    </xf>
    <xf numFmtId="49" fontId="7" fillId="2" borderId="1" xfId="0" applyNumberFormat="1" applyFont="1" applyFill="1" applyBorder="1" applyAlignment="1" applyProtection="1">
      <alignment horizontal="left" wrapText="1"/>
      <protection locked="0"/>
    </xf>
    <xf numFmtId="0" fontId="7" fillId="0" borderId="0" xfId="0" applyFont="1" applyFill="1" applyBorder="1" applyAlignment="1" applyProtection="1">
      <alignment horizontal="right" vertical="top"/>
    </xf>
    <xf numFmtId="0" fontId="4" fillId="0" borderId="0" xfId="0" applyFont="1" applyProtection="1">
      <protection locked="0"/>
    </xf>
    <xf numFmtId="0" fontId="4" fillId="0" borderId="0" xfId="0" applyFont="1" applyAlignment="1" applyProtection="1">
      <alignment horizontal="center" vertical="top"/>
    </xf>
    <xf numFmtId="0" fontId="14" fillId="0" borderId="2" xfId="1" applyFont="1" applyFill="1" applyBorder="1" applyAlignment="1" applyProtection="1">
      <alignment horizontal="left"/>
    </xf>
    <xf numFmtId="0" fontId="15" fillId="0" borderId="3" xfId="0" applyFont="1" applyBorder="1" applyAlignment="1" applyProtection="1"/>
    <xf numFmtId="0" fontId="15" fillId="0" borderId="1" xfId="0" applyFont="1" applyFill="1" applyBorder="1" applyAlignment="1" applyProtection="1">
      <alignment horizontal="left"/>
    </xf>
    <xf numFmtId="0" fontId="15" fillId="0" borderId="2" xfId="0" applyFont="1" applyFill="1" applyBorder="1" applyAlignment="1" applyProtection="1">
      <alignment horizontal="left"/>
    </xf>
    <xf numFmtId="0" fontId="15" fillId="0" borderId="3" xfId="0" applyFont="1" applyBorder="1" applyAlignment="1"/>
    <xf numFmtId="49" fontId="7" fillId="0" borderId="0" xfId="0" applyNumberFormat="1" applyFont="1"/>
    <xf numFmtId="0" fontId="7" fillId="0" borderId="0" xfId="0" applyFont="1"/>
    <xf numFmtId="0" fontId="4" fillId="3" borderId="1" xfId="2" applyFont="1" applyFill="1" applyBorder="1" applyAlignment="1" applyProtection="1">
      <alignment vertical="center" wrapText="1"/>
    </xf>
    <xf numFmtId="0" fontId="4" fillId="3" borderId="1" xfId="2" applyFont="1" applyFill="1" applyBorder="1" applyAlignment="1" applyProtection="1">
      <alignment horizontal="left" vertical="center" wrapText="1"/>
    </xf>
    <xf numFmtId="0" fontId="4" fillId="5" borderId="1" xfId="0" applyFont="1" applyFill="1" applyBorder="1" applyAlignment="1" applyProtection="1">
      <alignment vertical="top"/>
    </xf>
    <xf numFmtId="0" fontId="6" fillId="5" borderId="1" xfId="0" applyFont="1" applyFill="1" applyBorder="1" applyAlignment="1" applyProtection="1">
      <alignment vertical="top" wrapText="1"/>
    </xf>
    <xf numFmtId="0" fontId="4" fillId="5" borderId="1" xfId="0" applyNumberFormat="1" applyFont="1" applyFill="1" applyBorder="1" applyAlignment="1" applyProtection="1">
      <alignment vertical="top" wrapText="1"/>
    </xf>
    <xf numFmtId="0" fontId="4" fillId="5" borderId="4" xfId="0" applyFont="1" applyFill="1" applyBorder="1" applyAlignment="1" applyProtection="1">
      <alignment horizontal="left" vertical="top"/>
    </xf>
    <xf numFmtId="0" fontId="4" fillId="5" borderId="1" xfId="0" applyFont="1" applyFill="1" applyBorder="1" applyAlignment="1" applyProtection="1">
      <alignment horizontal="left" vertical="top"/>
    </xf>
    <xf numFmtId="0" fontId="4" fillId="5" borderId="1" xfId="0" applyFont="1" applyFill="1" applyBorder="1" applyAlignment="1" applyProtection="1">
      <alignment wrapText="1"/>
    </xf>
    <xf numFmtId="0" fontId="4" fillId="5" borderId="1" xfId="0" applyFont="1" applyFill="1" applyBorder="1" applyAlignment="1" applyProtection="1">
      <alignment vertical="top" wrapText="1"/>
    </xf>
    <xf numFmtId="0" fontId="4" fillId="5" borderId="5" xfId="0" applyFont="1" applyFill="1" applyBorder="1" applyAlignment="1" applyProtection="1">
      <alignment horizontal="left"/>
    </xf>
    <xf numFmtId="0" fontId="4" fillId="5" borderId="6" xfId="0" applyFont="1" applyFill="1" applyBorder="1" applyAlignment="1" applyProtection="1">
      <alignment horizontal="right" wrapText="1"/>
    </xf>
    <xf numFmtId="0" fontId="4" fillId="5" borderId="2" xfId="0" applyFont="1" applyFill="1" applyBorder="1" applyAlignment="1" applyProtection="1">
      <alignment horizontal="right"/>
    </xf>
    <xf numFmtId="0" fontId="4" fillId="5" borderId="1" xfId="0" applyFont="1" applyFill="1" applyBorder="1" applyAlignment="1" applyProtection="1">
      <alignment horizontal="right" vertical="top"/>
    </xf>
    <xf numFmtId="0" fontId="4" fillId="5" borderId="1" xfId="0" applyFont="1" applyFill="1" applyBorder="1" applyAlignment="1" applyProtection="1">
      <alignment horizontal="left" wrapText="1"/>
    </xf>
    <xf numFmtId="0" fontId="7" fillId="4" borderId="1" xfId="0" applyFont="1" applyFill="1" applyBorder="1" applyAlignment="1" applyProtection="1">
      <alignment horizontal="left" vertical="top" wrapText="1"/>
      <protection locked="0"/>
    </xf>
    <xf numFmtId="49" fontId="4" fillId="6" borderId="0" xfId="0" applyNumberFormat="1" applyFont="1" applyFill="1" applyBorder="1" applyAlignment="1" applyProtection="1">
      <alignment horizontal="right" vertical="top"/>
    </xf>
    <xf numFmtId="0" fontId="7" fillId="0" borderId="0" xfId="0" applyFont="1" applyAlignment="1" applyProtection="1">
      <alignment horizontal="left" wrapText="1"/>
      <protection locked="0"/>
    </xf>
    <xf numFmtId="0" fontId="15" fillId="0" borderId="1" xfId="0" applyFont="1" applyFill="1" applyBorder="1" applyAlignment="1" applyProtection="1"/>
    <xf numFmtId="0" fontId="7" fillId="0" borderId="0" xfId="0" applyFont="1" applyProtection="1">
      <protection locked="0"/>
    </xf>
    <xf numFmtId="0" fontId="7" fillId="0" borderId="0" xfId="0" applyFont="1" applyFill="1" applyBorder="1"/>
    <xf numFmtId="0" fontId="7" fillId="0" borderId="0" xfId="0" applyFont="1" applyAlignment="1" applyProtection="1">
      <alignment vertical="top"/>
    </xf>
    <xf numFmtId="0" fontId="7" fillId="0" borderId="0" xfId="0" applyFont="1" applyAlignment="1" applyProtection="1">
      <protection locked="0"/>
    </xf>
    <xf numFmtId="0" fontId="7" fillId="0" borderId="0" xfId="0" applyNumberFormat="1" applyFont="1" applyAlignment="1" applyProtection="1">
      <alignment horizontal="left"/>
      <protection locked="0"/>
    </xf>
    <xf numFmtId="0" fontId="19" fillId="0" borderId="0" xfId="0" applyFont="1" applyAlignment="1" applyProtection="1">
      <protection locked="0"/>
    </xf>
    <xf numFmtId="0" fontId="7" fillId="7" borderId="1" xfId="0" applyFont="1" applyFill="1" applyBorder="1" applyAlignment="1" applyProtection="1">
      <alignment horizontal="left" wrapText="1"/>
      <protection locked="0"/>
    </xf>
    <xf numFmtId="0" fontId="7" fillId="0" borderId="0" xfId="0" applyFont="1" applyAlignment="1" applyProtection="1">
      <alignment vertical="top" wrapText="1"/>
    </xf>
    <xf numFmtId="0" fontId="7" fillId="0" borderId="0" xfId="0" applyFont="1" applyFill="1" applyAlignment="1" applyProtection="1">
      <alignment horizontal="left" wrapText="1"/>
      <protection locked="0"/>
    </xf>
    <xf numFmtId="0" fontId="7" fillId="0" borderId="0" xfId="0" applyFont="1" applyFill="1" applyProtection="1">
      <protection locked="0"/>
    </xf>
    <xf numFmtId="0" fontId="7" fillId="0" borderId="0" xfId="0" applyFont="1" applyFill="1" applyAlignment="1" applyProtection="1">
      <alignment horizontal="right" vertical="top" wrapText="1"/>
    </xf>
    <xf numFmtId="0" fontId="7" fillId="0" borderId="0" xfId="0" applyFont="1" applyBorder="1" applyAlignment="1" applyProtection="1">
      <alignment horizontal="left" wrapText="1"/>
      <protection locked="0"/>
    </xf>
    <xf numFmtId="0" fontId="15" fillId="0" borderId="1" xfId="0" applyFont="1" applyFill="1" applyBorder="1" applyAlignment="1" applyProtection="1">
      <alignment horizontal="right"/>
    </xf>
    <xf numFmtId="0" fontId="4" fillId="3" borderId="0" xfId="0" applyNumberFormat="1" applyFont="1" applyFill="1" applyAlignment="1" applyProtection="1">
      <alignment horizontal="right" vertical="top" wrapText="1"/>
    </xf>
    <xf numFmtId="0" fontId="4" fillId="3" borderId="0" xfId="0" applyFont="1" applyFill="1" applyAlignment="1" applyProtection="1">
      <alignment horizontal="right" vertical="top" wrapText="1"/>
    </xf>
    <xf numFmtId="0" fontId="4" fillId="3" borderId="0" xfId="0" applyFont="1" applyFill="1" applyAlignment="1" applyProtection="1">
      <alignment horizontal="right" vertical="top"/>
    </xf>
    <xf numFmtId="0" fontId="4" fillId="3" borderId="0" xfId="0" applyFont="1" applyFill="1" applyBorder="1" applyAlignment="1" applyProtection="1">
      <alignment horizontal="right" vertical="top"/>
    </xf>
    <xf numFmtId="0" fontId="7" fillId="0" borderId="0" xfId="0" applyFont="1" applyAlignment="1" applyProtection="1">
      <alignment horizontal="right" vertical="top"/>
    </xf>
    <xf numFmtId="0" fontId="4" fillId="3" borderId="0" xfId="0" applyFont="1" applyFill="1" applyBorder="1" applyAlignment="1" applyProtection="1">
      <alignment horizontal="left" vertical="top"/>
    </xf>
    <xf numFmtId="0" fontId="7" fillId="4" borderId="7" xfId="0" applyFont="1" applyFill="1" applyBorder="1" applyAlignment="1" applyProtection="1">
      <alignment horizontal="left" wrapText="1"/>
      <protection locked="0"/>
    </xf>
    <xf numFmtId="0" fontId="7" fillId="4" borderId="8" xfId="0" applyFont="1" applyFill="1" applyBorder="1" applyAlignment="1" applyProtection="1">
      <alignment horizontal="left" wrapText="1"/>
      <protection locked="0"/>
    </xf>
    <xf numFmtId="0" fontId="7" fillId="0" borderId="1" xfId="0" applyFont="1" applyBorder="1" applyAlignment="1" applyProtection="1">
      <alignment horizontal="left" wrapText="1"/>
      <protection locked="0"/>
    </xf>
    <xf numFmtId="0" fontId="4" fillId="0" borderId="0" xfId="0" applyFont="1" applyFill="1" applyBorder="1" applyAlignment="1" applyProtection="1">
      <alignment horizontal="right" vertical="top"/>
    </xf>
    <xf numFmtId="0" fontId="7" fillId="0" borderId="0" xfId="0" applyFont="1" applyFill="1" applyBorder="1" applyAlignment="1" applyProtection="1">
      <alignment horizontal="left" wrapText="1"/>
      <protection locked="0"/>
    </xf>
    <xf numFmtId="0" fontId="4" fillId="3" borderId="0" xfId="0" applyFont="1" applyFill="1" applyBorder="1" applyAlignment="1" applyProtection="1">
      <alignment horizontal="right" wrapText="1"/>
    </xf>
    <xf numFmtId="0" fontId="4" fillId="3" borderId="2" xfId="0" applyFont="1" applyFill="1" applyBorder="1" applyAlignment="1" applyProtection="1">
      <alignment horizontal="right" wrapText="1"/>
    </xf>
    <xf numFmtId="0" fontId="19" fillId="0" borderId="0" xfId="0" applyFont="1"/>
    <xf numFmtId="0" fontId="7" fillId="0" borderId="0" xfId="0" applyFont="1" applyAlignment="1" applyProtection="1"/>
    <xf numFmtId="0" fontId="7" fillId="0" borderId="0" xfId="0" applyNumberFormat="1" applyFont="1" applyAlignment="1" applyProtection="1">
      <protection locked="0"/>
    </xf>
    <xf numFmtId="0" fontId="7" fillId="0" borderId="0" xfId="0" applyFont="1" applyFill="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pplyProtection="1">
      <alignment horizontal="left"/>
      <protection locked="0"/>
    </xf>
    <xf numFmtId="0" fontId="7" fillId="5" borderId="9" xfId="0" applyNumberFormat="1" applyFont="1" applyFill="1" applyBorder="1" applyAlignment="1" applyProtection="1">
      <alignment horizontal="left"/>
    </xf>
    <xf numFmtId="0" fontId="7" fillId="4" borderId="2" xfId="0" applyFont="1" applyFill="1" applyBorder="1" applyAlignment="1" applyProtection="1">
      <alignment horizontal="left"/>
      <protection locked="0"/>
    </xf>
    <xf numFmtId="0" fontId="7" fillId="2" borderId="3" xfId="0" applyFont="1" applyFill="1" applyBorder="1" applyAlignment="1" applyProtection="1">
      <protection locked="0"/>
    </xf>
    <xf numFmtId="0" fontId="7" fillId="4" borderId="6" xfId="0" applyFont="1" applyFill="1" applyBorder="1" applyAlignment="1" applyProtection="1">
      <alignment horizontal="left"/>
      <protection locked="0"/>
    </xf>
    <xf numFmtId="0" fontId="7" fillId="2" borderId="10" xfId="0" applyFont="1" applyFill="1" applyBorder="1" applyAlignment="1" applyProtection="1">
      <protection locked="0"/>
    </xf>
    <xf numFmtId="0" fontId="7" fillId="0" borderId="0" xfId="2" applyFont="1" applyAlignment="1" applyProtection="1">
      <alignment wrapText="1"/>
      <protection locked="0"/>
    </xf>
    <xf numFmtId="0" fontId="7" fillId="0" borderId="0" xfId="0" applyFont="1" applyAlignment="1">
      <alignment vertical="top"/>
    </xf>
    <xf numFmtId="0" fontId="21" fillId="0" borderId="0" xfId="0" applyFont="1" applyAlignment="1">
      <alignment horizontal="center" wrapText="1"/>
    </xf>
    <xf numFmtId="0" fontId="21" fillId="0" borderId="0" xfId="0" applyFont="1" applyAlignment="1">
      <alignment wrapText="1"/>
    </xf>
    <xf numFmtId="164" fontId="21" fillId="0" borderId="0" xfId="0" applyNumberFormat="1" applyFont="1" applyAlignment="1">
      <alignment wrapText="1"/>
    </xf>
    <xf numFmtId="0" fontId="2" fillId="0" borderId="0" xfId="1" applyAlignment="1" applyProtection="1"/>
    <xf numFmtId="0" fontId="2" fillId="4" borderId="1" xfId="1" applyFill="1" applyBorder="1" applyAlignment="1" applyProtection="1">
      <alignment horizontal="left" vertical="top" wrapText="1"/>
    </xf>
    <xf numFmtId="0" fontId="7" fillId="8" borderId="1" xfId="0" applyFont="1" applyFill="1" applyBorder="1" applyAlignment="1" applyProtection="1">
      <alignment horizontal="center" wrapText="1"/>
      <protection locked="0"/>
    </xf>
    <xf numFmtId="0" fontId="0" fillId="0" borderId="0" xfId="0" applyAlignment="1"/>
    <xf numFmtId="0" fontId="4" fillId="0" borderId="0" xfId="0" applyFont="1" applyFill="1" applyBorder="1" applyAlignment="1" applyProtection="1">
      <alignment horizontal="left" wrapText="1"/>
      <protection locked="0"/>
    </xf>
    <xf numFmtId="0" fontId="7" fillId="0" borderId="0" xfId="0" applyFont="1" applyFill="1" applyBorder="1" applyAlignment="1"/>
    <xf numFmtId="0" fontId="4" fillId="3" borderId="0" xfId="0" applyFont="1" applyFill="1" applyBorder="1" applyAlignment="1" applyProtection="1">
      <alignment horizontal="right" vertical="top" wrapText="1"/>
    </xf>
    <xf numFmtId="0" fontId="4" fillId="3" borderId="0" xfId="2" applyFont="1" applyFill="1" applyAlignment="1" applyProtection="1">
      <alignment horizontal="right" vertical="top"/>
    </xf>
    <xf numFmtId="0" fontId="7" fillId="0" borderId="0" xfId="2" applyFont="1"/>
    <xf numFmtId="0" fontId="7" fillId="0" borderId="0" xfId="2" applyFont="1" applyAlignment="1" applyProtection="1">
      <alignment wrapText="1"/>
    </xf>
    <xf numFmtId="0" fontId="4" fillId="3" borderId="0" xfId="2" applyFont="1" applyFill="1" applyAlignment="1" applyProtection="1">
      <alignment horizontal="left" vertical="top"/>
    </xf>
    <xf numFmtId="0" fontId="4" fillId="7" borderId="1" xfId="2" applyFont="1" applyFill="1" applyBorder="1" applyAlignment="1" applyProtection="1">
      <alignment horizontal="left" wrapText="1"/>
      <protection locked="0"/>
    </xf>
    <xf numFmtId="0" fontId="28" fillId="0" borderId="0" xfId="2" applyFont="1" applyAlignment="1" applyProtection="1">
      <alignment vertical="top" wrapText="1"/>
    </xf>
    <xf numFmtId="0" fontId="29" fillId="0" borderId="0" xfId="0" applyFont="1" applyFill="1" applyBorder="1" applyAlignment="1" applyProtection="1">
      <alignment horizontal="left" vertical="top"/>
    </xf>
    <xf numFmtId="0" fontId="22" fillId="0" borderId="0" xfId="0" applyFont="1" applyAlignment="1">
      <alignment wrapText="1"/>
    </xf>
    <xf numFmtId="0" fontId="30" fillId="0" borderId="0" xfId="0" applyFont="1" applyAlignment="1">
      <alignment vertical="center"/>
    </xf>
    <xf numFmtId="0" fontId="4" fillId="0" borderId="0" xfId="0" applyFont="1" applyAlignment="1" applyProtection="1">
      <protection locked="0"/>
    </xf>
    <xf numFmtId="0" fontId="31" fillId="0" borderId="0" xfId="0" applyFont="1" applyAlignment="1">
      <alignment vertical="center"/>
    </xf>
    <xf numFmtId="1" fontId="21" fillId="0" borderId="0" xfId="0" applyNumberFormat="1" applyFont="1" applyAlignment="1">
      <alignment horizontal="left" wrapText="1"/>
    </xf>
    <xf numFmtId="0" fontId="33" fillId="0" borderId="0" xfId="0" applyFont="1" applyAlignment="1">
      <alignment horizontal="center"/>
    </xf>
    <xf numFmtId="0" fontId="33" fillId="0" borderId="0" xfId="0" applyFont="1" applyAlignment="1"/>
    <xf numFmtId="164" fontId="33" fillId="0" borderId="0" xfId="0" applyNumberFormat="1" applyFont="1" applyAlignment="1"/>
    <xf numFmtId="1" fontId="33" fillId="0" borderId="0" xfId="0" applyNumberFormat="1" applyFont="1" applyAlignment="1">
      <alignment horizontal="center"/>
    </xf>
    <xf numFmtId="0" fontId="33" fillId="0" borderId="0" xfId="0" applyFont="1" applyFill="1" applyAlignment="1">
      <alignment horizontal="center"/>
    </xf>
    <xf numFmtId="0" fontId="33" fillId="0" borderId="0" xfId="0" applyFont="1" applyFill="1" applyAlignment="1"/>
    <xf numFmtId="0" fontId="33" fillId="0" borderId="0" xfId="0" applyFont="1" applyFill="1" applyBorder="1" applyAlignment="1"/>
    <xf numFmtId="164" fontId="34" fillId="0" borderId="0" xfId="0" applyNumberFormat="1" applyFont="1" applyBorder="1" applyAlignment="1"/>
    <xf numFmtId="0" fontId="33" fillId="0" borderId="0" xfId="0" applyFont="1" applyBorder="1" applyAlignment="1"/>
    <xf numFmtId="0" fontId="34" fillId="0" borderId="0" xfId="0" applyFont="1" applyBorder="1" applyAlignment="1"/>
    <xf numFmtId="0" fontId="33" fillId="0" borderId="0" xfId="0" applyFont="1" applyBorder="1" applyAlignment="1">
      <alignment horizontal="center"/>
    </xf>
    <xf numFmtId="0" fontId="33" fillId="0" borderId="0" xfId="0" applyFont="1" applyFill="1" applyAlignment="1">
      <alignment vertical="top"/>
    </xf>
    <xf numFmtId="1" fontId="33" fillId="0" borderId="0" xfId="3" applyNumberFormat="1" applyFont="1" applyAlignment="1">
      <alignment horizontal="center"/>
    </xf>
    <xf numFmtId="165" fontId="33" fillId="0" borderId="0" xfId="0" applyNumberFormat="1" applyFont="1" applyAlignment="1">
      <alignment horizontal="center"/>
    </xf>
    <xf numFmtId="1" fontId="33" fillId="0" borderId="0" xfId="0" applyNumberFormat="1" applyFont="1" applyFill="1" applyAlignment="1">
      <alignment horizontal="center"/>
    </xf>
    <xf numFmtId="164" fontId="35" fillId="0" borderId="0" xfId="0" applyNumberFormat="1" applyFont="1" applyAlignment="1"/>
    <xf numFmtId="164" fontId="33" fillId="0" borderId="0" xfId="0" applyNumberFormat="1" applyFont="1" applyBorder="1" applyAlignment="1"/>
    <xf numFmtId="164" fontId="33" fillId="0" borderId="0" xfId="0" applyNumberFormat="1" applyFont="1" applyFill="1" applyAlignment="1">
      <alignment horizontal="center"/>
    </xf>
    <xf numFmtId="0" fontId="33" fillId="0" borderId="0" xfId="0" applyFont="1" applyAlignment="1">
      <alignment vertical="top"/>
    </xf>
    <xf numFmtId="1" fontId="33" fillId="0" borderId="0" xfId="0" applyNumberFormat="1" applyFont="1" applyAlignment="1"/>
    <xf numFmtId="166" fontId="33" fillId="0" borderId="0" xfId="0" applyNumberFormat="1" applyFont="1" applyAlignment="1">
      <alignment horizontal="center"/>
    </xf>
    <xf numFmtId="1" fontId="33" fillId="0" borderId="0" xfId="0" applyNumberFormat="1" applyFont="1" applyFill="1" applyAlignment="1"/>
    <xf numFmtId="0" fontId="32" fillId="0" borderId="0" xfId="4" applyFont="1" applyFill="1" applyAlignment="1"/>
    <xf numFmtId="1" fontId="32" fillId="0" borderId="0" xfId="4" applyNumberFormat="1" applyFont="1" applyFill="1" applyAlignment="1">
      <alignment horizontal="center"/>
    </xf>
    <xf numFmtId="0" fontId="32" fillId="0" borderId="0" xfId="5" applyFont="1" applyFill="1" applyBorder="1" applyAlignment="1">
      <alignment horizontal="left"/>
    </xf>
    <xf numFmtId="0" fontId="7" fillId="0" borderId="0" xfId="5" applyFont="1" applyFill="1" applyAlignment="1"/>
    <xf numFmtId="167" fontId="7" fillId="0" borderId="0" xfId="6" applyNumberFormat="1" applyFont="1" applyFill="1" applyAlignment="1">
      <alignment vertical="top"/>
    </xf>
    <xf numFmtId="0" fontId="7" fillId="0" borderId="0" xfId="5" applyFont="1" applyFill="1" applyAlignment="1">
      <alignment horizontal="center"/>
    </xf>
    <xf numFmtId="1" fontId="36" fillId="0" borderId="0" xfId="4" applyNumberFormat="1" applyFont="1" applyFill="1" applyAlignment="1"/>
    <xf numFmtId="0" fontId="33" fillId="0" borderId="0" xfId="6" applyFont="1" applyAlignment="1">
      <alignment horizontal="left"/>
    </xf>
    <xf numFmtId="164" fontId="33" fillId="0" borderId="0" xfId="6" applyNumberFormat="1" applyFont="1" applyAlignment="1">
      <alignment vertical="top"/>
    </xf>
    <xf numFmtId="0" fontId="34" fillId="0" borderId="0" xfId="0" applyFont="1" applyBorder="1" applyAlignment="1">
      <alignment horizontal="left"/>
    </xf>
    <xf numFmtId="0" fontId="33" fillId="0" borderId="0" xfId="0" applyFont="1" applyFill="1" applyBorder="1" applyAlignment="1">
      <alignment horizontal="center"/>
    </xf>
    <xf numFmtId="167" fontId="32" fillId="0" borderId="0" xfId="4" applyNumberFormat="1" applyFont="1" applyFill="1" applyAlignment="1"/>
    <xf numFmtId="0" fontId="33" fillId="0" borderId="0" xfId="0" applyFont="1" applyFill="1" applyAlignment="1">
      <alignment horizontal="left"/>
    </xf>
    <xf numFmtId="0" fontId="33" fillId="0" borderId="0" xfId="0" applyFont="1"/>
    <xf numFmtId="0" fontId="1" fillId="0" borderId="0" xfId="7"/>
    <xf numFmtId="168" fontId="7" fillId="4" borderId="1" xfId="0" applyNumberFormat="1" applyFont="1" applyFill="1" applyBorder="1" applyAlignment="1" applyProtection="1">
      <alignment horizontal="left" wrapText="1"/>
      <protection locked="0"/>
    </xf>
    <xf numFmtId="0" fontId="9" fillId="0" borderId="0" xfId="0" applyFont="1"/>
    <xf numFmtId="0" fontId="8" fillId="0" borderId="0" xfId="0" applyFont="1"/>
    <xf numFmtId="0" fontId="4" fillId="5" borderId="1" xfId="2" applyFont="1" applyFill="1" applyBorder="1" applyAlignment="1">
      <alignment vertical="top" wrapText="1"/>
    </xf>
    <xf numFmtId="0" fontId="7" fillId="0" borderId="0" xfId="2"/>
    <xf numFmtId="0" fontId="7" fillId="0" borderId="0" xfId="2" applyProtection="1">
      <protection locked="0"/>
    </xf>
    <xf numFmtId="49" fontId="4" fillId="6" borderId="0" xfId="2" applyNumberFormat="1" applyFont="1" applyFill="1" applyAlignment="1">
      <alignment horizontal="right" vertical="top"/>
    </xf>
    <xf numFmtId="49" fontId="7" fillId="2" borderId="1" xfId="2" applyNumberFormat="1" applyFill="1" applyBorder="1" applyAlignment="1" applyProtection="1">
      <alignment horizontal="left" wrapText="1"/>
      <protection locked="0"/>
    </xf>
    <xf numFmtId="0" fontId="7" fillId="2" borderId="1" xfId="2" applyNumberFormat="1" applyFill="1" applyBorder="1" applyAlignment="1" applyProtection="1">
      <alignment horizontal="left" wrapText="1"/>
      <protection locked="0"/>
    </xf>
    <xf numFmtId="0" fontId="7" fillId="2" borderId="1" xfId="2" applyNumberFormat="1" applyFill="1" applyBorder="1" applyAlignment="1" applyProtection="1">
      <alignment horizontal="left"/>
      <protection locked="0"/>
    </xf>
    <xf numFmtId="0" fontId="7" fillId="7" borderId="1" xfId="2" applyFont="1" applyFill="1" applyBorder="1" applyAlignment="1" applyProtection="1">
      <alignment horizontal="left" wrapText="1"/>
      <protection locked="0"/>
    </xf>
    <xf numFmtId="49" fontId="7" fillId="8" borderId="1" xfId="2" applyNumberFormat="1" applyFill="1" applyBorder="1" applyAlignment="1" applyProtection="1">
      <alignment horizontal="left" wrapText="1"/>
      <protection locked="0"/>
    </xf>
    <xf numFmtId="0" fontId="7" fillId="0" borderId="0" xfId="0" applyFont="1" applyAlignment="1" applyProtection="1">
      <alignment horizontal="center" wrapText="1"/>
    </xf>
    <xf numFmtId="0" fontId="38" fillId="0" borderId="0" xfId="0" applyFont="1" applyProtection="1">
      <protection locked="0"/>
    </xf>
    <xf numFmtId="0" fontId="4" fillId="0" borderId="0" xfId="0" applyFont="1" applyAlignment="1">
      <alignment horizontal="center" vertical="top"/>
    </xf>
    <xf numFmtId="0" fontId="39" fillId="0" borderId="0" xfId="0" applyFont="1" applyProtection="1">
      <protection locked="0"/>
    </xf>
    <xf numFmtId="0" fontId="4" fillId="5" borderId="1" xfId="0" applyFont="1" applyFill="1" applyBorder="1" applyAlignment="1">
      <alignment horizontal="right" vertical="top"/>
    </xf>
    <xf numFmtId="0" fontId="4" fillId="5" borderId="3" xfId="2" applyFont="1" applyFill="1" applyBorder="1" applyAlignment="1">
      <alignment vertical="top" wrapText="1"/>
    </xf>
    <xf numFmtId="0" fontId="4" fillId="5" borderId="8" xfId="0" applyNumberFormat="1" applyFont="1" applyFill="1" applyBorder="1" applyAlignment="1" applyProtection="1">
      <alignment vertical="top" wrapText="1"/>
    </xf>
    <xf numFmtId="0" fontId="3" fillId="9" borderId="2" xfId="0" applyFont="1" applyFill="1" applyBorder="1" applyAlignment="1">
      <alignment vertical="top"/>
    </xf>
    <xf numFmtId="0" fontId="7" fillId="9" borderId="11" xfId="0" applyFont="1" applyFill="1" applyBorder="1" applyAlignment="1" applyProtection="1">
      <alignment horizontal="left" wrapText="1"/>
      <protection locked="0"/>
    </xf>
    <xf numFmtId="0" fontId="4" fillId="9" borderId="11" xfId="0" applyFont="1" applyFill="1" applyBorder="1" applyAlignment="1" applyProtection="1">
      <alignment horizontal="right" vertical="top"/>
    </xf>
    <xf numFmtId="0" fontId="7" fillId="9" borderId="11" xfId="0" applyFont="1" applyFill="1" applyBorder="1"/>
    <xf numFmtId="0" fontId="7" fillId="9" borderId="3" xfId="0" applyFont="1" applyFill="1" applyBorder="1" applyAlignment="1" applyProtection="1">
      <protection locked="0"/>
    </xf>
    <xf numFmtId="0" fontId="4" fillId="0" borderId="0" xfId="0" applyFont="1" applyFill="1" applyBorder="1" applyAlignment="1" applyProtection="1">
      <alignment horizontal="left" wrapText="1"/>
      <protection locked="0"/>
    </xf>
    <xf numFmtId="0" fontId="7" fillId="0" borderId="0" xfId="0" applyFont="1" applyFill="1" applyBorder="1" applyAlignment="1"/>
    <xf numFmtId="49" fontId="2" fillId="2" borderId="1" xfId="1" applyNumberFormat="1" applyFill="1" applyBorder="1" applyAlignment="1" applyProtection="1">
      <alignment horizontal="left" wrapText="1"/>
      <protection locked="0"/>
    </xf>
    <xf numFmtId="16" fontId="7" fillId="0" borderId="0" xfId="2" applyNumberFormat="1" applyFont="1" applyAlignment="1" applyProtection="1">
      <alignment wrapText="1"/>
      <protection locked="0"/>
    </xf>
    <xf numFmtId="0" fontId="0" fillId="0" borderId="0" xfId="0" applyBorder="1"/>
    <xf numFmtId="0" fontId="7" fillId="2" borderId="1" xfId="2" applyFill="1" applyBorder="1" applyAlignment="1" applyProtection="1">
      <alignment horizontal="left" wrapText="1"/>
      <protection locked="0"/>
    </xf>
    <xf numFmtId="11" fontId="0" fillId="0" borderId="0" xfId="0" applyNumberFormat="1"/>
    <xf numFmtId="0" fontId="7" fillId="0" borderId="0" xfId="2" applyFont="1" applyFill="1" applyAlignment="1" applyProtection="1">
      <alignment wrapText="1"/>
      <protection locked="0"/>
    </xf>
    <xf numFmtId="0" fontId="7" fillId="8" borderId="1" xfId="2" applyFill="1" applyBorder="1" applyAlignment="1" applyProtection="1">
      <alignment horizontal="center" wrapText="1"/>
      <protection locked="0"/>
    </xf>
    <xf numFmtId="0" fontId="7" fillId="4" borderId="1" xfId="2" applyFill="1" applyBorder="1" applyAlignment="1" applyProtection="1">
      <alignment horizontal="left" vertical="top" wrapText="1"/>
      <protection locked="0"/>
    </xf>
    <xf numFmtId="0" fontId="7" fillId="4" borderId="2" xfId="0" applyFont="1" applyFill="1" applyBorder="1" applyAlignment="1" applyProtection="1">
      <alignment horizontal="left" wrapText="1"/>
      <protection locked="0"/>
    </xf>
    <xf numFmtId="0" fontId="7" fillId="0" borderId="3" xfId="0" applyFont="1" applyBorder="1"/>
    <xf numFmtId="0" fontId="4" fillId="0" borderId="0" xfId="0" applyFont="1" applyFill="1" applyBorder="1" applyAlignment="1" applyProtection="1">
      <alignment horizontal="left" wrapText="1"/>
      <protection locked="0"/>
    </xf>
    <xf numFmtId="0" fontId="7" fillId="0" borderId="0" xfId="0" applyFont="1" applyFill="1" applyBorder="1" applyAlignment="1"/>
  </cellXfs>
  <cellStyles count="8">
    <cellStyle name="Hyperlink" xfId="1" builtinId="8"/>
    <cellStyle name="Normal" xfId="0" builtinId="0"/>
    <cellStyle name="Normal 2" xfId="2" xr:uid="{00000000-0005-0000-0000-000002000000}"/>
    <cellStyle name="Normal 3 2" xfId="5" xr:uid="{3A27471C-0169-4FFD-B7CD-906AF17A02B3}"/>
    <cellStyle name="Normal 4" xfId="7" xr:uid="{C07E0BE4-A168-4DE6-9B58-7B05F4E8A25C}"/>
    <cellStyle name="Normal 8 2 7" xfId="4" xr:uid="{90A6BC31-B521-4CD2-9431-0133F484126A}"/>
    <cellStyle name="Normal_akgas2006" xfId="6" xr:uid="{72EE0A2D-77D3-4410-A10F-4322730547F6}"/>
    <cellStyle name="Normal_Elevations_Gas" xfId="3" xr:uid="{5DED26C3-378E-442C-AF58-E05587AEE491}"/>
  </cellStyles>
  <dxfs count="66">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2047871</xdr:colOff>
      <xdr:row>25</xdr:row>
      <xdr:rowOff>22860</xdr:rowOff>
    </xdr:to>
    <xdr:sp macro="" textlink="" fLocksText="0">
      <xdr:nvSpPr>
        <xdr:cNvPr id="3324" name="abstract" descr="Abstract of dsatset">
          <a:extLst>
            <a:ext uri="{FF2B5EF4-FFF2-40B4-BE49-F238E27FC236}">
              <a16:creationId xmlns:a16="http://schemas.microsoft.com/office/drawing/2014/main" id="{EA7770F7-3F9E-4B52-A1F8-1A48F50468EE}"/>
            </a:ext>
          </a:extLst>
        </xdr:cNvPr>
        <xdr:cNvSpPr txBox="1">
          <a:spLocks noChangeArrowheads="1"/>
        </xdr:cNvSpPr>
      </xdr:nvSpPr>
      <xdr:spPr bwMode="auto">
        <a:xfrm>
          <a:off x="1743075" y="723900"/>
          <a:ext cx="7162796" cy="1213485"/>
        </a:xfrm>
        <a:prstGeom prst="rect">
          <a:avLst/>
        </a:prstGeom>
        <a:solidFill>
          <a:srgbClr val="CCFFFF"/>
        </a:solidFill>
        <a:ln w="9525">
          <a:solidFill>
            <a:srgbClr val="000000"/>
          </a:solidFill>
          <a:miter lim="800000"/>
          <a:headEnd/>
          <a:tailEnd/>
        </a:ln>
      </xdr:spPr>
      <xdr:txBody>
        <a:bodyPr/>
        <a:lstStyle/>
        <a:p>
          <a:r>
            <a:rPr lang="en-US" sz="1100">
              <a:effectLst/>
              <a:latin typeface="+mn-lt"/>
              <a:ea typeface="+mn-ea"/>
              <a:cs typeface="+mn-cs"/>
            </a:rPr>
            <a:t>We use the Multiple Element Limitation (MEL) model to examine the responses of twelve ecosystems - from the arctic to the tropics and from grasslands to forests - to elevated carbon dioxide (CO</a:t>
          </a:r>
          <a:r>
            <a:rPr lang="en-US" sz="1100" baseline="-25000">
              <a:effectLst/>
              <a:latin typeface="+mn-lt"/>
              <a:ea typeface="+mn-ea"/>
              <a:cs typeface="+mn-cs"/>
            </a:rPr>
            <a:t>2</a:t>
          </a:r>
          <a:r>
            <a:rPr lang="en-US" sz="1100">
              <a:effectLst/>
              <a:latin typeface="+mn-lt"/>
              <a:ea typeface="+mn-ea"/>
              <a:cs typeface="+mn-cs"/>
            </a:rPr>
            <a:t>), warming, and 20% decreases or increases in annual precipitation. The ecosystems we simulated include</a:t>
          </a:r>
          <a:r>
            <a:rPr lang="en-US" sz="1100" baseline="0">
              <a:effectLst/>
              <a:latin typeface="+mn-lt"/>
              <a:ea typeface="+mn-ea"/>
              <a:cs typeface="+mn-cs"/>
            </a:rPr>
            <a:t> moist acidic tundra, shrub tundra, and wet sedge tundra near Toolik Lake, Alaska, alpine dry meadow tundra near Niwot Ridge, Colorado, restored tallgrass prairie near Kellogg Biological Station, Michigan, native tallgrass prairie at the Konza Prairie, Kansas, upland and lowland boreal forest near Bonanza Creek, Alaska, temperate coniferous forest in HJ Andrews Experimental Forest, Oregon, a northern hardwood forest in Hubbard Brook Experimental Forest, New Hampshire, a transition oak-maple forest in Harvard Forest, Massachusetts, and lowland tropical rainforest near Caxiuan</a:t>
          </a:r>
          <a:r>
            <a:rPr lang="en-US" sz="1100">
              <a:effectLst/>
              <a:latin typeface="+mn-lt"/>
              <a:ea typeface="+mn-ea"/>
              <a:cs typeface="+mn-cs"/>
            </a:rPr>
            <a:t>ã</a:t>
          </a:r>
          <a:r>
            <a:rPr lang="en-US" sz="1100" baseline="0">
              <a:effectLst/>
              <a:latin typeface="+mn-lt"/>
              <a:ea typeface="+mn-ea"/>
              <a:cs typeface="+mn-cs"/>
            </a:rPr>
            <a:t> National Forest, Par</a:t>
          </a:r>
          <a:r>
            <a:rPr lang="en-US" sz="1100" b="1">
              <a:effectLst/>
              <a:latin typeface="+mn-lt"/>
              <a:ea typeface="+mn-ea"/>
              <a:cs typeface="+mn-cs"/>
            </a:rPr>
            <a:t>á</a:t>
          </a:r>
          <a:r>
            <a:rPr lang="en-US" sz="1100" baseline="0">
              <a:effectLst/>
              <a:latin typeface="+mn-lt"/>
              <a:ea typeface="+mn-ea"/>
              <a:cs typeface="+mn-cs"/>
            </a:rPr>
            <a:t>, Brazil. </a:t>
          </a:r>
        </a:p>
        <a:p>
          <a:endParaRPr lang="en-US" sz="1100" baseline="0">
            <a:effectLst/>
            <a:latin typeface="+mn-lt"/>
            <a:ea typeface="+mn-ea"/>
            <a:cs typeface="+mn-cs"/>
          </a:endParaRPr>
        </a:p>
        <a:p>
          <a:r>
            <a:rPr lang="en-US" sz="1100" baseline="0">
              <a:effectLst/>
              <a:latin typeface="+mn-lt"/>
              <a:ea typeface="+mn-ea"/>
              <a:cs typeface="+mn-cs"/>
            </a:rPr>
            <a:t> </a:t>
          </a:r>
          <a:r>
            <a:rPr lang="en-US" sz="1100">
              <a:effectLst/>
              <a:latin typeface="+mn-lt"/>
              <a:ea typeface="+mn-ea"/>
              <a:cs typeface="+mn-cs"/>
            </a:rPr>
            <a:t>For each of the twelve sites, we run six 100-year simulations beginning from the calibrated steady state (72 simulations total).  The six simulations are: (1) increasing CO</a:t>
          </a:r>
          <a:r>
            <a:rPr lang="en-US" sz="1100" baseline="-25000">
              <a:effectLst/>
              <a:latin typeface="+mn-lt"/>
              <a:ea typeface="+mn-ea"/>
              <a:cs typeface="+mn-cs"/>
            </a:rPr>
            <a:t>2</a:t>
          </a:r>
          <a:r>
            <a:rPr lang="en-US" sz="1100">
              <a:effectLst/>
              <a:latin typeface="+mn-lt"/>
              <a:ea typeface="+mn-ea"/>
              <a:cs typeface="+mn-cs"/>
            </a:rPr>
            <a:t> from 400 to 800 μmol mol</a:t>
          </a:r>
          <a:r>
            <a:rPr lang="en-US" sz="1100" baseline="30000">
              <a:effectLst/>
              <a:latin typeface="+mn-lt"/>
              <a:ea typeface="+mn-ea"/>
              <a:cs typeface="+mn-cs"/>
            </a:rPr>
            <a:t>-1</a:t>
          </a:r>
          <a:r>
            <a:rPr lang="en-US" sz="1100">
              <a:effectLst/>
              <a:latin typeface="+mn-lt"/>
              <a:ea typeface="+mn-ea"/>
              <a:cs typeface="+mn-cs"/>
            </a:rPr>
            <a:t>, (2) warming from current temperatures to current plus 3.5</a:t>
          </a:r>
          <a:r>
            <a:rPr lang="en-US" sz="1100" baseline="30000">
              <a:effectLst/>
              <a:latin typeface="+mn-lt"/>
              <a:ea typeface="+mn-ea"/>
              <a:cs typeface="+mn-cs"/>
            </a:rPr>
            <a:t>o</a:t>
          </a:r>
          <a:r>
            <a:rPr lang="en-US" sz="1100">
              <a:effectLst/>
              <a:latin typeface="+mn-lt"/>
              <a:ea typeface="+mn-ea"/>
              <a:cs typeface="+mn-cs"/>
            </a:rPr>
            <a:t>C, (3) decreasing precipitation from 100% to 80% of the current annual rate, (4) increasing precipitation from 100% to 120% of the current annual rate, (5) doubling of CO</a:t>
          </a:r>
          <a:r>
            <a:rPr lang="en-US" sz="1100" baseline="-25000">
              <a:effectLst/>
              <a:latin typeface="+mn-lt"/>
              <a:ea typeface="+mn-ea"/>
              <a:cs typeface="+mn-cs"/>
            </a:rPr>
            <a:t>2</a:t>
          </a:r>
          <a:r>
            <a:rPr lang="en-US" sz="1100">
              <a:effectLst/>
              <a:latin typeface="+mn-lt"/>
              <a:ea typeface="+mn-ea"/>
              <a:cs typeface="+mn-cs"/>
            </a:rPr>
            <a:t>, 3.5</a:t>
          </a:r>
          <a:r>
            <a:rPr lang="en-US" sz="1100" baseline="30000">
              <a:effectLst/>
              <a:latin typeface="+mn-lt"/>
              <a:ea typeface="+mn-ea"/>
              <a:cs typeface="+mn-cs"/>
            </a:rPr>
            <a:t>o</a:t>
          </a:r>
          <a:r>
            <a:rPr lang="en-US" sz="1100">
              <a:effectLst/>
              <a:latin typeface="+mn-lt"/>
              <a:ea typeface="+mn-ea"/>
              <a:cs typeface="+mn-cs"/>
            </a:rPr>
            <a:t>C warming, and 20% decrease in precipitation, and (6) doubling of CO</a:t>
          </a:r>
          <a:r>
            <a:rPr lang="en-US" sz="1100" baseline="-25000">
              <a:effectLst/>
              <a:latin typeface="+mn-lt"/>
              <a:ea typeface="+mn-ea"/>
              <a:cs typeface="+mn-cs"/>
            </a:rPr>
            <a:t>2</a:t>
          </a:r>
          <a:r>
            <a:rPr lang="en-US" sz="1100">
              <a:effectLst/>
              <a:latin typeface="+mn-lt"/>
              <a:ea typeface="+mn-ea"/>
              <a:cs typeface="+mn-cs"/>
            </a:rPr>
            <a:t>, 3.5</a:t>
          </a:r>
          <a:r>
            <a:rPr lang="en-US" sz="1100" baseline="30000">
              <a:effectLst/>
              <a:latin typeface="+mn-lt"/>
              <a:ea typeface="+mn-ea"/>
              <a:cs typeface="+mn-cs"/>
            </a:rPr>
            <a:t>o</a:t>
          </a:r>
          <a:r>
            <a:rPr lang="en-US" sz="1100">
              <a:effectLst/>
              <a:latin typeface="+mn-lt"/>
              <a:ea typeface="+mn-ea"/>
              <a:cs typeface="+mn-cs"/>
            </a:rPr>
            <a:t>C warming, and 20% increase in precipitation.  </a:t>
          </a:r>
        </a:p>
        <a:p>
          <a:endParaRPr lang="en-US">
            <a:effectLst/>
          </a:endParaRPr>
        </a:p>
        <a:p>
          <a:r>
            <a:rPr lang="en-US" sz="1100">
              <a:effectLst/>
              <a:latin typeface="+mn-lt"/>
              <a:ea typeface="+mn-ea"/>
              <a:cs typeface="+mn-cs"/>
            </a:rPr>
            <a:t> This data</a:t>
          </a:r>
          <a:r>
            <a:rPr lang="en-US" sz="1100" baseline="0">
              <a:effectLst/>
              <a:latin typeface="+mn-lt"/>
              <a:ea typeface="+mn-ea"/>
              <a:cs typeface="+mn-cs"/>
            </a:rPr>
            <a:t>set consists of the MEL model Windows executable, the driver and parameter file for each site, and the output files for each of the six simulations listed above.</a:t>
          </a:r>
          <a:endParaRPr lang="en-US">
            <a:effectLst/>
          </a:endParaRPr>
        </a:p>
      </xdr:txBody>
    </xdr:sp>
    <xdr:clientData/>
  </xdr:twoCellAnchor>
  <xdr:twoCellAnchor>
    <xdr:from>
      <xdr:col>1</xdr:col>
      <xdr:colOff>30480</xdr:colOff>
      <xdr:row>67</xdr:row>
      <xdr:rowOff>17145</xdr:rowOff>
    </xdr:from>
    <xdr:to>
      <xdr:col>6</xdr:col>
      <xdr:colOff>817247</xdr:colOff>
      <xdr:row>128</xdr:row>
      <xdr:rowOff>6</xdr:rowOff>
    </xdr:to>
    <xdr:sp macro="" textlink="" fLocksText="0">
      <xdr:nvSpPr>
        <xdr:cNvPr id="3325" name="method">
          <a:extLst>
            <a:ext uri="{FF2B5EF4-FFF2-40B4-BE49-F238E27FC236}">
              <a16:creationId xmlns:a16="http://schemas.microsoft.com/office/drawing/2014/main" id="{68918521-AE3F-44AE-B304-AE9FAF73F70E}"/>
            </a:ext>
          </a:extLst>
        </xdr:cNvPr>
        <xdr:cNvSpPr txBox="1">
          <a:spLocks noChangeArrowheads="1"/>
        </xdr:cNvSpPr>
      </xdr:nvSpPr>
      <xdr:spPr bwMode="auto">
        <a:xfrm>
          <a:off x="1773555" y="13028295"/>
          <a:ext cx="12397742" cy="6650361"/>
        </a:xfrm>
        <a:prstGeom prst="rect">
          <a:avLst/>
        </a:prstGeom>
        <a:solidFill>
          <a:srgbClr val="FFFFFF"/>
        </a:solidFill>
        <a:ln w="9525">
          <a:solidFill>
            <a:srgbClr val="000000"/>
          </a:solidFill>
          <a:miter lim="800000"/>
          <a:headEnd/>
          <a:tailEnd/>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endParaRPr lang="en-US"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     We calibrate the MEL model to twelve ecosystems, eleven of which are within the National Science Foundation (NSF) Long-Term Ecological Research (LTER) program.  These ecosystems are from a wide variety of biomes and climatic conditions ranging from prairie to forest and from the arctic to the tropics.  </a:t>
          </a:r>
        </a:p>
        <a:p>
          <a:r>
            <a:rPr lang="en-US" sz="1100">
              <a:effectLst/>
              <a:latin typeface="+mn-lt"/>
              <a:ea typeface="+mn-ea"/>
              <a:cs typeface="+mn-cs"/>
            </a:rPr>
            <a:t>     For each of the twelve sites, we run six 100-year simulations beginning from the calibrated steady state (72 simulations total).  The six simulations are: (1) increasing CO</a:t>
          </a:r>
          <a:r>
            <a:rPr lang="en-US" sz="1100" baseline="-25000">
              <a:effectLst/>
              <a:latin typeface="+mn-lt"/>
              <a:ea typeface="+mn-ea"/>
              <a:cs typeface="+mn-cs"/>
            </a:rPr>
            <a:t>2</a:t>
          </a:r>
          <a:r>
            <a:rPr lang="en-US" sz="1100">
              <a:effectLst/>
              <a:latin typeface="+mn-lt"/>
              <a:ea typeface="+mn-ea"/>
              <a:cs typeface="+mn-cs"/>
            </a:rPr>
            <a:t> from 400 to 800 μmol mol</a:t>
          </a:r>
          <a:r>
            <a:rPr lang="en-US" sz="1100" baseline="30000">
              <a:effectLst/>
              <a:latin typeface="+mn-lt"/>
              <a:ea typeface="+mn-ea"/>
              <a:cs typeface="+mn-cs"/>
            </a:rPr>
            <a:t>-1</a:t>
          </a:r>
          <a:r>
            <a:rPr lang="en-US" sz="1100">
              <a:effectLst/>
              <a:latin typeface="+mn-lt"/>
              <a:ea typeface="+mn-ea"/>
              <a:cs typeface="+mn-cs"/>
            </a:rPr>
            <a:t>, (2) warming from current temperatures to current plus 3.5</a:t>
          </a:r>
          <a:r>
            <a:rPr lang="en-US" sz="1100" baseline="30000">
              <a:effectLst/>
              <a:latin typeface="+mn-lt"/>
              <a:ea typeface="+mn-ea"/>
              <a:cs typeface="+mn-cs"/>
            </a:rPr>
            <a:t>o</a:t>
          </a:r>
          <a:r>
            <a:rPr lang="en-US" sz="1100">
              <a:effectLst/>
              <a:latin typeface="+mn-lt"/>
              <a:ea typeface="+mn-ea"/>
              <a:cs typeface="+mn-cs"/>
            </a:rPr>
            <a:t>C, (3) decreasing precipitation from 100% to 80% of the current annual rate, (4) increasing precipitation from 100% to 120% of the current annual rate, (5) doubling of CO</a:t>
          </a:r>
          <a:r>
            <a:rPr lang="en-US" sz="1100" baseline="-25000">
              <a:effectLst/>
              <a:latin typeface="+mn-lt"/>
              <a:ea typeface="+mn-ea"/>
              <a:cs typeface="+mn-cs"/>
            </a:rPr>
            <a:t>2</a:t>
          </a:r>
          <a:r>
            <a:rPr lang="en-US" sz="1100">
              <a:effectLst/>
              <a:latin typeface="+mn-lt"/>
              <a:ea typeface="+mn-ea"/>
              <a:cs typeface="+mn-cs"/>
            </a:rPr>
            <a:t>, 3.5</a:t>
          </a:r>
          <a:r>
            <a:rPr lang="en-US" sz="1100" baseline="30000">
              <a:effectLst/>
              <a:latin typeface="+mn-lt"/>
              <a:ea typeface="+mn-ea"/>
              <a:cs typeface="+mn-cs"/>
            </a:rPr>
            <a:t>o</a:t>
          </a:r>
          <a:r>
            <a:rPr lang="en-US" sz="1100">
              <a:effectLst/>
              <a:latin typeface="+mn-lt"/>
              <a:ea typeface="+mn-ea"/>
              <a:cs typeface="+mn-cs"/>
            </a:rPr>
            <a:t>C warming, and 20% decrease in precipitation, and (6) doubling of CO</a:t>
          </a:r>
          <a:r>
            <a:rPr lang="en-US" sz="1100" baseline="-25000">
              <a:effectLst/>
              <a:latin typeface="+mn-lt"/>
              <a:ea typeface="+mn-ea"/>
              <a:cs typeface="+mn-cs"/>
            </a:rPr>
            <a:t>2</a:t>
          </a:r>
          <a:r>
            <a:rPr lang="en-US" sz="1100">
              <a:effectLst/>
              <a:latin typeface="+mn-lt"/>
              <a:ea typeface="+mn-ea"/>
              <a:cs typeface="+mn-cs"/>
            </a:rPr>
            <a:t>, 3.5</a:t>
          </a:r>
          <a:r>
            <a:rPr lang="en-US" sz="1100" baseline="30000">
              <a:effectLst/>
              <a:latin typeface="+mn-lt"/>
              <a:ea typeface="+mn-ea"/>
              <a:cs typeface="+mn-cs"/>
            </a:rPr>
            <a:t>o</a:t>
          </a:r>
          <a:r>
            <a:rPr lang="en-US" sz="1100">
              <a:effectLst/>
              <a:latin typeface="+mn-lt"/>
              <a:ea typeface="+mn-ea"/>
              <a:cs typeface="+mn-cs"/>
            </a:rPr>
            <a:t>C warming, and 20% increase in precipitation.  </a:t>
          </a:r>
          <a:endParaRPr lang="en-US">
            <a:effectLst/>
          </a:endParaRPr>
        </a:p>
        <a:p>
          <a:r>
            <a:rPr lang="en-US" sz="1100" baseline="0">
              <a:effectLst/>
              <a:latin typeface="+mn-lt"/>
              <a:ea typeface="+mn-ea"/>
              <a:cs typeface="+mn-cs"/>
            </a:rPr>
            <a:t>     </a:t>
          </a:r>
          <a:r>
            <a:rPr lang="en-US" sz="1100">
              <a:effectLst/>
              <a:latin typeface="+mn-lt"/>
              <a:ea typeface="+mn-ea"/>
              <a:cs typeface="+mn-cs"/>
            </a:rPr>
            <a:t>For these simulations, increases in CO</a:t>
          </a:r>
          <a:r>
            <a:rPr lang="en-US" sz="1100" baseline="-25000">
              <a:effectLst/>
              <a:latin typeface="+mn-lt"/>
              <a:ea typeface="+mn-ea"/>
              <a:cs typeface="+mn-cs"/>
            </a:rPr>
            <a:t>2</a:t>
          </a:r>
          <a:r>
            <a:rPr lang="en-US" sz="1100">
              <a:effectLst/>
              <a:latin typeface="+mn-lt"/>
              <a:ea typeface="+mn-ea"/>
              <a:cs typeface="+mn-cs"/>
            </a:rPr>
            <a:t> and temperature are linear over the 100 years. The temperature increase is added to the daily weather driver used to calibrate each site, thereby retaining current seasonal patterns in temperature.  For decreases in precipitation, we assume drought conditions occur during the latter part of the growing season.  To impose this drought, we specify a rainfall pattern for year 100 in which rainfall events closest to the end of the growing season, but prior to the time litterfall begins, are removed.  The cumulative volume of the rainfall events that are removed in year 100 is equal to 20% of the initial annual rainfall.  To meet this 20% cutoff, only a fraction of the earliest of these late-growing-season rainfall events is removed.  For increased precipitation, we use an analogous approach, but double the rainfall events during the latter part of the growing season, such that 20% of the annual rainfall volume is added to the year-100 rainfall pattern.  For the precipitation simulations, we transition linearly from the current rainfall pattern to the year-100 drought and augmented rainfall patterns.  Thus, in year 1 of the simulation, a small amount is removed or added to each of the affected late-growing-season rainfall events so that the annual precipitation decreases or increases by 0.2% of the initial annual precipitation.  In subsequent years the same amount is removed or added to each of the affected rainfall events until the full drought or augmented rainfall pattern is imposed in year 100.  For wet-sedge tundra (ARC-w) we increase or decrease run-in water in proportion to the increase or decrease in precipitation, but we leave the annual amount of NH</a:t>
          </a:r>
          <a:r>
            <a:rPr lang="en-US" sz="1100" baseline="-25000">
              <a:effectLst/>
              <a:latin typeface="+mn-lt"/>
              <a:ea typeface="+mn-ea"/>
              <a:cs typeface="+mn-cs"/>
            </a:rPr>
            <a:t>4</a:t>
          </a:r>
          <a:r>
            <a:rPr lang="en-US" sz="1100">
              <a:effectLst/>
              <a:latin typeface="+mn-lt"/>
              <a:ea typeface="+mn-ea"/>
              <a:cs typeface="+mn-cs"/>
            </a:rPr>
            <a:t>, NO</a:t>
          </a:r>
          <a:r>
            <a:rPr lang="en-US" sz="1100" baseline="-25000">
              <a:effectLst/>
              <a:latin typeface="+mn-lt"/>
              <a:ea typeface="+mn-ea"/>
              <a:cs typeface="+mn-cs"/>
            </a:rPr>
            <a:t>3</a:t>
          </a:r>
          <a:r>
            <a:rPr lang="en-US" sz="1100">
              <a:effectLst/>
              <a:latin typeface="+mn-lt"/>
              <a:ea typeface="+mn-ea"/>
              <a:cs typeface="+mn-cs"/>
            </a:rPr>
            <a:t>, PO</a:t>
          </a:r>
          <a:r>
            <a:rPr lang="en-US" sz="1100" baseline="-25000">
              <a:effectLst/>
              <a:latin typeface="+mn-lt"/>
              <a:ea typeface="+mn-ea"/>
              <a:cs typeface="+mn-cs"/>
            </a:rPr>
            <a:t>4</a:t>
          </a:r>
          <a:r>
            <a:rPr lang="en-US" sz="1100">
              <a:effectLst/>
              <a:latin typeface="+mn-lt"/>
              <a:ea typeface="+mn-ea"/>
              <a:cs typeface="+mn-cs"/>
            </a:rPr>
            <a:t>, DOC, and DON in the run-in unchanged (i.e., concentrations either decrease or increase as the run-in increases or decreases). </a:t>
          </a:r>
          <a:endParaRPr lang="en-US">
            <a:effectLst/>
          </a:endParaRPr>
        </a:p>
        <a:p>
          <a:r>
            <a:rPr lang="en-US" sz="1100" baseline="0">
              <a:effectLst/>
              <a:latin typeface="+mn-lt"/>
              <a:ea typeface="+mn-ea"/>
              <a:cs typeface="+mn-cs"/>
            </a:rPr>
            <a:t>     </a:t>
          </a:r>
          <a:r>
            <a:rPr lang="en-US" sz="1100">
              <a:effectLst/>
              <a:latin typeface="+mn-lt"/>
              <a:ea typeface="+mn-ea"/>
              <a:cs typeface="+mn-cs"/>
            </a:rPr>
            <a:t>For all these simulations the drivers continue to change up through year 100 and therefore the ecosystems do not reach a new steady state. In any case, the ecosystems would require more than 100 years to establish a new steady state once the drivers no longer change because of the slow response time of soils. For the arctic and boreal sites, we simulate changes with warming in the rates of freeze and thaw of the seasonally active soil layer using a soil energy budget.  However, we only account for soil down to the specified soil depth and therefore do not account for additional contributions to nutrient and C budgets from permafrost deeper than this depth.</a:t>
          </a:r>
        </a:p>
        <a:p>
          <a:endParaRPr lang="en-US" sz="1100">
            <a:effectLst/>
            <a:latin typeface="+mn-lt"/>
            <a:ea typeface="+mn-ea"/>
            <a:cs typeface="+mn-cs"/>
          </a:endParaRPr>
        </a:p>
        <a:p>
          <a:r>
            <a:rPr lang="en-US" sz="1100">
              <a:effectLst/>
              <a:latin typeface="+mn-lt"/>
              <a:ea typeface="+mn-ea"/>
              <a:cs typeface="+mn-cs"/>
            </a:rPr>
            <a:t>   This dataset contains the </a:t>
          </a:r>
          <a:r>
            <a:rPr lang="en-US" sz="1100" baseline="0">
              <a:effectLst/>
              <a:latin typeface="+mn-lt"/>
              <a:ea typeface="+mn-ea"/>
              <a:cs typeface="+mn-cs"/>
            </a:rPr>
            <a:t>MEL executable, and the input and output files for all the simulations. There are</a:t>
          </a:r>
          <a:r>
            <a:rPr lang="en-US" sz="1100">
              <a:effectLst/>
              <a:latin typeface="+mn-lt"/>
              <a:ea typeface="+mn-ea"/>
              <a:cs typeface="+mn-cs"/>
            </a:rPr>
            <a:t> four types of files, the MEL executable (MELVI</a:t>
          </a:r>
          <a:r>
            <a:rPr lang="en-US" sz="1100" baseline="0">
              <a:effectLst/>
              <a:latin typeface="+mn-lt"/>
              <a:ea typeface="+mn-ea"/>
              <a:cs typeface="+mn-cs"/>
            </a:rPr>
            <a:t> v2.8.6.exe), the steady state parameter file for each site (SSS.v2.8.6.final.SS.par), a driver file for each site (SSS.Drivers.v2.8.6.drr), and twelve 100 year output files, two files for each of the six simulations at each site (SSS.XXXX.Dec31.out and SSS.XXXX.Jul31.out). SSS is the site code and XXXX is the treatment code (listed below) and Dec31 and Jul31 specify the day of year the output file contains. For example, ARCt.Ca.Dec31.out contains the simulation results for the arctic tussock tundra in response to a doubling of </a:t>
          </a:r>
          <a:r>
            <a:rPr lang="en-US" sz="1100">
              <a:effectLst/>
              <a:latin typeface="+mn-lt"/>
              <a:ea typeface="+mn-ea"/>
              <a:cs typeface="+mn-cs"/>
            </a:rPr>
            <a:t>CO</a:t>
          </a:r>
          <a:r>
            <a:rPr lang="en-US" sz="1100" baseline="-25000">
              <a:effectLst/>
              <a:latin typeface="+mn-lt"/>
              <a:ea typeface="+mn-ea"/>
              <a:cs typeface="+mn-cs"/>
            </a:rPr>
            <a:t>2</a:t>
          </a:r>
          <a:r>
            <a:rPr lang="en-US" sz="1100" baseline="0">
              <a:effectLst/>
              <a:latin typeface="+mn-lt"/>
              <a:ea typeface="+mn-ea"/>
              <a:cs typeface="+mn-cs"/>
            </a:rPr>
            <a:t> on Dec 31 of each year.</a:t>
          </a:r>
        </a:p>
        <a:p>
          <a:endParaRPr lang="en-US" sz="1100" baseline="0">
            <a:effectLst/>
            <a:latin typeface="+mn-lt"/>
            <a:ea typeface="+mn-ea"/>
            <a:cs typeface="+mn-cs"/>
          </a:endParaRPr>
        </a:p>
        <a:p>
          <a:r>
            <a:rPr lang="en-US" sz="1100" baseline="0">
              <a:effectLst/>
              <a:latin typeface="+mn-lt"/>
              <a:ea typeface="+mn-ea"/>
              <a:cs typeface="+mn-cs"/>
            </a:rPr>
            <a:t>   The data presented here is an example output file. The format of the output files is identical for all the sites.</a:t>
          </a:r>
        </a:p>
        <a:p>
          <a:endParaRPr lang="en-US" sz="1100" baseline="0">
            <a:effectLst/>
            <a:latin typeface="+mn-lt"/>
            <a:ea typeface="+mn-ea"/>
            <a:cs typeface="+mn-cs"/>
          </a:endParaRPr>
        </a:p>
        <a:p>
          <a:r>
            <a:rPr lang="en-US" sz="1100" baseline="0">
              <a:effectLst/>
              <a:latin typeface="+mn-lt"/>
              <a:ea typeface="+mn-ea"/>
              <a:cs typeface="+mn-cs"/>
            </a:rPr>
            <a:t> Note: The output file contains a copy of the drivers in the driver file. The driver file is included in the data set so that the user can rerun the simulations. The first set of drivers listed in the output file are the values from the driver file. The "Proj..." drivers are the values used in the climate and CO2 simulations. </a:t>
          </a:r>
        </a:p>
        <a:p>
          <a:endParaRPr lang="en-US" sz="1100" baseline="0">
            <a:effectLst/>
            <a:latin typeface="+mn-lt"/>
            <a:ea typeface="+mn-ea"/>
            <a:cs typeface="+mn-cs"/>
          </a:endParaRPr>
        </a:p>
        <a:p>
          <a:r>
            <a:rPr lang="en-US" sz="1100" b="1">
              <a:effectLst/>
              <a:latin typeface="+mn-lt"/>
              <a:ea typeface="+mn-ea"/>
              <a:cs typeface="+mn-cs"/>
            </a:rPr>
            <a:t>Ecosystem type			Field site			Site Code	</a:t>
          </a:r>
          <a:endParaRPr lang="en-US" sz="1100">
            <a:effectLst/>
            <a:latin typeface="+mn-lt"/>
            <a:ea typeface="+mn-ea"/>
            <a:cs typeface="+mn-cs"/>
          </a:endParaRPr>
        </a:p>
        <a:p>
          <a:r>
            <a:rPr lang="en-US" sz="1100">
              <a:effectLst/>
              <a:latin typeface="+mn-lt"/>
              <a:ea typeface="+mn-ea"/>
              <a:cs typeface="+mn-cs"/>
            </a:rPr>
            <a:t>Arctic Moist-acidic Tussock Tundra	Arctic LTER, North Slope, AK 		ARC-t	</a:t>
          </a:r>
        </a:p>
        <a:p>
          <a:r>
            <a:rPr lang="en-US" sz="1100">
              <a:effectLst/>
              <a:latin typeface="+mn-lt"/>
              <a:ea typeface="+mn-ea"/>
              <a:cs typeface="+mn-cs"/>
            </a:rPr>
            <a:t>Arctic Wet Sedge Tundra		Arctic LTER, North Slope, AK 		ARC-w	</a:t>
          </a:r>
        </a:p>
        <a:p>
          <a:r>
            <a:rPr lang="en-US" sz="1100">
              <a:effectLst/>
              <a:latin typeface="+mn-lt"/>
              <a:ea typeface="+mn-ea"/>
              <a:cs typeface="+mn-cs"/>
            </a:rPr>
            <a:t>Arctic Dry</a:t>
          </a:r>
          <a:r>
            <a:rPr lang="en-US" sz="1100" baseline="0">
              <a:effectLst/>
              <a:latin typeface="+mn-lt"/>
              <a:ea typeface="+mn-ea"/>
              <a:cs typeface="+mn-cs"/>
            </a:rPr>
            <a:t> Heath Tundra		Arctic LTER, North Slope, AK		ARCh</a:t>
          </a:r>
          <a:endParaRPr lang="en-US" sz="1100">
            <a:effectLst/>
            <a:latin typeface="+mn-lt"/>
            <a:ea typeface="+mn-ea"/>
            <a:cs typeface="+mn-cs"/>
          </a:endParaRPr>
        </a:p>
        <a:p>
          <a:r>
            <a:rPr lang="en-US" sz="1100">
              <a:effectLst/>
              <a:latin typeface="+mn-lt"/>
              <a:ea typeface="+mn-ea"/>
              <a:cs typeface="+mn-cs"/>
            </a:rPr>
            <a:t>Arctic Shrub Tundra		Arctic LTER, North Slope, AK 		ARC-s	</a:t>
          </a:r>
        </a:p>
        <a:p>
          <a:r>
            <a:rPr lang="en-US" sz="1100">
              <a:effectLst/>
              <a:latin typeface="+mn-lt"/>
              <a:ea typeface="+mn-ea"/>
              <a:cs typeface="+mn-cs"/>
            </a:rPr>
            <a:t>Alpine Dry Meadow Tundra		Niwot Ridge LTER, Front Range, CO	NWT	</a:t>
          </a:r>
        </a:p>
        <a:p>
          <a:r>
            <a:rPr lang="en-US" sz="1100">
              <a:effectLst/>
              <a:latin typeface="+mn-lt"/>
              <a:ea typeface="+mn-ea"/>
              <a:cs typeface="+mn-cs"/>
            </a:rPr>
            <a:t>Restored Tall Grass Prairie		Kellogg Biological Station LTER, southern MI	KBS	</a:t>
          </a:r>
        </a:p>
        <a:p>
          <a:r>
            <a:rPr lang="en-US" sz="1100">
              <a:effectLst/>
              <a:latin typeface="+mn-lt"/>
              <a:ea typeface="+mn-ea"/>
              <a:cs typeface="+mn-cs"/>
            </a:rPr>
            <a:t>Native Tall Grass Prairie		Konza Prairie LTER, Flint Hills, KS	KNZ	</a:t>
          </a:r>
        </a:p>
        <a:p>
          <a:r>
            <a:rPr lang="en-US" sz="1100">
              <a:effectLst/>
              <a:latin typeface="+mn-lt"/>
              <a:ea typeface="+mn-ea"/>
              <a:cs typeface="+mn-cs"/>
            </a:rPr>
            <a:t>Boreal Lowland Black Spruce Forest	Bonanza Creek LTER, Central AK		BNZ-l	</a:t>
          </a:r>
        </a:p>
        <a:p>
          <a:r>
            <a:rPr lang="en-US" sz="1100">
              <a:effectLst/>
              <a:latin typeface="+mn-lt"/>
              <a:ea typeface="+mn-ea"/>
              <a:cs typeface="+mn-cs"/>
            </a:rPr>
            <a:t>Boreal Upland Black Spruce Forest	Bonanza Creek LTER, Central AK		BNZ-u	</a:t>
          </a:r>
        </a:p>
        <a:p>
          <a:r>
            <a:rPr lang="en-US" sz="1100">
              <a:effectLst/>
              <a:latin typeface="+mn-lt"/>
              <a:ea typeface="+mn-ea"/>
              <a:cs typeface="+mn-cs"/>
            </a:rPr>
            <a:t>Northern Hard-wood Forest		Hubbard Brook LTER, central NH	HBR	</a:t>
          </a:r>
        </a:p>
        <a:p>
          <a:r>
            <a:rPr lang="en-US" sz="1100">
              <a:effectLst/>
              <a:latin typeface="+mn-lt"/>
              <a:ea typeface="+mn-ea"/>
              <a:cs typeface="+mn-cs"/>
            </a:rPr>
            <a:t>Transition Oak-Maple Forest		Harvard Forest LTER, central MA	HFR	</a:t>
          </a:r>
        </a:p>
        <a:p>
          <a:r>
            <a:rPr lang="en-US" sz="1100">
              <a:effectLst/>
              <a:latin typeface="+mn-lt"/>
              <a:ea typeface="+mn-ea"/>
              <a:cs typeface="+mn-cs"/>
            </a:rPr>
            <a:t>Temperate Coniferous Forest		H. J. Andrews LTER, Cascade Range, OR	AND	</a:t>
          </a:r>
        </a:p>
        <a:p>
          <a:r>
            <a:rPr lang="en-US" sz="1100">
              <a:effectLst/>
              <a:latin typeface="+mn-lt"/>
              <a:ea typeface="+mn-ea"/>
              <a:cs typeface="+mn-cs"/>
            </a:rPr>
            <a:t>Tropical Rain Forest		Caxiuanã National Forest, Pará, Brazil	CAX	</a:t>
          </a:r>
        </a:p>
        <a:p>
          <a:endParaRPr lang="en-US" sz="1100">
            <a:effectLst/>
            <a:latin typeface="+mn-lt"/>
            <a:ea typeface="+mn-ea"/>
            <a:cs typeface="+mn-cs"/>
          </a:endParaRPr>
        </a:p>
        <a:p>
          <a:r>
            <a:rPr lang="en-US" sz="1100" b="1">
              <a:effectLst/>
              <a:latin typeface="+mn-lt"/>
              <a:ea typeface="+mn-ea"/>
              <a:cs typeface="+mn-cs"/>
            </a:rPr>
            <a:t>Treatment						Treatment</a:t>
          </a:r>
          <a:r>
            <a:rPr lang="en-US" sz="1100" b="1" baseline="0">
              <a:effectLst/>
              <a:latin typeface="+mn-lt"/>
              <a:ea typeface="+mn-ea"/>
              <a:cs typeface="+mn-cs"/>
            </a:rPr>
            <a:t> Code</a:t>
          </a:r>
        </a:p>
        <a:p>
          <a:r>
            <a:rPr lang="en-US" sz="1100" baseline="0">
              <a:effectLst/>
              <a:latin typeface="+mn-lt"/>
              <a:ea typeface="+mn-ea"/>
              <a:cs typeface="+mn-cs"/>
            </a:rPr>
            <a:t>doubling of </a:t>
          </a:r>
          <a:r>
            <a:rPr lang="en-US" sz="1100">
              <a:effectLst/>
              <a:latin typeface="+mn-lt"/>
              <a:ea typeface="+mn-ea"/>
              <a:cs typeface="+mn-cs"/>
            </a:rPr>
            <a:t>CO</a:t>
          </a:r>
          <a:r>
            <a:rPr lang="en-US" sz="1100" baseline="-25000">
              <a:effectLst/>
              <a:latin typeface="+mn-lt"/>
              <a:ea typeface="+mn-ea"/>
              <a:cs typeface="+mn-cs"/>
            </a:rPr>
            <a:t>2</a:t>
          </a:r>
          <a:r>
            <a:rPr lang="en-US" sz="1100" baseline="0">
              <a:effectLst/>
              <a:latin typeface="+mn-lt"/>
              <a:ea typeface="+mn-ea"/>
              <a:cs typeface="+mn-cs"/>
            </a:rPr>
            <a:t>						Ca</a:t>
          </a:r>
        </a:p>
        <a:p>
          <a:r>
            <a:rPr lang="en-US" sz="1100">
              <a:effectLst/>
              <a:latin typeface="+mn-lt"/>
              <a:ea typeface="+mn-ea"/>
              <a:cs typeface="+mn-cs"/>
            </a:rPr>
            <a:t>3.5</a:t>
          </a:r>
          <a:r>
            <a:rPr lang="en-US" sz="1100" baseline="30000">
              <a:effectLst/>
              <a:latin typeface="+mn-lt"/>
              <a:ea typeface="+mn-ea"/>
              <a:cs typeface="+mn-cs"/>
            </a:rPr>
            <a:t>o</a:t>
          </a:r>
          <a:r>
            <a:rPr lang="en-US" sz="1100">
              <a:effectLst/>
              <a:latin typeface="+mn-lt"/>
              <a:ea typeface="+mn-ea"/>
              <a:cs typeface="+mn-cs"/>
            </a:rPr>
            <a:t>C warming						T</a:t>
          </a:r>
        </a:p>
        <a:p>
          <a:r>
            <a:rPr lang="en-US" sz="1100">
              <a:effectLst/>
              <a:latin typeface="+mn-lt"/>
              <a:ea typeface="+mn-ea"/>
              <a:cs typeface="+mn-cs"/>
            </a:rPr>
            <a:t>20% decrease in precipitation					Pptd</a:t>
          </a:r>
        </a:p>
        <a:p>
          <a:r>
            <a:rPr lang="en-US" sz="1100">
              <a:effectLst/>
              <a:latin typeface="+mn-lt"/>
              <a:ea typeface="+mn-ea"/>
              <a:cs typeface="+mn-cs"/>
            </a:rPr>
            <a:t>combined doubling of CO</a:t>
          </a:r>
          <a:r>
            <a:rPr lang="en-US" sz="1100" baseline="-25000">
              <a:effectLst/>
              <a:latin typeface="+mn-lt"/>
              <a:ea typeface="+mn-ea"/>
              <a:cs typeface="+mn-cs"/>
            </a:rPr>
            <a:t>2</a:t>
          </a:r>
          <a:r>
            <a:rPr lang="en-US" sz="1100">
              <a:effectLst/>
              <a:latin typeface="+mn-lt"/>
              <a:ea typeface="+mn-ea"/>
              <a:cs typeface="+mn-cs"/>
            </a:rPr>
            <a:t>, 3.5</a:t>
          </a:r>
          <a:r>
            <a:rPr lang="en-US" sz="1100" baseline="30000">
              <a:effectLst/>
              <a:latin typeface="+mn-lt"/>
              <a:ea typeface="+mn-ea"/>
              <a:cs typeface="+mn-cs"/>
            </a:rPr>
            <a:t>o</a:t>
          </a:r>
          <a:r>
            <a:rPr lang="en-US" sz="1100">
              <a:effectLst/>
              <a:latin typeface="+mn-lt"/>
              <a:ea typeface="+mn-ea"/>
              <a:cs typeface="+mn-cs"/>
            </a:rPr>
            <a:t>C warming, and 20% decrease in precipitation		Calld</a:t>
          </a:r>
        </a:p>
        <a:p>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20% increase in precipitation					Ppti</a:t>
          </a:r>
        </a:p>
        <a:p>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combined doubling of CO</a:t>
          </a:r>
          <a:r>
            <a:rPr lang="en-US" sz="1100" baseline="-25000">
              <a:effectLst/>
              <a:latin typeface="+mn-lt"/>
              <a:ea typeface="+mn-ea"/>
              <a:cs typeface="+mn-cs"/>
            </a:rPr>
            <a:t>2</a:t>
          </a:r>
          <a:r>
            <a:rPr lang="en-US" sz="1100">
              <a:effectLst/>
              <a:latin typeface="+mn-lt"/>
              <a:ea typeface="+mn-ea"/>
              <a:cs typeface="+mn-cs"/>
            </a:rPr>
            <a:t>, 3.5</a:t>
          </a:r>
          <a:r>
            <a:rPr lang="en-US" sz="1100" baseline="30000">
              <a:effectLst/>
              <a:latin typeface="+mn-lt"/>
              <a:ea typeface="+mn-ea"/>
              <a:cs typeface="+mn-cs"/>
            </a:rPr>
            <a:t>o</a:t>
          </a:r>
          <a:r>
            <a:rPr lang="en-US" sz="1100">
              <a:effectLst/>
              <a:latin typeface="+mn-lt"/>
              <a:ea typeface="+mn-ea"/>
              <a:cs typeface="+mn-cs"/>
            </a:rPr>
            <a:t>C warming, and 20% increase in precipitation		Calli</a:t>
          </a:r>
          <a:endParaRPr lang="en-US">
            <a:effectLst/>
          </a:endParaRPr>
        </a:p>
        <a:p>
          <a:r>
            <a:rPr lang="en-US" sz="1100">
              <a:effectLst/>
              <a:latin typeface="+mn-lt"/>
              <a:ea typeface="+mn-ea"/>
              <a:cs typeface="+mn-cs"/>
            </a:rPr>
            <a:t>1 year steady state run, daily output				1yr</a:t>
          </a:r>
        </a:p>
        <a:p>
          <a:r>
            <a:rPr lang="en-US" sz="1100">
              <a:effectLst/>
              <a:latin typeface="+mn-lt"/>
              <a:ea typeface="+mn-ea"/>
              <a:cs typeface="+mn-cs"/>
            </a:rPr>
            <a:t> </a:t>
          </a:r>
        </a:p>
      </xdr:txBody>
    </xdr:sp>
    <xdr:clientData/>
  </xdr:twoCellAnchor>
  <xdr:twoCellAnchor>
    <xdr:from>
      <xdr:col>1</xdr:col>
      <xdr:colOff>19050</xdr:colOff>
      <xdr:row>134</xdr:row>
      <xdr:rowOff>152400</xdr:rowOff>
    </xdr:from>
    <xdr:to>
      <xdr:col>4</xdr:col>
      <xdr:colOff>0</xdr:colOff>
      <xdr:row>137</xdr:row>
      <xdr:rowOff>112448</xdr:rowOff>
    </xdr:to>
    <xdr:sp macro="" textlink="" fLocksText="0">
      <xdr:nvSpPr>
        <xdr:cNvPr id="3336" name="protocol1">
          <a:extLst>
            <a:ext uri="{FF2B5EF4-FFF2-40B4-BE49-F238E27FC236}">
              <a16:creationId xmlns:a16="http://schemas.microsoft.com/office/drawing/2014/main" id="{82619EE9-E547-4B1E-BBCC-C408A0112428}"/>
            </a:ext>
          </a:extLst>
        </xdr:cNvPr>
        <xdr:cNvSpPr txBox="1">
          <a:spLocks noChangeArrowheads="1"/>
        </xdr:cNvSpPr>
      </xdr:nvSpPr>
      <xdr:spPr bwMode="auto">
        <a:xfrm>
          <a:off x="1844675" y="18368963"/>
          <a:ext cx="7481888" cy="456141"/>
        </a:xfrm>
        <a:prstGeom prst="rect">
          <a:avLst/>
        </a:prstGeom>
        <a:solidFill>
          <a:srgbClr val="FFFFFF"/>
        </a:solidFill>
        <a:ln w="9525">
          <a:solidFill>
            <a:srgbClr val="000000"/>
          </a:solidFill>
          <a:miter lim="800000"/>
          <a:headEnd/>
          <a:tailEnd/>
        </a:ln>
      </xdr:spPr>
      <xdr:txBody>
        <a:bodyPr/>
        <a:lstStyle/>
        <a:p>
          <a:r>
            <a:rPr lang="en-US"/>
            <a:t> </a:t>
          </a:r>
        </a:p>
      </xdr:txBody>
    </xdr:sp>
    <xdr:clientData/>
  </xdr:twoCellAnchor>
  <xdr:twoCellAnchor>
    <xdr:from>
      <xdr:col>0</xdr:col>
      <xdr:colOff>60960</xdr:colOff>
      <xdr:row>6</xdr:row>
      <xdr:rowOff>38099</xdr:rowOff>
    </xdr:from>
    <xdr:to>
      <xdr:col>0</xdr:col>
      <xdr:colOff>1590790</xdr:colOff>
      <xdr:row>24</xdr:row>
      <xdr:rowOff>128984</xdr:rowOff>
    </xdr:to>
    <xdr:sp macro="" textlink="">
      <xdr:nvSpPr>
        <xdr:cNvPr id="2" name="Note1">
          <a:extLst>
            <a:ext uri="{FF2B5EF4-FFF2-40B4-BE49-F238E27FC236}">
              <a16:creationId xmlns:a16="http://schemas.microsoft.com/office/drawing/2014/main" id="{0FA022D5-2FC8-44F2-973F-77E28B654723}"/>
            </a:ext>
          </a:extLst>
        </xdr:cNvPr>
        <xdr:cNvSpPr txBox="1"/>
      </xdr:nvSpPr>
      <xdr:spPr>
        <a:xfrm>
          <a:off x="60960" y="583802"/>
          <a:ext cx="1529830" cy="725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b="1">
              <a:latin typeface="Arial" pitchFamily="34" charset="0"/>
              <a:cs typeface="Arial" pitchFamily="34" charset="0"/>
            </a:rPr>
            <a:t>Note:</a:t>
          </a:r>
          <a:r>
            <a:rPr lang="en-US" sz="900" b="1" baseline="0">
              <a:latin typeface="Arial" pitchFamily="34" charset="0"/>
              <a:cs typeface="Arial" pitchFamily="34" charset="0"/>
            </a:rPr>
            <a:t> cells with a small red triangle in the upper right corner have comments about entering metadata.</a:t>
          </a:r>
          <a:endParaRPr lang="en-US" sz="900" b="1">
            <a:latin typeface="Arial" pitchFamily="34" charset="0"/>
            <a:cs typeface="Arial" pitchFamily="34" charset="0"/>
          </a:endParaRPr>
        </a:p>
      </xdr:txBody>
    </xdr:sp>
    <xdr:clientData/>
  </xdr:twoCellAnchor>
  <xdr:twoCellAnchor>
    <xdr:from>
      <xdr:col>0</xdr:col>
      <xdr:colOff>15240</xdr:colOff>
      <xdr:row>68</xdr:row>
      <xdr:rowOff>121920</xdr:rowOff>
    </xdr:from>
    <xdr:to>
      <xdr:col>0</xdr:col>
      <xdr:colOff>1727751</xdr:colOff>
      <xdr:row>82</xdr:row>
      <xdr:rowOff>61622</xdr:rowOff>
    </xdr:to>
    <xdr:sp macro="" textlink="">
      <xdr:nvSpPr>
        <xdr:cNvPr id="9" name="Note2">
          <a:extLst>
            <a:ext uri="{FF2B5EF4-FFF2-40B4-BE49-F238E27FC236}">
              <a16:creationId xmlns:a16="http://schemas.microsoft.com/office/drawing/2014/main" id="{7D79C0A7-4393-492E-90B2-53415C736A42}"/>
            </a:ext>
          </a:extLst>
        </xdr:cNvPr>
        <xdr:cNvSpPr txBox="1"/>
      </xdr:nvSpPr>
      <xdr:spPr>
        <a:xfrm>
          <a:off x="15240" y="10393680"/>
          <a:ext cx="1760220" cy="236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262890</xdr:colOff>
      <xdr:row>1</xdr:row>
      <xdr:rowOff>0</xdr:rowOff>
    </xdr:from>
    <xdr:to>
      <xdr:col>16</xdr:col>
      <xdr:colOff>87630</xdr:colOff>
      <xdr:row>4</xdr:row>
      <xdr:rowOff>30480</xdr:rowOff>
    </xdr:to>
    <xdr:sp macro="" textlink="">
      <xdr:nvSpPr>
        <xdr:cNvPr id="2" name="TextBox 1">
          <a:extLst>
            <a:ext uri="{FF2B5EF4-FFF2-40B4-BE49-F238E27FC236}">
              <a16:creationId xmlns:a16="http://schemas.microsoft.com/office/drawing/2014/main" id="{A1438DEB-7A5F-4EC5-A979-07490CCFFFDD}"/>
            </a:ext>
          </a:extLst>
        </xdr:cNvPr>
        <xdr:cNvSpPr txBox="1"/>
      </xdr:nvSpPr>
      <xdr:spPr>
        <a:xfrm>
          <a:off x="4530090" y="354330"/>
          <a:ext cx="531114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itchFamily="34" charset="0"/>
              <a:cs typeface="Arial" pitchFamily="34" charset="0"/>
            </a:rPr>
            <a:t>This</a:t>
          </a:r>
          <a:r>
            <a:rPr lang="en-US" sz="1100" baseline="0">
              <a:latin typeface="Arial" pitchFamily="34" charset="0"/>
              <a:cs typeface="Arial" pitchFamily="34" charset="0"/>
            </a:rPr>
            <a:t> sheet is for the data. The </a:t>
          </a:r>
          <a:r>
            <a:rPr lang="en-US" sz="1100" baseline="0">
              <a:solidFill>
                <a:schemeClr val="dk1"/>
              </a:solidFill>
              <a:effectLst/>
              <a:latin typeface="Arial" pitchFamily="34" charset="0"/>
              <a:ea typeface="+mn-ea"/>
              <a:cs typeface="Arial" pitchFamily="34" charset="0"/>
            </a:rPr>
            <a:t>variable names are in the </a:t>
          </a:r>
          <a:r>
            <a:rPr lang="en-US" sz="1100" baseline="0">
              <a:latin typeface="Arial" pitchFamily="34" charset="0"/>
              <a:cs typeface="Arial" pitchFamily="34" charset="0"/>
            </a:rPr>
            <a:t>first row which should match the metadata.  The formula in the Variable names row of the Metatdata will fill in the name.  See comments for those cells. Data values begin in the row after the last header row.</a:t>
          </a:r>
        </a:p>
        <a:p>
          <a:r>
            <a:rPr lang="en-US" sz="1100" baseline="0">
              <a:latin typeface="Arial" pitchFamily="34" charset="0"/>
              <a:cs typeface="Arial" pitchFamily="34" charset="0"/>
            </a:rPr>
            <a:t>. </a:t>
          </a:r>
          <a:endParaRPr lang="en-US" sz="11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kicklighter@mbl.edu" TargetMode="External"/><Relationship Id="rId7" Type="http://schemas.openxmlformats.org/officeDocument/2006/relationships/comments" Target="../comments1.xml"/><Relationship Id="rId2" Type="http://schemas.openxmlformats.org/officeDocument/2006/relationships/hyperlink" Target="mailto:bkwiatkowski@mbl.edu" TargetMode="External"/><Relationship Id="rId1" Type="http://schemas.openxmlformats.org/officeDocument/2006/relationships/hyperlink" Target="mailto:erastetter@mbl.edu"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537"/>
  <sheetViews>
    <sheetView tabSelected="1" topLeftCell="A104" zoomScaleNormal="100" workbookViewId="0">
      <selection activeCell="B145" sqref="B145"/>
    </sheetView>
  </sheetViews>
  <sheetFormatPr defaultColWidth="8.81640625" defaultRowHeight="12.5" x14ac:dyDescent="0.25"/>
  <cols>
    <col min="1" max="1" width="26.1796875" style="69" customWidth="1"/>
    <col min="2" max="2" width="48.54296875" style="29" customWidth="1"/>
    <col min="3" max="3" width="30.7265625" style="31" customWidth="1"/>
    <col min="4" max="4" width="32.7265625" style="31" customWidth="1"/>
    <col min="5" max="7" width="30.7265625" style="12" customWidth="1"/>
    <col min="8" max="16" width="21.54296875" style="12" customWidth="1"/>
    <col min="17" max="16384" width="8.81640625" style="12"/>
  </cols>
  <sheetData>
    <row r="1" spans="1:6" ht="18" x14ac:dyDescent="0.3">
      <c r="A1" s="1" t="s">
        <v>1695</v>
      </c>
      <c r="C1" s="142" t="s">
        <v>1700</v>
      </c>
      <c r="D1" s="4"/>
    </row>
    <row r="2" spans="1:6" x14ac:dyDescent="0.25">
      <c r="A2" s="30" t="s">
        <v>1</v>
      </c>
      <c r="B2" s="8" t="s">
        <v>2536</v>
      </c>
    </row>
    <row r="3" spans="1:6" x14ac:dyDescent="0.25">
      <c r="A3" s="30" t="s">
        <v>113</v>
      </c>
      <c r="B3" s="8">
        <v>2021</v>
      </c>
    </row>
    <row r="4" spans="1:6" x14ac:dyDescent="0.25">
      <c r="A4" s="30" t="s">
        <v>125</v>
      </c>
      <c r="B4" s="6" t="s">
        <v>2524</v>
      </c>
      <c r="C4" s="7"/>
    </row>
    <row r="5" spans="1:6" ht="26.25" customHeight="1" x14ac:dyDescent="0.25">
      <c r="A5" s="15" t="s">
        <v>2</v>
      </c>
      <c r="B5" s="163" t="s">
        <v>2176</v>
      </c>
      <c r="C5" s="164"/>
      <c r="D5" s="12"/>
    </row>
    <row r="6" spans="1:6" ht="12.75" customHeight="1" x14ac:dyDescent="0.25">
      <c r="A6" s="15" t="s">
        <v>25</v>
      </c>
      <c r="B6" s="12"/>
      <c r="C6" s="12"/>
      <c r="D6" s="12"/>
      <c r="E6" s="32"/>
      <c r="F6" s="32"/>
    </row>
    <row r="7" spans="1:6" s="34" customFormat="1" ht="13" x14ac:dyDescent="0.3">
      <c r="A7" s="33"/>
      <c r="B7" s="165"/>
      <c r="C7" s="166"/>
      <c r="D7" s="166"/>
    </row>
    <row r="8" spans="1:6" s="34" customFormat="1" ht="13" x14ac:dyDescent="0.3">
      <c r="A8" s="33"/>
      <c r="B8" s="153"/>
      <c r="C8" s="154"/>
      <c r="D8" s="154"/>
    </row>
    <row r="9" spans="1:6" s="34" customFormat="1" ht="13" x14ac:dyDescent="0.3">
      <c r="A9" s="33"/>
      <c r="B9" s="153"/>
      <c r="C9" s="154"/>
      <c r="D9" s="154"/>
    </row>
    <row r="10" spans="1:6" s="34" customFormat="1" ht="13" x14ac:dyDescent="0.3">
      <c r="A10" s="33"/>
      <c r="B10" s="153"/>
      <c r="C10" s="154"/>
      <c r="D10" s="154"/>
    </row>
    <row r="11" spans="1:6" s="34" customFormat="1" ht="13" x14ac:dyDescent="0.3">
      <c r="A11" s="33"/>
      <c r="B11" s="153"/>
      <c r="C11" s="154"/>
      <c r="D11" s="154"/>
    </row>
    <row r="12" spans="1:6" s="34" customFormat="1" ht="13" x14ac:dyDescent="0.3">
      <c r="A12" s="33"/>
      <c r="B12" s="153"/>
      <c r="C12" s="154"/>
      <c r="D12" s="154"/>
    </row>
    <row r="13" spans="1:6" s="34" customFormat="1" ht="13" x14ac:dyDescent="0.3">
      <c r="A13" s="33"/>
      <c r="B13" s="153"/>
      <c r="C13" s="154"/>
      <c r="D13" s="154"/>
    </row>
    <row r="14" spans="1:6" s="34" customFormat="1" ht="13" x14ac:dyDescent="0.3">
      <c r="A14" s="33"/>
      <c r="B14" s="153"/>
      <c r="C14" s="154"/>
      <c r="D14" s="154"/>
    </row>
    <row r="15" spans="1:6" s="34" customFormat="1" ht="13" x14ac:dyDescent="0.3">
      <c r="A15" s="33"/>
      <c r="B15" s="153"/>
      <c r="C15" s="154"/>
      <c r="D15" s="154"/>
    </row>
    <row r="16" spans="1:6" s="34" customFormat="1" ht="13" x14ac:dyDescent="0.3">
      <c r="A16" s="33"/>
      <c r="B16" s="153"/>
      <c r="C16" s="154"/>
      <c r="D16" s="154"/>
    </row>
    <row r="17" spans="1:16" s="34" customFormat="1" ht="13" x14ac:dyDescent="0.3">
      <c r="A17" s="33"/>
      <c r="B17" s="153"/>
      <c r="C17" s="154"/>
      <c r="D17" s="154"/>
    </row>
    <row r="18" spans="1:16" s="34" customFormat="1" ht="13" x14ac:dyDescent="0.3">
      <c r="A18" s="33"/>
      <c r="B18" s="153"/>
      <c r="C18" s="154"/>
      <c r="D18" s="154"/>
    </row>
    <row r="19" spans="1:16" s="34" customFormat="1" ht="13" x14ac:dyDescent="0.3">
      <c r="A19" s="33"/>
      <c r="B19" s="153"/>
      <c r="C19" s="154"/>
      <c r="D19" s="154"/>
    </row>
    <row r="20" spans="1:16" s="34" customFormat="1" ht="13" x14ac:dyDescent="0.3">
      <c r="A20" s="33"/>
      <c r="B20" s="153"/>
      <c r="C20" s="154"/>
      <c r="D20" s="154"/>
    </row>
    <row r="21" spans="1:16" s="34" customFormat="1" ht="13" x14ac:dyDescent="0.3">
      <c r="A21" s="33"/>
      <c r="B21" s="77"/>
      <c r="C21" s="78"/>
      <c r="D21" s="78"/>
    </row>
    <row r="22" spans="1:16" s="34" customFormat="1" x14ac:dyDescent="0.25">
      <c r="A22" s="33"/>
      <c r="B22" s="35"/>
    </row>
    <row r="23" spans="1:16" s="34" customFormat="1" x14ac:dyDescent="0.25">
      <c r="A23" s="33"/>
      <c r="B23" s="35"/>
    </row>
    <row r="24" spans="1:16" s="34" customFormat="1" x14ac:dyDescent="0.25">
      <c r="A24" s="33"/>
      <c r="B24" s="35"/>
    </row>
    <row r="25" spans="1:16" s="34" customFormat="1" ht="30" customHeight="1" x14ac:dyDescent="0.35">
      <c r="A25" s="33"/>
      <c r="B25" s="36"/>
    </row>
    <row r="26" spans="1:16" s="34" customFormat="1" ht="15.5" x14ac:dyDescent="0.35">
      <c r="A26" s="33"/>
      <c r="B26" s="36"/>
    </row>
    <row r="27" spans="1:16" ht="13" x14ac:dyDescent="0.25">
      <c r="A27" s="15" t="s">
        <v>0</v>
      </c>
      <c r="B27" s="37" t="s">
        <v>2177</v>
      </c>
    </row>
    <row r="28" spans="1:16" x14ac:dyDescent="0.25">
      <c r="A28" s="38"/>
    </row>
    <row r="29" spans="1:16" ht="23" x14ac:dyDescent="0.3">
      <c r="A29" s="16" t="s">
        <v>110</v>
      </c>
      <c r="B29" s="26" t="s">
        <v>3</v>
      </c>
      <c r="C29" s="26" t="s">
        <v>4</v>
      </c>
      <c r="D29" s="26" t="s">
        <v>5</v>
      </c>
      <c r="E29" s="26" t="s">
        <v>252</v>
      </c>
      <c r="F29" s="26" t="s">
        <v>253</v>
      </c>
      <c r="G29" s="26" t="s">
        <v>254</v>
      </c>
      <c r="H29" s="26" t="s">
        <v>255</v>
      </c>
      <c r="I29" s="26" t="s">
        <v>256</v>
      </c>
      <c r="J29" s="26" t="s">
        <v>1711</v>
      </c>
      <c r="K29" s="26" t="s">
        <v>1712</v>
      </c>
      <c r="L29" s="26" t="s">
        <v>1713</v>
      </c>
      <c r="M29" s="26" t="s">
        <v>1714</v>
      </c>
      <c r="N29" s="26" t="s">
        <v>1715</v>
      </c>
      <c r="O29" s="26" t="s">
        <v>1716</v>
      </c>
      <c r="P29" s="26" t="s">
        <v>1717</v>
      </c>
    </row>
    <row r="30" spans="1:16" ht="13" x14ac:dyDescent="0.25">
      <c r="A30" s="28" t="s">
        <v>251</v>
      </c>
      <c r="B30" s="2" t="s">
        <v>1703</v>
      </c>
      <c r="C30" s="2" t="s">
        <v>1703</v>
      </c>
      <c r="D30" s="2" t="s">
        <v>1703</v>
      </c>
      <c r="E30" s="2" t="s">
        <v>1703</v>
      </c>
      <c r="F30" s="2" t="s">
        <v>1703</v>
      </c>
      <c r="G30" s="2" t="s">
        <v>1703</v>
      </c>
      <c r="H30" s="2" t="s">
        <v>1703</v>
      </c>
      <c r="I30" s="2" t="s">
        <v>1703</v>
      </c>
      <c r="J30" s="2" t="s">
        <v>1703</v>
      </c>
      <c r="K30" s="2" t="s">
        <v>1703</v>
      </c>
      <c r="L30" s="2" t="s">
        <v>1703</v>
      </c>
      <c r="M30" s="2" t="s">
        <v>1703</v>
      </c>
      <c r="N30" s="2" t="s">
        <v>1703</v>
      </c>
      <c r="O30" s="2" t="s">
        <v>1703</v>
      </c>
      <c r="P30" s="2" t="s">
        <v>1703</v>
      </c>
    </row>
    <row r="31" spans="1:16" s="11" customFormat="1" ht="25" x14ac:dyDescent="0.25">
      <c r="A31" s="28" t="s">
        <v>257</v>
      </c>
      <c r="B31" s="155" t="s">
        <v>1704</v>
      </c>
      <c r="C31" s="155" t="s">
        <v>1708</v>
      </c>
      <c r="D31" s="155" t="s">
        <v>1718</v>
      </c>
      <c r="E31" s="2" t="s">
        <v>1754</v>
      </c>
      <c r="F31" s="2" t="s">
        <v>1755</v>
      </c>
      <c r="G31" s="2" t="s">
        <v>1757</v>
      </c>
      <c r="H31" s="2" t="s">
        <v>1758</v>
      </c>
      <c r="I31" s="2" t="s">
        <v>1766</v>
      </c>
      <c r="J31" s="2" t="s">
        <v>1767</v>
      </c>
      <c r="K31" s="2" t="s">
        <v>1765</v>
      </c>
      <c r="L31" s="2" t="s">
        <v>1760</v>
      </c>
      <c r="M31" s="2" t="s">
        <v>1756</v>
      </c>
      <c r="N31" s="2" t="s">
        <v>1769</v>
      </c>
      <c r="O31" s="2" t="s">
        <v>1768</v>
      </c>
      <c r="P31" s="2" t="s">
        <v>1759</v>
      </c>
    </row>
    <row r="32" spans="1:16" s="11" customFormat="1" ht="13" x14ac:dyDescent="0.25">
      <c r="A32" s="28" t="s">
        <v>1699</v>
      </c>
      <c r="B32" s="2" t="s">
        <v>1778</v>
      </c>
      <c r="C32" s="2" t="s">
        <v>1781</v>
      </c>
      <c r="D32" s="2" t="s">
        <v>1782</v>
      </c>
      <c r="E32" s="2" t="s">
        <v>1783</v>
      </c>
      <c r="F32" s="2" t="s">
        <v>1784</v>
      </c>
      <c r="G32" s="2" t="s">
        <v>1785</v>
      </c>
      <c r="H32" s="2" t="s">
        <v>1786</v>
      </c>
      <c r="I32" s="2" t="s">
        <v>1787</v>
      </c>
      <c r="J32" s="2" t="s">
        <v>1788</v>
      </c>
      <c r="K32" s="2" t="s">
        <v>1789</v>
      </c>
      <c r="L32" s="2" t="s">
        <v>1790</v>
      </c>
      <c r="M32" s="2" t="s">
        <v>1791</v>
      </c>
      <c r="N32" s="2" t="s">
        <v>1792</v>
      </c>
      <c r="O32" s="2" t="s">
        <v>1793</v>
      </c>
      <c r="P32" s="2" t="s">
        <v>1794</v>
      </c>
    </row>
    <row r="33" spans="1:17" s="11" customFormat="1" ht="13" x14ac:dyDescent="0.25">
      <c r="A33" s="28" t="s">
        <v>6</v>
      </c>
      <c r="B33" s="2" t="s">
        <v>1705</v>
      </c>
      <c r="C33" s="2" t="s">
        <v>1709</v>
      </c>
      <c r="D33" s="2" t="s">
        <v>1719</v>
      </c>
      <c r="E33" s="2" t="s">
        <v>1721</v>
      </c>
      <c r="F33" s="2" t="s">
        <v>1724</v>
      </c>
      <c r="G33" s="2" t="s">
        <v>1727</v>
      </c>
      <c r="H33" s="2" t="s">
        <v>2530</v>
      </c>
      <c r="I33" s="2" t="s">
        <v>1732</v>
      </c>
      <c r="J33" s="2" t="s">
        <v>1735</v>
      </c>
      <c r="K33" s="2" t="s">
        <v>1738</v>
      </c>
      <c r="L33" s="2" t="s">
        <v>1741</v>
      </c>
      <c r="M33" s="2" t="s">
        <v>1743</v>
      </c>
      <c r="N33" s="2" t="s">
        <v>1745</v>
      </c>
      <c r="O33" s="2" t="s">
        <v>1748</v>
      </c>
      <c r="P33" s="2" t="s">
        <v>1751</v>
      </c>
    </row>
    <row r="34" spans="1:17" s="11" customFormat="1" ht="13" x14ac:dyDescent="0.25">
      <c r="A34" s="28" t="s">
        <v>7</v>
      </c>
      <c r="B34" s="2" t="s">
        <v>1706</v>
      </c>
      <c r="C34" s="2" t="s">
        <v>1710</v>
      </c>
      <c r="D34" s="2" t="s">
        <v>1720</v>
      </c>
      <c r="E34" s="2" t="s">
        <v>1722</v>
      </c>
      <c r="F34" s="2" t="s">
        <v>1725</v>
      </c>
      <c r="G34" s="2" t="s">
        <v>1728</v>
      </c>
      <c r="H34" s="2" t="s">
        <v>1730</v>
      </c>
      <c r="I34" s="2" t="s">
        <v>1733</v>
      </c>
      <c r="J34" s="2" t="s">
        <v>1736</v>
      </c>
      <c r="K34" s="2" t="s">
        <v>1739</v>
      </c>
      <c r="L34" s="2" t="s">
        <v>1742</v>
      </c>
      <c r="M34" s="2" t="s">
        <v>1744</v>
      </c>
      <c r="N34" s="2" t="s">
        <v>1746</v>
      </c>
      <c r="O34" s="2" t="s">
        <v>1749</v>
      </c>
      <c r="P34" s="2" t="s">
        <v>1752</v>
      </c>
    </row>
    <row r="35" spans="1:17" s="11" customFormat="1" ht="25" x14ac:dyDescent="0.25">
      <c r="A35" s="28" t="s">
        <v>258</v>
      </c>
      <c r="B35" s="2" t="s">
        <v>1707</v>
      </c>
      <c r="C35" s="2" t="s">
        <v>1707</v>
      </c>
      <c r="D35" s="2" t="s">
        <v>1707</v>
      </c>
      <c r="E35" s="2" t="s">
        <v>1723</v>
      </c>
      <c r="F35" s="2" t="s">
        <v>1726</v>
      </c>
      <c r="G35" s="2" t="s">
        <v>1729</v>
      </c>
      <c r="H35" s="2" t="s">
        <v>1731</v>
      </c>
      <c r="I35" s="2" t="s">
        <v>1734</v>
      </c>
      <c r="J35" s="2" t="s">
        <v>1737</v>
      </c>
      <c r="K35" s="2" t="s">
        <v>1740</v>
      </c>
      <c r="L35" s="2" t="s">
        <v>1726</v>
      </c>
      <c r="M35" s="2" t="s">
        <v>1723</v>
      </c>
      <c r="N35" s="2" t="s">
        <v>1747</v>
      </c>
      <c r="O35" s="2" t="s">
        <v>1750</v>
      </c>
      <c r="P35" s="2" t="s">
        <v>1753</v>
      </c>
    </row>
    <row r="36" spans="1:17" x14ac:dyDescent="0.25">
      <c r="A36" s="3"/>
      <c r="B36" s="39"/>
      <c r="C36" s="40"/>
    </row>
    <row r="37" spans="1:17" s="134" customFormat="1" ht="13" x14ac:dyDescent="0.25">
      <c r="A37" s="132" t="s">
        <v>885</v>
      </c>
      <c r="B37" s="133"/>
      <c r="C37" s="133"/>
      <c r="D37" s="133"/>
      <c r="E37" s="133"/>
      <c r="F37" s="133"/>
      <c r="G37" s="133"/>
    </row>
    <row r="38" spans="1:17" s="134" customFormat="1" ht="13" x14ac:dyDescent="0.25">
      <c r="A38" s="146" t="s">
        <v>1702</v>
      </c>
      <c r="B38" s="140" t="s">
        <v>1761</v>
      </c>
      <c r="C38" s="133"/>
      <c r="D38" s="133"/>
      <c r="E38" s="133"/>
      <c r="F38" s="133"/>
      <c r="G38" s="133"/>
    </row>
    <row r="39" spans="1:17" s="134" customFormat="1" ht="13" x14ac:dyDescent="0.25">
      <c r="A39" s="135" t="s">
        <v>886</v>
      </c>
      <c r="B39" s="136"/>
      <c r="C39" s="136"/>
      <c r="D39" s="136"/>
      <c r="E39" s="136"/>
      <c r="F39" s="136"/>
      <c r="G39" s="136"/>
      <c r="H39" s="136"/>
      <c r="I39" s="136"/>
      <c r="J39" s="136"/>
      <c r="K39" s="136"/>
      <c r="L39" s="136"/>
      <c r="M39" s="136" t="s">
        <v>1727</v>
      </c>
      <c r="N39" s="136" t="s">
        <v>1763</v>
      </c>
      <c r="O39" s="136" t="s">
        <v>1763</v>
      </c>
      <c r="P39" s="136"/>
      <c r="Q39" s="135"/>
    </row>
    <row r="40" spans="1:17" s="134" customFormat="1" ht="25" x14ac:dyDescent="0.25">
      <c r="A40" s="135" t="s">
        <v>887</v>
      </c>
      <c r="B40" s="136"/>
      <c r="C40" s="136"/>
      <c r="D40" s="136"/>
      <c r="E40" s="136"/>
      <c r="F40" s="136"/>
      <c r="G40" s="136"/>
      <c r="H40" s="136"/>
      <c r="I40" s="136"/>
      <c r="J40" s="136"/>
      <c r="K40" s="136"/>
      <c r="L40" s="136"/>
      <c r="M40" s="136" t="s">
        <v>1728</v>
      </c>
      <c r="N40" s="136" t="s">
        <v>2533</v>
      </c>
      <c r="O40" s="136" t="s">
        <v>2528</v>
      </c>
      <c r="P40" s="136"/>
      <c r="Q40" s="135"/>
    </row>
    <row r="41" spans="1:17" s="134" customFormat="1" ht="50" x14ac:dyDescent="0.25">
      <c r="A41" s="135" t="s">
        <v>888</v>
      </c>
      <c r="B41" s="136"/>
      <c r="C41" s="136"/>
      <c r="D41" s="136"/>
      <c r="E41" s="136"/>
      <c r="F41" s="136"/>
      <c r="G41" s="136"/>
      <c r="H41" s="136"/>
      <c r="I41" s="136"/>
      <c r="J41" s="136"/>
      <c r="K41" s="136"/>
      <c r="L41" s="136"/>
      <c r="M41" s="136" t="s">
        <v>1805</v>
      </c>
      <c r="N41" s="136" t="s">
        <v>2527</v>
      </c>
      <c r="O41" s="136" t="s">
        <v>2529</v>
      </c>
      <c r="P41" s="136"/>
      <c r="Q41" s="135"/>
    </row>
    <row r="42" spans="1:17" s="134" customFormat="1" ht="13" x14ac:dyDescent="0.25">
      <c r="A42" s="135" t="s">
        <v>889</v>
      </c>
      <c r="B42" s="136"/>
      <c r="C42" s="136"/>
      <c r="D42" s="136"/>
      <c r="E42" s="136"/>
      <c r="F42" s="136"/>
      <c r="G42" s="136"/>
      <c r="H42" s="136"/>
      <c r="I42" s="136"/>
      <c r="J42" s="136"/>
      <c r="K42" s="136"/>
      <c r="L42" s="136"/>
      <c r="M42" s="136" t="s">
        <v>1764</v>
      </c>
      <c r="N42" s="136" t="s">
        <v>2531</v>
      </c>
      <c r="O42" s="136" t="s">
        <v>2531</v>
      </c>
      <c r="P42" s="136"/>
      <c r="Q42" s="135"/>
    </row>
    <row r="43" spans="1:17" s="133" customFormat="1" ht="13" x14ac:dyDescent="0.25">
      <c r="A43" s="135" t="s">
        <v>1691</v>
      </c>
      <c r="B43" s="137">
        <v>1651722</v>
      </c>
      <c r="C43" s="137">
        <v>1637459</v>
      </c>
      <c r="D43" s="138">
        <v>1637686</v>
      </c>
      <c r="E43" s="137">
        <v>1832042</v>
      </c>
      <c r="F43" s="137">
        <v>2025849</v>
      </c>
      <c r="G43" s="137">
        <v>1636476</v>
      </c>
      <c r="H43" s="137">
        <v>1637685</v>
      </c>
      <c r="I43" s="137">
        <v>1832210</v>
      </c>
      <c r="J43" s="137">
        <v>2025755</v>
      </c>
      <c r="K43" s="137">
        <v>1637653</v>
      </c>
      <c r="L43" s="137">
        <v>1754126</v>
      </c>
      <c r="M43" s="158" t="s">
        <v>1762</v>
      </c>
      <c r="N43" s="137" t="s">
        <v>2532</v>
      </c>
      <c r="O43" s="137" t="s">
        <v>2532</v>
      </c>
      <c r="P43" s="137"/>
      <c r="Q43" s="135"/>
    </row>
    <row r="44" spans="1:17" s="133" customFormat="1" ht="25" x14ac:dyDescent="0.25">
      <c r="A44" s="135" t="s">
        <v>1692</v>
      </c>
      <c r="B44" s="74" t="str">
        <f>IF(ISNUMBER(B43),HYPERLINK("https://nsf.gov/awardsearch/showAward?AWD_ID="&amp;B43,"Search NSF for funding number."),"")</f>
        <v>Search NSF for funding number.</v>
      </c>
      <c r="C44" s="74" t="str">
        <f>IF(ISNUMBER(C43),HYPERLINK("https://nsf.gov/awardsearch/showAward?AWD_ID="&amp;C43,"Search NSF for funding number."),"")</f>
        <v>Search NSF for funding number.</v>
      </c>
      <c r="D44" s="74" t="str">
        <f t="shared" ref="D44:P44" si="0">IF(ISNUMBER(D43),HYPERLINK("https://nsf.gov/awardsearch/showAward?AWD_ID="&amp;D43,"Search NSF for funding number."),"")</f>
        <v>Search NSF for funding number.</v>
      </c>
      <c r="E44" s="74" t="str">
        <f t="shared" si="0"/>
        <v>Search NSF for funding number.</v>
      </c>
      <c r="F44" s="74" t="str">
        <f t="shared" si="0"/>
        <v>Search NSF for funding number.</v>
      </c>
      <c r="G44" s="74" t="str">
        <f t="shared" si="0"/>
        <v>Search NSF for funding number.</v>
      </c>
      <c r="H44" s="74" t="str">
        <f t="shared" si="0"/>
        <v>Search NSF for funding number.</v>
      </c>
      <c r="I44" s="74" t="str">
        <f t="shared" si="0"/>
        <v>Search NSF for funding number.</v>
      </c>
      <c r="J44" s="74" t="str">
        <f t="shared" si="0"/>
        <v>Search NSF for funding number.</v>
      </c>
      <c r="K44" s="74" t="str">
        <f t="shared" si="0"/>
        <v>Search NSF for funding number.</v>
      </c>
      <c r="L44" s="74" t="str">
        <f t="shared" si="0"/>
        <v>Search NSF for funding number.</v>
      </c>
      <c r="M44" s="74" t="str">
        <f t="shared" si="0"/>
        <v/>
      </c>
      <c r="N44" s="74" t="str">
        <f t="shared" si="0"/>
        <v/>
      </c>
      <c r="O44" s="74" t="str">
        <f t="shared" si="0"/>
        <v/>
      </c>
      <c r="P44" s="74" t="str">
        <f t="shared" si="0"/>
        <v/>
      </c>
      <c r="Q44" s="135"/>
    </row>
    <row r="45" spans="1:17" x14ac:dyDescent="0.25">
      <c r="A45" s="41"/>
    </row>
    <row r="46" spans="1:17" x14ac:dyDescent="0.25">
      <c r="A46" s="48"/>
      <c r="I46" s="12" t="s">
        <v>130</v>
      </c>
    </row>
    <row r="47" spans="1:17" ht="25" x14ac:dyDescent="0.25">
      <c r="A47" s="17" t="s">
        <v>14</v>
      </c>
      <c r="B47" s="141" t="s">
        <v>652</v>
      </c>
      <c r="C47" s="141" t="s">
        <v>652</v>
      </c>
      <c r="D47" s="141" t="s">
        <v>652</v>
      </c>
      <c r="E47" s="141" t="s">
        <v>652</v>
      </c>
      <c r="F47" s="141" t="s">
        <v>652</v>
      </c>
      <c r="G47" s="141" t="s">
        <v>652</v>
      </c>
      <c r="H47" s="141" t="s">
        <v>652</v>
      </c>
      <c r="I47" s="141" t="s">
        <v>652</v>
      </c>
      <c r="J47" s="141" t="s">
        <v>652</v>
      </c>
      <c r="K47" s="141" t="s">
        <v>652</v>
      </c>
      <c r="L47" s="141" t="s">
        <v>652</v>
      </c>
      <c r="M47" s="141" t="s">
        <v>652</v>
      </c>
    </row>
    <row r="48" spans="1:17" ht="25" x14ac:dyDescent="0.25">
      <c r="A48" s="47" t="s">
        <v>655</v>
      </c>
      <c r="B48" s="75" t="s">
        <v>1674</v>
      </c>
      <c r="C48" s="75" t="s">
        <v>1682</v>
      </c>
      <c r="D48" s="161" t="s">
        <v>2534</v>
      </c>
      <c r="E48" s="75" t="s">
        <v>1772</v>
      </c>
      <c r="F48" s="75" t="s">
        <v>1770</v>
      </c>
      <c r="G48" s="75" t="s">
        <v>1771</v>
      </c>
      <c r="H48" s="75" t="s">
        <v>1773</v>
      </c>
      <c r="I48" s="75" t="s">
        <v>1774</v>
      </c>
      <c r="J48" s="75" t="s">
        <v>1775</v>
      </c>
      <c r="K48" s="75" t="s">
        <v>1795</v>
      </c>
      <c r="L48" s="75" t="s">
        <v>1776</v>
      </c>
      <c r="M48" s="75" t="s">
        <v>1777</v>
      </c>
    </row>
    <row r="49" spans="1:13" ht="50" x14ac:dyDescent="0.25">
      <c r="A49" s="79" t="s">
        <v>15</v>
      </c>
      <c r="B49" s="27" t="str">
        <f>IF(ISNA(INDEX(Sites,MATCH(B48,Site_name,0),3)),"Enter Description", INDEX(Sites,MATCH(B48,Site_name,0),3))</f>
        <v>Arctic LTER Experimental Plots: Moist Acidic Tussock Tundra (MAT) Northeast corner block 1 near Toolik Field Station, North Slope, Alaska.</v>
      </c>
      <c r="C49" s="27" t="str">
        <f>IF(ISNA(INDEX(Sites,MATCH(C48,Site_name,0),3)),"Enter Description", INDEX(Sites,MATCH(C48,Site_name,0),3))</f>
        <v>Arctic LTER Experimental Plots: Shrub Tundra - Northeast corner Block 1 near Toolik Field Station, North Slope, Alaska.</v>
      </c>
      <c r="D49" s="162" t="s">
        <v>2535</v>
      </c>
      <c r="E49" s="27" t="s">
        <v>1796</v>
      </c>
      <c r="F49" s="27" t="s">
        <v>1797</v>
      </c>
      <c r="G49" s="27" t="s">
        <v>1798</v>
      </c>
      <c r="H49" s="27" t="s">
        <v>1799</v>
      </c>
      <c r="I49" s="27" t="s">
        <v>1800</v>
      </c>
      <c r="J49" s="27" t="s">
        <v>1801</v>
      </c>
      <c r="K49" s="27" t="s">
        <v>1802</v>
      </c>
      <c r="L49" s="27" t="s">
        <v>1803</v>
      </c>
      <c r="M49" s="27" t="s">
        <v>1804</v>
      </c>
    </row>
    <row r="50" spans="1:13" ht="13" x14ac:dyDescent="0.25">
      <c r="A50" s="18" t="s">
        <v>16</v>
      </c>
      <c r="C50" s="29"/>
      <c r="D50" s="29"/>
      <c r="E50" s="29"/>
      <c r="F50" s="29"/>
      <c r="G50" s="29"/>
      <c r="H50" s="29"/>
      <c r="I50" s="29"/>
      <c r="J50" s="29"/>
      <c r="K50" s="29"/>
      <c r="L50" s="29"/>
      <c r="M50" s="29"/>
    </row>
    <row r="51" spans="1:13" ht="13" x14ac:dyDescent="0.25">
      <c r="A51" s="49" t="s">
        <v>17</v>
      </c>
      <c r="B51" s="37"/>
      <c r="C51" s="37"/>
      <c r="D51" s="37"/>
      <c r="E51" s="37"/>
      <c r="F51" s="37"/>
      <c r="G51" s="37"/>
      <c r="H51" s="37"/>
      <c r="I51" s="37"/>
      <c r="J51" s="37"/>
      <c r="K51" s="37"/>
      <c r="L51" s="37"/>
      <c r="M51" s="37"/>
    </row>
    <row r="52" spans="1:13" ht="13" x14ac:dyDescent="0.25">
      <c r="A52" s="49" t="s">
        <v>18</v>
      </c>
      <c r="B52" s="50"/>
      <c r="C52" s="50"/>
      <c r="D52" s="50"/>
      <c r="E52" s="50"/>
      <c r="F52" s="50"/>
      <c r="G52" s="50"/>
      <c r="H52" s="50"/>
      <c r="I52" s="50"/>
      <c r="J52" s="50"/>
      <c r="K52" s="50"/>
      <c r="L52" s="50"/>
      <c r="M52" s="50"/>
    </row>
    <row r="53" spans="1:13" ht="13" x14ac:dyDescent="0.25">
      <c r="A53" s="49" t="s">
        <v>19</v>
      </c>
      <c r="B53" s="37"/>
      <c r="C53" s="37"/>
      <c r="D53" s="37"/>
      <c r="E53" s="37"/>
      <c r="F53" s="37"/>
      <c r="G53" s="37"/>
      <c r="H53" s="37"/>
      <c r="I53" s="37"/>
      <c r="J53" s="37"/>
      <c r="K53" s="37"/>
      <c r="L53" s="37"/>
      <c r="M53" s="37"/>
    </row>
    <row r="54" spans="1:13" ht="13" x14ac:dyDescent="0.25">
      <c r="A54" s="49" t="s">
        <v>20</v>
      </c>
      <c r="B54" s="51"/>
      <c r="C54" s="51"/>
      <c r="D54" s="51"/>
      <c r="E54" s="51"/>
      <c r="F54" s="51"/>
      <c r="G54" s="51"/>
      <c r="H54" s="51"/>
      <c r="I54" s="51"/>
      <c r="J54" s="51"/>
      <c r="K54" s="51"/>
      <c r="L54" s="51"/>
      <c r="M54" s="51"/>
    </row>
    <row r="55" spans="1:13" ht="13" x14ac:dyDescent="0.25">
      <c r="A55" s="19" t="s">
        <v>21</v>
      </c>
      <c r="B55" s="52"/>
      <c r="C55" s="52"/>
      <c r="D55" s="52"/>
      <c r="E55" s="52"/>
      <c r="F55" s="52"/>
      <c r="G55" s="52"/>
      <c r="H55" s="52"/>
      <c r="I55" s="52"/>
      <c r="J55" s="52"/>
      <c r="K55" s="52"/>
      <c r="L55" s="52"/>
      <c r="M55" s="52"/>
    </row>
    <row r="56" spans="1:13" ht="13" x14ac:dyDescent="0.25">
      <c r="A56" s="47" t="s">
        <v>22</v>
      </c>
      <c r="B56" s="27">
        <f>IF(ISNA(INDEX(Sites,MATCH(B48,Site_name,0),4)),"In Decimal Degrees", INDEX(Sites,MATCH(B48,Site_name,0),4))</f>
        <v>68.624410999999995</v>
      </c>
      <c r="C56" s="27">
        <f>IF(ISNA(INDEX(Sites,MATCH(C48,Site_name,0),4)),"In Decimal Degrees", INDEX(Sites,MATCH(C48,Site_name,0),4))</f>
        <v>68.635624000000007</v>
      </c>
      <c r="D56" s="162">
        <v>68.45</v>
      </c>
      <c r="E56" s="27">
        <v>40.049999999999997</v>
      </c>
      <c r="F56" s="27">
        <v>42.4</v>
      </c>
      <c r="G56" s="27">
        <v>39.08</v>
      </c>
      <c r="H56" s="27">
        <v>64.75</v>
      </c>
      <c r="I56" s="27">
        <v>64.75</v>
      </c>
      <c r="J56" s="27">
        <v>43.95</v>
      </c>
      <c r="K56" s="27">
        <v>42.53</v>
      </c>
      <c r="L56" s="27">
        <v>44.23</v>
      </c>
      <c r="M56" s="27">
        <v>-1.8</v>
      </c>
    </row>
    <row r="57" spans="1:13" ht="13" x14ac:dyDescent="0.25">
      <c r="A57" s="47" t="s">
        <v>23</v>
      </c>
      <c r="B57" s="27">
        <f>IF(ISNA(INDEX(Sites,MATCH(B48,Site_name,0),5)),"In Decimal Degrees", INDEX(Sites,MATCH(B48,Site_name,0),5))</f>
        <v>-149.609589</v>
      </c>
      <c r="C57" s="27">
        <f>IF(ISNA(INDEX(Sites,MATCH(C48,Site_name,0),5)),"In Decimal Degrees", INDEX(Sites,MATCH(C48,Site_name,0),5))</f>
        <v>-149.587064</v>
      </c>
      <c r="D57" s="162">
        <v>-149.363</v>
      </c>
      <c r="E57" s="27">
        <v>-105.62</v>
      </c>
      <c r="F57" s="27">
        <v>-85.4</v>
      </c>
      <c r="G57" s="27">
        <v>-96.58</v>
      </c>
      <c r="H57" s="27">
        <v>-148.30000000000001</v>
      </c>
      <c r="I57" s="27">
        <v>-148.30000000000001</v>
      </c>
      <c r="J57" s="27">
        <v>-71.73</v>
      </c>
      <c r="K57" s="27">
        <v>-72.180000000000007</v>
      </c>
      <c r="L57" s="27">
        <v>-122.17</v>
      </c>
      <c r="M57" s="27">
        <v>-51.43</v>
      </c>
    </row>
    <row r="58" spans="1:13" ht="13" x14ac:dyDescent="0.25">
      <c r="A58" s="47" t="s">
        <v>124</v>
      </c>
      <c r="B58" s="27">
        <f>IF(ISNA(INDEX(Sites,MATCH(B48,Site_name,0),6)),"In Meters", IF(ISBLANK(INDEX(Sites,MATCH(B48,Site_name,0),6)),"",INDEX(Sites,MATCH(B48,Site_name,0),6)))</f>
        <v>750</v>
      </c>
      <c r="C58" s="27">
        <f>IF(ISNA(INDEX(Sites,MATCH(C48,Site_name,0),6)),"In Meters", IF(ISBLANK(INDEX(Sites,MATCH(C48,Site_name,0),6)),"",INDEX(Sites,MATCH(C48,Site_name,0),6)))</f>
        <v>745</v>
      </c>
      <c r="D58" s="162">
        <v>803</v>
      </c>
      <c r="E58" s="27">
        <v>3744</v>
      </c>
      <c r="F58" s="27">
        <v>274</v>
      </c>
      <c r="G58" s="27">
        <v>387</v>
      </c>
      <c r="H58" s="27">
        <v>400</v>
      </c>
      <c r="I58" s="27">
        <v>460</v>
      </c>
      <c r="J58" s="27">
        <v>530</v>
      </c>
      <c r="K58" s="27">
        <v>335</v>
      </c>
      <c r="L58" s="27">
        <v>768</v>
      </c>
      <c r="M58" s="27">
        <v>30</v>
      </c>
    </row>
    <row r="59" spans="1:13" ht="13" x14ac:dyDescent="0.25">
      <c r="A59" s="47" t="s">
        <v>654</v>
      </c>
      <c r="B59" s="74" t="str">
        <f>IF(ISNUMBER(B$56),HYPERLINK("http://maps.google.com/maps?q="&amp;B56&amp;","&amp;B57,"View on Google Map"),"")</f>
        <v>View on Google Map</v>
      </c>
      <c r="C59" s="74" t="str">
        <f t="shared" ref="C59:I59" si="1">IF(ISNUMBER(C$56),HYPERLINK("http://maps.google.com/maps?q="&amp;C56&amp;","&amp;C57,"View on Google Map"),"")</f>
        <v>View on Google Map</v>
      </c>
      <c r="D59" s="74" t="str">
        <f t="shared" si="1"/>
        <v>View on Google Map</v>
      </c>
      <c r="E59" s="74" t="str">
        <f t="shared" si="1"/>
        <v>View on Google Map</v>
      </c>
      <c r="F59" s="74" t="str">
        <f t="shared" si="1"/>
        <v>View on Google Map</v>
      </c>
      <c r="G59" s="74" t="str">
        <f t="shared" si="1"/>
        <v>View on Google Map</v>
      </c>
      <c r="H59" s="74" t="str">
        <f t="shared" si="1"/>
        <v>View on Google Map</v>
      </c>
      <c r="I59" s="74" t="str">
        <f t="shared" si="1"/>
        <v>View on Google Map</v>
      </c>
      <c r="J59" s="74" t="str">
        <f t="shared" ref="J59:M59" si="2">IF(ISNUMBER(J$56),HYPERLINK("http://maps.google.com/maps?q="&amp;J56&amp;","&amp;J57,"View on Google Map"),"")</f>
        <v>View on Google Map</v>
      </c>
      <c r="K59" s="74" t="str">
        <f t="shared" si="2"/>
        <v>View on Google Map</v>
      </c>
      <c r="L59" s="74" t="str">
        <f t="shared" si="2"/>
        <v>View on Google Map</v>
      </c>
      <c r="M59" s="74" t="str">
        <f t="shared" si="2"/>
        <v>View on Google Map</v>
      </c>
    </row>
    <row r="60" spans="1:13" ht="13" x14ac:dyDescent="0.25">
      <c r="A60" s="53"/>
      <c r="B60" s="54"/>
      <c r="C60" s="54"/>
      <c r="D60" s="54"/>
    </row>
    <row r="61" spans="1:13" ht="13" x14ac:dyDescent="0.3">
      <c r="A61" s="20" t="s">
        <v>111</v>
      </c>
      <c r="B61" s="54"/>
      <c r="C61" s="40"/>
    </row>
    <row r="62" spans="1:13" ht="13" x14ac:dyDescent="0.3">
      <c r="A62" s="55" t="s">
        <v>112</v>
      </c>
      <c r="B62" s="37"/>
      <c r="C62" s="31" t="s">
        <v>129</v>
      </c>
    </row>
    <row r="63" spans="1:13" x14ac:dyDescent="0.25">
      <c r="A63" s="3"/>
    </row>
    <row r="64" spans="1:13" ht="14.5" x14ac:dyDescent="0.3">
      <c r="A64" s="20" t="s">
        <v>127</v>
      </c>
      <c r="B64" s="20" t="s">
        <v>701</v>
      </c>
      <c r="C64" s="20" t="s">
        <v>699</v>
      </c>
      <c r="D64" s="20" t="s">
        <v>700</v>
      </c>
      <c r="E64" s="88" t="s">
        <v>883</v>
      </c>
    </row>
    <row r="65" spans="1:9" ht="75.5" x14ac:dyDescent="0.3">
      <c r="A65" s="56" t="s">
        <v>24</v>
      </c>
      <c r="B65" s="37" t="s">
        <v>2538</v>
      </c>
      <c r="C65" s="37" t="s">
        <v>2525</v>
      </c>
      <c r="D65" s="37" t="s">
        <v>2526</v>
      </c>
      <c r="E65" s="73" t="str">
        <f>HYPERLINK("http://vocab.lternet.edu/vocab/vocab/index.php","The LTER CV is effective at describing ecological and environmental data")</f>
        <v>The LTER CV is effective at describing ecological and environmental data</v>
      </c>
    </row>
    <row r="66" spans="1:9" ht="13" x14ac:dyDescent="0.25">
      <c r="A66" s="53"/>
      <c r="B66" s="54"/>
      <c r="E66" s="73" t="str">
        <f>HYPERLINK("http://vocab.lternet.edu/keywordDistiller/","Try this text mining service to extract LTER CV keywords from your abstract or methods")</f>
        <v>Try this text mining service to extract LTER CV keywords from your abstract or methods</v>
      </c>
    </row>
    <row r="67" spans="1:9" ht="15.5" x14ac:dyDescent="0.35">
      <c r="A67" s="33"/>
      <c r="B67" s="36"/>
      <c r="C67" s="34"/>
      <c r="D67" s="34"/>
      <c r="E67" s="89" t="s">
        <v>884</v>
      </c>
      <c r="F67" s="34"/>
      <c r="G67" s="34"/>
      <c r="H67" s="34"/>
      <c r="I67" s="34"/>
    </row>
    <row r="68" spans="1:9" s="34" customFormat="1" ht="15.5" x14ac:dyDescent="0.35">
      <c r="A68" s="21" t="s">
        <v>26</v>
      </c>
      <c r="B68" s="57"/>
      <c r="C68" s="31"/>
      <c r="D68" s="31"/>
      <c r="E68" s="12"/>
      <c r="F68" s="12"/>
      <c r="G68" s="12"/>
      <c r="H68" s="12"/>
      <c r="I68" s="12"/>
    </row>
    <row r="69" spans="1:9" x14ac:dyDescent="0.25">
      <c r="A69" s="58"/>
      <c r="B69" s="34"/>
      <c r="C69" s="34"/>
      <c r="D69" s="34"/>
      <c r="E69" s="34"/>
      <c r="F69" s="34"/>
      <c r="G69" s="34"/>
      <c r="H69" s="34"/>
      <c r="I69" s="34"/>
    </row>
    <row r="70" spans="1:9" s="34" customFormat="1" x14ac:dyDescent="0.25">
      <c r="A70" s="33"/>
      <c r="B70" s="59"/>
    </row>
    <row r="71" spans="1:9" s="34" customFormat="1" x14ac:dyDescent="0.25">
      <c r="A71" s="33"/>
    </row>
    <row r="72" spans="1:9" s="34" customFormat="1" x14ac:dyDescent="0.25">
      <c r="A72" s="33"/>
    </row>
    <row r="73" spans="1:9" s="34" customFormat="1" x14ac:dyDescent="0.25">
      <c r="A73" s="33"/>
    </row>
    <row r="74" spans="1:9" s="34" customFormat="1" x14ac:dyDescent="0.25">
      <c r="A74" s="33"/>
    </row>
    <row r="75" spans="1:9" s="34" customFormat="1" x14ac:dyDescent="0.25">
      <c r="A75" s="33"/>
    </row>
    <row r="76" spans="1:9" s="34" customFormat="1" x14ac:dyDescent="0.25">
      <c r="A76" s="33"/>
    </row>
    <row r="77" spans="1:9" s="34" customFormat="1" x14ac:dyDescent="0.25">
      <c r="A77" s="33"/>
    </row>
    <row r="78" spans="1:9" s="34" customFormat="1" x14ac:dyDescent="0.25">
      <c r="A78" s="33"/>
    </row>
    <row r="79" spans="1:9" s="34" customFormat="1" x14ac:dyDescent="0.25">
      <c r="A79" s="33"/>
    </row>
    <row r="80" spans="1:9" s="34" customFormat="1" x14ac:dyDescent="0.25">
      <c r="A80" s="33"/>
    </row>
    <row r="81" spans="1:1" s="34" customFormat="1" x14ac:dyDescent="0.25">
      <c r="A81" s="33"/>
    </row>
    <row r="82" spans="1:1" s="34" customFormat="1" x14ac:dyDescent="0.25">
      <c r="A82" s="33"/>
    </row>
    <row r="83" spans="1:1" s="34" customFormat="1" x14ac:dyDescent="0.25">
      <c r="A83" s="33"/>
    </row>
    <row r="84" spans="1:1" s="34" customFormat="1" x14ac:dyDescent="0.25">
      <c r="A84" s="33"/>
    </row>
    <row r="85" spans="1:1" s="34" customFormat="1" x14ac:dyDescent="0.25">
      <c r="A85" s="33"/>
    </row>
    <row r="86" spans="1:1" s="34" customFormat="1" x14ac:dyDescent="0.25">
      <c r="A86" s="33"/>
    </row>
    <row r="87" spans="1:1" s="34" customFormat="1" x14ac:dyDescent="0.25">
      <c r="A87" s="33"/>
    </row>
    <row r="88" spans="1:1" s="34" customFormat="1" x14ac:dyDescent="0.25">
      <c r="A88" s="33"/>
    </row>
    <row r="89" spans="1:1" s="34" customFormat="1" x14ac:dyDescent="0.25">
      <c r="A89" s="33"/>
    </row>
    <row r="90" spans="1:1" s="34" customFormat="1" x14ac:dyDescent="0.25">
      <c r="A90" s="33"/>
    </row>
    <row r="91" spans="1:1" s="34" customFormat="1" x14ac:dyDescent="0.25">
      <c r="A91" s="33"/>
    </row>
    <row r="92" spans="1:1" s="34" customFormat="1" x14ac:dyDescent="0.25">
      <c r="A92" s="33"/>
    </row>
    <row r="93" spans="1:1" s="34" customFormat="1" x14ac:dyDescent="0.25">
      <c r="A93" s="33"/>
    </row>
    <row r="94" spans="1:1" s="34" customFormat="1" x14ac:dyDescent="0.25">
      <c r="A94" s="33"/>
    </row>
    <row r="95" spans="1:1" s="34" customFormat="1" x14ac:dyDescent="0.25">
      <c r="A95" s="33"/>
    </row>
    <row r="96" spans="1:1" s="34" customFormat="1" x14ac:dyDescent="0.25">
      <c r="A96" s="33"/>
    </row>
    <row r="97" spans="1:1" s="34" customFormat="1" x14ac:dyDescent="0.25">
      <c r="A97" s="33"/>
    </row>
    <row r="98" spans="1:1" s="34" customFormat="1" x14ac:dyDescent="0.25">
      <c r="A98" s="33"/>
    </row>
    <row r="99" spans="1:1" s="34" customFormat="1" x14ac:dyDescent="0.25">
      <c r="A99" s="33"/>
    </row>
    <row r="100" spans="1:1" s="34" customFormat="1" x14ac:dyDescent="0.25">
      <c r="A100" s="33"/>
    </row>
    <row r="101" spans="1:1" s="34" customFormat="1" x14ac:dyDescent="0.25">
      <c r="A101" s="33"/>
    </row>
    <row r="102" spans="1:1" s="34" customFormat="1" x14ac:dyDescent="0.25">
      <c r="A102" s="33"/>
    </row>
    <row r="103" spans="1:1" s="34" customFormat="1" x14ac:dyDescent="0.25">
      <c r="A103" s="33"/>
    </row>
    <row r="104" spans="1:1" s="34" customFormat="1" x14ac:dyDescent="0.25">
      <c r="A104" s="33"/>
    </row>
    <row r="105" spans="1:1" s="34" customFormat="1" x14ac:dyDescent="0.25">
      <c r="A105" s="33"/>
    </row>
    <row r="106" spans="1:1" s="34" customFormat="1" x14ac:dyDescent="0.25">
      <c r="A106" s="33"/>
    </row>
    <row r="107" spans="1:1" s="34" customFormat="1" x14ac:dyDescent="0.25">
      <c r="A107" s="33"/>
    </row>
    <row r="108" spans="1:1" s="34" customFormat="1" x14ac:dyDescent="0.25">
      <c r="A108" s="33"/>
    </row>
    <row r="109" spans="1:1" s="34" customFormat="1" x14ac:dyDescent="0.25">
      <c r="A109" s="33"/>
    </row>
    <row r="110" spans="1:1" s="34" customFormat="1" x14ac:dyDescent="0.25">
      <c r="A110" s="33"/>
    </row>
    <row r="111" spans="1:1" s="34" customFormat="1" x14ac:dyDescent="0.25">
      <c r="A111" s="33"/>
    </row>
    <row r="112" spans="1:1" s="34" customFormat="1" x14ac:dyDescent="0.25">
      <c r="A112" s="33"/>
    </row>
    <row r="113" spans="1:10" s="34" customFormat="1" x14ac:dyDescent="0.25">
      <c r="A113" s="33"/>
      <c r="B113" s="35"/>
    </row>
    <row r="114" spans="1:10" s="34" customFormat="1" x14ac:dyDescent="0.25">
      <c r="A114" s="33"/>
      <c r="B114" s="35"/>
    </row>
    <row r="115" spans="1:10" s="34" customFormat="1" x14ac:dyDescent="0.25">
      <c r="A115" s="33"/>
      <c r="B115" s="35"/>
    </row>
    <row r="116" spans="1:10" s="34" customFormat="1" x14ac:dyDescent="0.25">
      <c r="A116" s="33"/>
      <c r="B116" s="35"/>
    </row>
    <row r="117" spans="1:10" s="61" customFormat="1" x14ac:dyDescent="0.25">
      <c r="A117" s="33"/>
      <c r="B117" s="35"/>
      <c r="C117" s="34"/>
      <c r="D117" s="34"/>
      <c r="E117" s="34"/>
      <c r="F117" s="34"/>
      <c r="G117" s="34"/>
      <c r="H117" s="34"/>
      <c r="I117" s="34"/>
      <c r="J117" s="60"/>
    </row>
    <row r="118" spans="1:10" s="34" customFormat="1" x14ac:dyDescent="0.25">
      <c r="A118" s="33"/>
      <c r="B118" s="35"/>
    </row>
    <row r="119" spans="1:10" s="34" customFormat="1" x14ac:dyDescent="0.25">
      <c r="A119" s="33"/>
      <c r="B119" s="35"/>
    </row>
    <row r="120" spans="1:10" s="34" customFormat="1" x14ac:dyDescent="0.25">
      <c r="A120" s="33"/>
      <c r="B120" s="35"/>
    </row>
    <row r="121" spans="1:10" s="34" customFormat="1" x14ac:dyDescent="0.25">
      <c r="A121" s="33"/>
      <c r="B121" s="35"/>
    </row>
    <row r="122" spans="1:10" s="34" customFormat="1" x14ac:dyDescent="0.25">
      <c r="A122" s="33"/>
      <c r="B122" s="35"/>
    </row>
    <row r="123" spans="1:10" s="34" customFormat="1" x14ac:dyDescent="0.25">
      <c r="A123" s="33"/>
      <c r="B123" s="35"/>
    </row>
    <row r="124" spans="1:10" s="34" customFormat="1" x14ac:dyDescent="0.25">
      <c r="A124" s="33"/>
      <c r="B124" s="35"/>
    </row>
    <row r="125" spans="1:10" s="34" customFormat="1" x14ac:dyDescent="0.25">
      <c r="A125" s="33"/>
      <c r="B125" s="35"/>
    </row>
    <row r="126" spans="1:10" s="34" customFormat="1" x14ac:dyDescent="0.25">
      <c r="A126" s="33"/>
      <c r="B126" s="35"/>
    </row>
    <row r="127" spans="1:10" s="34" customFormat="1" x14ac:dyDescent="0.25">
      <c r="A127" s="33"/>
      <c r="B127" s="35"/>
    </row>
    <row r="128" spans="1:10" s="34" customFormat="1" x14ac:dyDescent="0.25">
      <c r="A128" s="33"/>
      <c r="B128" s="35"/>
    </row>
    <row r="129" spans="1:7" s="34" customFormat="1" x14ac:dyDescent="0.25">
      <c r="A129" s="33"/>
      <c r="B129" s="62"/>
    </row>
    <row r="130" spans="1:7" s="34" customFormat="1" ht="14.5" x14ac:dyDescent="0.25">
      <c r="A130" s="90"/>
      <c r="B130"/>
      <c r="C130"/>
      <c r="D130"/>
      <c r="E130"/>
      <c r="F130"/>
      <c r="G130"/>
    </row>
    <row r="131" spans="1:7" s="34" customFormat="1" ht="15" thickBot="1" x14ac:dyDescent="0.3">
      <c r="A131" s="90"/>
      <c r="B131"/>
      <c r="C131"/>
      <c r="D131"/>
      <c r="E131"/>
      <c r="F131"/>
      <c r="G131"/>
    </row>
    <row r="132" spans="1:7" s="34" customFormat="1" ht="13.5" thickBot="1" x14ac:dyDescent="0.35">
      <c r="A132" s="22" t="s">
        <v>123</v>
      </c>
      <c r="B132" s="63"/>
    </row>
    <row r="133" spans="1:7" s="34" customFormat="1" ht="13" x14ac:dyDescent="0.3">
      <c r="A133" s="23" t="s">
        <v>131</v>
      </c>
      <c r="B133" s="64"/>
      <c r="C133" s="65"/>
    </row>
    <row r="134" spans="1:7" s="34" customFormat="1" ht="13" x14ac:dyDescent="0.3">
      <c r="A134" s="24" t="s">
        <v>120</v>
      </c>
      <c r="B134" s="66"/>
      <c r="C134" s="67"/>
    </row>
    <row r="135" spans="1:7" s="34" customFormat="1" ht="13" x14ac:dyDescent="0.25">
      <c r="A135" s="5" t="s">
        <v>121</v>
      </c>
      <c r="B135" s="29"/>
    </row>
    <row r="136" spans="1:7" s="34" customFormat="1" ht="13" x14ac:dyDescent="0.25">
      <c r="A136" s="25" t="s">
        <v>122</v>
      </c>
      <c r="B136" s="29"/>
    </row>
    <row r="137" spans="1:7" s="34" customFormat="1" ht="13" x14ac:dyDescent="0.25">
      <c r="A137" s="5"/>
      <c r="B137" s="29"/>
    </row>
    <row r="138" spans="1:7" s="34" customFormat="1" ht="13" x14ac:dyDescent="0.25">
      <c r="A138" s="5"/>
      <c r="B138" s="29"/>
    </row>
    <row r="139" spans="1:7" s="34" customFormat="1" ht="13" x14ac:dyDescent="0.25">
      <c r="A139" s="5"/>
      <c r="B139" s="29"/>
    </row>
    <row r="140" spans="1:7" s="34" customFormat="1" ht="13" x14ac:dyDescent="0.3">
      <c r="A140" s="143"/>
      <c r="B140" s="144" t="s">
        <v>1696</v>
      </c>
      <c r="C140" s="31"/>
    </row>
    <row r="141" spans="1:7" s="34" customFormat="1" ht="13" x14ac:dyDescent="0.25">
      <c r="A141" s="145" t="s">
        <v>1697</v>
      </c>
      <c r="B141" s="37" t="s">
        <v>2540</v>
      </c>
      <c r="C141" s="12"/>
    </row>
    <row r="142" spans="1:7" s="34" customFormat="1" ht="25" x14ac:dyDescent="0.25">
      <c r="A142" s="145" t="s">
        <v>1698</v>
      </c>
      <c r="B142" s="37" t="s">
        <v>2541</v>
      </c>
      <c r="C142" s="31"/>
    </row>
    <row r="143" spans="1:7" s="34" customFormat="1" ht="13" x14ac:dyDescent="0.25">
      <c r="A143" s="5"/>
      <c r="B143" s="29"/>
    </row>
    <row r="144" spans="1:7" s="34" customFormat="1" ht="13" x14ac:dyDescent="0.25">
      <c r="A144" s="5"/>
      <c r="B144" s="29"/>
    </row>
    <row r="145" spans="1:10" s="34" customFormat="1" ht="13" x14ac:dyDescent="0.25">
      <c r="A145" s="5"/>
      <c r="B145" s="29"/>
    </row>
    <row r="146" spans="1:10" s="34" customFormat="1" ht="18" x14ac:dyDescent="0.25">
      <c r="A146" s="148" t="s">
        <v>1701</v>
      </c>
      <c r="B146" s="149"/>
      <c r="C146" s="150"/>
      <c r="D146" s="149"/>
      <c r="E146" s="151"/>
      <c r="F146" s="151"/>
      <c r="G146" s="151"/>
      <c r="H146" s="151"/>
      <c r="I146" s="151"/>
      <c r="J146" s="152"/>
    </row>
    <row r="147" spans="1:10" ht="13" x14ac:dyDescent="0.25">
      <c r="A147" s="147"/>
      <c r="B147" s="42"/>
    </row>
    <row r="148" spans="1:10" hidden="1" x14ac:dyDescent="0.25">
      <c r="A148" s="43" t="s">
        <v>126</v>
      </c>
      <c r="B148" s="9"/>
      <c r="C148" s="10"/>
    </row>
    <row r="149" spans="1:10" ht="13" x14ac:dyDescent="0.25">
      <c r="A149" s="44" t="s">
        <v>8</v>
      </c>
      <c r="B149" s="37" t="s">
        <v>2539</v>
      </c>
    </row>
    <row r="150" spans="1:10" ht="13" x14ac:dyDescent="0.25">
      <c r="A150" s="45" t="s">
        <v>9</v>
      </c>
      <c r="B150" s="129">
        <v>43831</v>
      </c>
    </row>
    <row r="151" spans="1:10" ht="13" x14ac:dyDescent="0.25">
      <c r="A151" s="45" t="s">
        <v>10</v>
      </c>
      <c r="B151" s="129">
        <v>80355</v>
      </c>
    </row>
    <row r="152" spans="1:10" ht="13" x14ac:dyDescent="0.25">
      <c r="A152" s="80" t="s">
        <v>719</v>
      </c>
      <c r="B152" s="37"/>
    </row>
    <row r="153" spans="1:10" ht="13" x14ac:dyDescent="0.25">
      <c r="A153" s="45" t="s">
        <v>1693</v>
      </c>
      <c r="B153" s="37" t="s">
        <v>1694</v>
      </c>
    </row>
    <row r="154" spans="1:10" ht="13" x14ac:dyDescent="0.25">
      <c r="A154" s="47" t="s">
        <v>12</v>
      </c>
      <c r="B154" s="37"/>
    </row>
    <row r="155" spans="1:10" ht="13" x14ac:dyDescent="0.25">
      <c r="A155" s="46" t="s">
        <v>13</v>
      </c>
      <c r="B155" s="37" t="s">
        <v>1780</v>
      </c>
    </row>
    <row r="156" spans="1:10" ht="37.5" x14ac:dyDescent="0.25">
      <c r="A156" s="46"/>
      <c r="B156" s="37" t="s">
        <v>2537</v>
      </c>
    </row>
    <row r="157" spans="1:10" ht="13" x14ac:dyDescent="0.25">
      <c r="A157" s="46"/>
      <c r="B157" s="37"/>
    </row>
    <row r="158" spans="1:10" ht="13" x14ac:dyDescent="0.25">
      <c r="C158" s="53"/>
      <c r="D158" s="54"/>
    </row>
    <row r="159" spans="1:10" ht="15.5" x14ac:dyDescent="0.3">
      <c r="A159" s="14" t="s">
        <v>703</v>
      </c>
      <c r="B159" s="84" t="s">
        <v>706</v>
      </c>
      <c r="C159" s="86" t="s">
        <v>720</v>
      </c>
      <c r="D159" s="54"/>
      <c r="I159" s="81"/>
    </row>
    <row r="160" spans="1:10" ht="13" x14ac:dyDescent="0.25">
      <c r="A160" s="83" t="s">
        <v>702</v>
      </c>
      <c r="B160" s="139">
        <v>1</v>
      </c>
      <c r="C160" s="53"/>
      <c r="D160" s="54"/>
      <c r="I160" s="81"/>
    </row>
    <row r="161" spans="1:10" ht="13" x14ac:dyDescent="0.25">
      <c r="A161" s="46" t="s">
        <v>11</v>
      </c>
      <c r="B161" s="37">
        <v>100</v>
      </c>
    </row>
    <row r="162" spans="1:10" ht="13" x14ac:dyDescent="0.25">
      <c r="A162" s="21" t="s">
        <v>27</v>
      </c>
      <c r="H162" s="81"/>
      <c r="I162" s="81"/>
    </row>
    <row r="163" spans="1:10" ht="28.15" customHeight="1" x14ac:dyDescent="0.25">
      <c r="A163" s="13" t="s">
        <v>28</v>
      </c>
      <c r="B163" s="13" t="s">
        <v>29</v>
      </c>
      <c r="C163" s="13" t="s">
        <v>260</v>
      </c>
      <c r="D163" s="14" t="s">
        <v>30</v>
      </c>
      <c r="E163" s="13" t="s">
        <v>31</v>
      </c>
      <c r="F163" s="13" t="s">
        <v>128</v>
      </c>
      <c r="G163" s="13" t="s">
        <v>32</v>
      </c>
      <c r="H163" s="13" t="s">
        <v>704</v>
      </c>
      <c r="I163" s="13" t="s">
        <v>705</v>
      </c>
      <c r="J163" s="13" t="s">
        <v>718</v>
      </c>
    </row>
    <row r="164" spans="1:10" x14ac:dyDescent="0.25">
      <c r="A164" s="85" t="str">
        <f t="shared" ref="A164:A227" ca="1" si="3">IFERROR(IF(INDIRECT(ADDRESS(1,ROW()-ROW(Variable_Name),,,DataSheet1))=0,"",INDIRECT(ADDRESS(1,ROW()-ROW(Variable_Name),,,DataSheet1))),"")</f>
        <v>Time</v>
      </c>
      <c r="B164" s="68" t="s">
        <v>1821</v>
      </c>
      <c r="C164" s="68" t="s">
        <v>1779</v>
      </c>
      <c r="D164" s="68" t="s">
        <v>96</v>
      </c>
      <c r="E164" s="68"/>
      <c r="F164" s="68"/>
      <c r="G164" s="68"/>
      <c r="H164" s="82"/>
      <c r="I164" s="82"/>
      <c r="J164" s="31"/>
    </row>
    <row r="165" spans="1:10" x14ac:dyDescent="0.25">
      <c r="A165" s="85" t="str">
        <f t="shared" ca="1" si="3"/>
        <v>D_TotalShortWave</v>
      </c>
      <c r="B165" s="68" t="s">
        <v>1822</v>
      </c>
      <c r="C165" s="68" t="s">
        <v>1779</v>
      </c>
      <c r="D165" s="68" t="s">
        <v>657</v>
      </c>
      <c r="E165" s="68"/>
      <c r="F165" s="68"/>
      <c r="G165" s="68"/>
      <c r="H165" s="82">
        <f t="shared" ref="H165:H227" ca="1" si="4">IF(_xlfn.SINGLE(OFFSET(Data_Type,ROW()-_xlfn.SINGLE(ROW(Data_Type)),0))="numeric",_xlfn.AGGREGATE(4,6,(OFFSET(INDIRECT("'"&amp;OFFSET(Name_of_Data_Sheet,0,1)&amp;"'!A1"),1,ROW()-_xlfn.SINGLE(ROW(Data_Type))-1,OFFSET(Number_of_Data_Records,0,1)))),"")</f>
        <v>0</v>
      </c>
      <c r="I165" s="82">
        <f t="shared" ref="I165:I227" ca="1" si="5">IF(_xlfn.SINGLE(OFFSET(Data_Type,ROW()-_xlfn.SINGLE(ROW(Data_Type)),0))="numeric",_xlfn.AGGREGATE(5,6,(OFFSET(INDIRECT("'"&amp;OFFSET(Name_of_Data_Sheet,0,1)&amp;"'!A2"),1,ROW()-_xlfn.SINGLE(ROW(Data_Type))-1,OFFSET(Number_of_Data_Records,0,1)))),"")</f>
        <v>0</v>
      </c>
      <c r="J165" s="31"/>
    </row>
    <row r="166" spans="1:10" x14ac:dyDescent="0.25">
      <c r="A166" s="85" t="str">
        <f t="shared" ca="1" si="3"/>
        <v>D_TemperatureMin</v>
      </c>
      <c r="B166" s="68" t="s">
        <v>1823</v>
      </c>
      <c r="C166" s="68" t="s">
        <v>1779</v>
      </c>
      <c r="D166" s="68" t="s">
        <v>39</v>
      </c>
      <c r="E166" s="68"/>
      <c r="F166" s="68"/>
      <c r="G166" s="68"/>
      <c r="H166" s="82">
        <f t="shared" ca="1" si="4"/>
        <v>-33.6</v>
      </c>
      <c r="I166" s="82">
        <f t="shared" ca="1" si="5"/>
        <v>-33.6</v>
      </c>
      <c r="J166" s="31"/>
    </row>
    <row r="167" spans="1:10" x14ac:dyDescent="0.25">
      <c r="A167" s="85" t="str">
        <f t="shared" ca="1" si="3"/>
        <v>D_TemperatureMax</v>
      </c>
      <c r="B167" s="68" t="s">
        <v>1824</v>
      </c>
      <c r="C167" s="68" t="s">
        <v>1779</v>
      </c>
      <c r="D167" s="68" t="s">
        <v>39</v>
      </c>
      <c r="E167" s="68"/>
      <c r="F167" s="68"/>
      <c r="G167" s="68"/>
      <c r="H167" s="82">
        <f t="shared" ca="1" si="4"/>
        <v>-23.6999999999999</v>
      </c>
      <c r="I167" s="82">
        <f t="shared" ca="1" si="5"/>
        <v>-23.6999999999999</v>
      </c>
      <c r="J167" s="31"/>
    </row>
    <row r="168" spans="1:10" x14ac:dyDescent="0.25">
      <c r="A168" s="85" t="str">
        <f t="shared" ca="1" si="3"/>
        <v>D_CarbonDioxide</v>
      </c>
      <c r="B168" s="68" t="s">
        <v>1825</v>
      </c>
      <c r="C168" s="68" t="s">
        <v>1779</v>
      </c>
      <c r="D168" s="68" t="s">
        <v>241</v>
      </c>
      <c r="E168" s="68"/>
      <c r="F168" s="68"/>
      <c r="G168" s="68"/>
      <c r="H168" s="82">
        <f t="shared" ca="1" si="4"/>
        <v>400</v>
      </c>
      <c r="I168" s="82">
        <f t="shared" ca="1" si="5"/>
        <v>400</v>
      </c>
      <c r="J168" s="31"/>
    </row>
    <row r="169" spans="1:10" x14ac:dyDescent="0.25">
      <c r="A169" s="85" t="str">
        <f t="shared" ca="1" si="3"/>
        <v>D_NH4Input</v>
      </c>
      <c r="B169" s="68" t="s">
        <v>1826</v>
      </c>
      <c r="C169" s="68" t="s">
        <v>1779</v>
      </c>
      <c r="D169" s="68" t="s">
        <v>155</v>
      </c>
      <c r="E169" s="68"/>
      <c r="F169" s="68"/>
      <c r="G169" s="68"/>
      <c r="H169" s="82">
        <f t="shared" ca="1" si="4"/>
        <v>0</v>
      </c>
      <c r="I169" s="82">
        <f t="shared" ca="1" si="5"/>
        <v>0</v>
      </c>
      <c r="J169" s="31"/>
    </row>
    <row r="170" spans="1:10" x14ac:dyDescent="0.25">
      <c r="A170" s="85" t="str">
        <f t="shared" ca="1" si="3"/>
        <v>D_NO3Input</v>
      </c>
      <c r="B170" s="68" t="s">
        <v>1827</v>
      </c>
      <c r="C170" s="68" t="s">
        <v>1779</v>
      </c>
      <c r="D170" s="68" t="s">
        <v>155</v>
      </c>
      <c r="E170" s="68"/>
      <c r="F170" s="68"/>
      <c r="G170" s="68"/>
      <c r="H170" s="82">
        <f t="shared" ca="1" si="4"/>
        <v>0</v>
      </c>
      <c r="I170" s="82">
        <f t="shared" ca="1" si="5"/>
        <v>0</v>
      </c>
      <c r="J170" s="31"/>
    </row>
    <row r="171" spans="1:10" x14ac:dyDescent="0.25">
      <c r="A171" s="85" t="str">
        <f t="shared" ca="1" si="3"/>
        <v>D_PO4Input</v>
      </c>
      <c r="B171" s="68" t="s">
        <v>1828</v>
      </c>
      <c r="C171" s="68" t="s">
        <v>1779</v>
      </c>
      <c r="D171" s="68" t="s">
        <v>155</v>
      </c>
      <c r="E171" s="68"/>
      <c r="F171" s="68"/>
      <c r="G171" s="68"/>
      <c r="H171" s="82">
        <f t="shared" ca="1" si="4"/>
        <v>0</v>
      </c>
      <c r="I171" s="82">
        <f t="shared" ca="1" si="5"/>
        <v>0</v>
      </c>
      <c r="J171" s="31"/>
    </row>
    <row r="172" spans="1:10" x14ac:dyDescent="0.25">
      <c r="A172" s="85" t="str">
        <f t="shared" ca="1" si="3"/>
        <v>D_Precipitation</v>
      </c>
      <c r="B172" s="68" t="s">
        <v>1829</v>
      </c>
      <c r="C172" s="68" t="s">
        <v>1779</v>
      </c>
      <c r="D172" s="68" t="s">
        <v>715</v>
      </c>
      <c r="E172" s="68"/>
      <c r="F172" s="68"/>
      <c r="G172" s="68"/>
      <c r="H172" s="82">
        <f t="shared" ca="1" si="4"/>
        <v>0</v>
      </c>
      <c r="I172" s="82">
        <f t="shared" ca="1" si="5"/>
        <v>0</v>
      </c>
      <c r="J172" s="31"/>
    </row>
    <row r="173" spans="1:10" x14ac:dyDescent="0.25">
      <c r="A173" s="85" t="str">
        <f t="shared" ca="1" si="3"/>
        <v>D_DoCInput</v>
      </c>
      <c r="B173" s="68" t="s">
        <v>1830</v>
      </c>
      <c r="C173" s="68" t="s">
        <v>1779</v>
      </c>
      <c r="D173" s="68" t="s">
        <v>155</v>
      </c>
      <c r="E173" s="68"/>
      <c r="F173" s="68"/>
      <c r="G173" s="68"/>
      <c r="H173" s="82">
        <f t="shared" ca="1" si="4"/>
        <v>0</v>
      </c>
      <c r="I173" s="82">
        <f t="shared" ca="1" si="5"/>
        <v>0</v>
      </c>
      <c r="J173" s="31"/>
    </row>
    <row r="174" spans="1:10" x14ac:dyDescent="0.25">
      <c r="A174" s="85" t="str">
        <f t="shared" ca="1" si="3"/>
        <v>D_DoNInput</v>
      </c>
      <c r="B174" s="68" t="s">
        <v>1831</v>
      </c>
      <c r="C174" s="68" t="s">
        <v>1779</v>
      </c>
      <c r="D174" s="68" t="s">
        <v>155</v>
      </c>
      <c r="E174" s="68"/>
      <c r="F174" s="68"/>
      <c r="G174" s="68"/>
      <c r="H174" s="82">
        <f t="shared" ca="1" si="4"/>
        <v>0</v>
      </c>
      <c r="I174" s="82">
        <f t="shared" ca="1" si="5"/>
        <v>0</v>
      </c>
      <c r="J174" s="31"/>
    </row>
    <row r="175" spans="1:10" x14ac:dyDescent="0.25">
      <c r="A175" s="85" t="str">
        <f t="shared" ca="1" si="3"/>
        <v>D_ApatiteInput</v>
      </c>
      <c r="B175" s="68" t="s">
        <v>1832</v>
      </c>
      <c r="C175" s="68" t="s">
        <v>1779</v>
      </c>
      <c r="D175" s="68" t="s">
        <v>155</v>
      </c>
      <c r="E175" s="68"/>
      <c r="F175" s="68"/>
      <c r="G175" s="68"/>
      <c r="H175" s="82">
        <f t="shared" ca="1" si="4"/>
        <v>6.5753399999999896E-6</v>
      </c>
      <c r="I175" s="82">
        <f t="shared" ca="1" si="5"/>
        <v>6.5753399999999896E-6</v>
      </c>
      <c r="J175" s="31"/>
    </row>
    <row r="176" spans="1:10" x14ac:dyDescent="0.25">
      <c r="A176" s="85" t="str">
        <f t="shared" ca="1" si="3"/>
        <v>D_RunIn</v>
      </c>
      <c r="B176" s="68" t="s">
        <v>1833</v>
      </c>
      <c r="C176" s="68" t="s">
        <v>1779</v>
      </c>
      <c r="D176" s="68" t="s">
        <v>715</v>
      </c>
      <c r="E176" s="68"/>
      <c r="F176" s="68"/>
      <c r="G176" s="68"/>
      <c r="H176" s="82">
        <f t="shared" ca="1" si="4"/>
        <v>0</v>
      </c>
      <c r="I176" s="82">
        <f t="shared" ca="1" si="5"/>
        <v>0</v>
      </c>
      <c r="J176" s="31"/>
    </row>
    <row r="177" spans="1:10" x14ac:dyDescent="0.25">
      <c r="A177" s="85" t="str">
        <f t="shared" ca="1" si="3"/>
        <v>D_DoCInRunIn</v>
      </c>
      <c r="B177" s="68" t="s">
        <v>1834</v>
      </c>
      <c r="C177" s="68" t="s">
        <v>1779</v>
      </c>
      <c r="D177" s="68" t="s">
        <v>155</v>
      </c>
      <c r="E177" s="68"/>
      <c r="F177" s="68"/>
      <c r="G177" s="68"/>
      <c r="H177" s="82">
        <f t="shared" ca="1" si="4"/>
        <v>0</v>
      </c>
      <c r="I177" s="82">
        <f t="shared" ca="1" si="5"/>
        <v>0</v>
      </c>
      <c r="J177" s="31"/>
    </row>
    <row r="178" spans="1:10" x14ac:dyDescent="0.25">
      <c r="A178" s="85" t="str">
        <f t="shared" ca="1" si="3"/>
        <v>D_DoNInRunIn</v>
      </c>
      <c r="B178" s="68" t="s">
        <v>1835</v>
      </c>
      <c r="C178" s="68" t="s">
        <v>1779</v>
      </c>
      <c r="D178" s="68" t="s">
        <v>155</v>
      </c>
      <c r="E178" s="68"/>
      <c r="F178" s="68"/>
      <c r="G178" s="68"/>
      <c r="H178" s="82">
        <f t="shared" ca="1" si="4"/>
        <v>0</v>
      </c>
      <c r="I178" s="82">
        <f t="shared" ca="1" si="5"/>
        <v>0</v>
      </c>
      <c r="J178" s="31"/>
    </row>
    <row r="179" spans="1:10" x14ac:dyDescent="0.25">
      <c r="A179" s="85" t="str">
        <f t="shared" ca="1" si="3"/>
        <v>D_NH4InRunIn</v>
      </c>
      <c r="B179" s="68" t="s">
        <v>1837</v>
      </c>
      <c r="C179" s="68" t="s">
        <v>1779</v>
      </c>
      <c r="D179" s="68" t="s">
        <v>155</v>
      </c>
      <c r="E179" s="68"/>
      <c r="F179" s="68"/>
      <c r="G179" s="68"/>
      <c r="H179" s="82">
        <f t="shared" ca="1" si="4"/>
        <v>0</v>
      </c>
      <c r="I179" s="82">
        <f t="shared" ca="1" si="5"/>
        <v>0</v>
      </c>
      <c r="J179" s="31"/>
    </row>
    <row r="180" spans="1:10" x14ac:dyDescent="0.25">
      <c r="A180" s="85" t="str">
        <f t="shared" ca="1" si="3"/>
        <v>D_NO3InRunIn</v>
      </c>
      <c r="B180" s="68" t="s">
        <v>1836</v>
      </c>
      <c r="C180" s="68" t="s">
        <v>1779</v>
      </c>
      <c r="D180" s="68" t="s">
        <v>155</v>
      </c>
      <c r="E180" s="68"/>
      <c r="F180" s="68"/>
      <c r="G180" s="68"/>
      <c r="H180" s="82">
        <f t="shared" ca="1" si="4"/>
        <v>0</v>
      </c>
      <c r="I180" s="82">
        <f t="shared" ca="1" si="5"/>
        <v>0</v>
      </c>
      <c r="J180" s="31"/>
    </row>
    <row r="181" spans="1:10" x14ac:dyDescent="0.25">
      <c r="A181" s="85" t="str">
        <f t="shared" ca="1" si="3"/>
        <v>D_PO4InRunIn</v>
      </c>
      <c r="B181" s="68" t="s">
        <v>1838</v>
      </c>
      <c r="C181" s="68" t="s">
        <v>1779</v>
      </c>
      <c r="D181" s="68" t="s">
        <v>155</v>
      </c>
      <c r="E181" s="68"/>
      <c r="F181" s="68"/>
      <c r="G181" s="68"/>
      <c r="H181" s="82">
        <f t="shared" ca="1" si="4"/>
        <v>0</v>
      </c>
      <c r="I181" s="82">
        <f t="shared" ca="1" si="5"/>
        <v>0</v>
      </c>
      <c r="J181" s="31"/>
    </row>
    <row r="182" spans="1:10" ht="37.5" x14ac:dyDescent="0.25">
      <c r="A182" s="85" t="str">
        <f t="shared" ca="1" si="3"/>
        <v>D_ObservedSeries1</v>
      </c>
      <c r="B182" s="68" t="s">
        <v>1839</v>
      </c>
      <c r="C182" s="68" t="s">
        <v>1779</v>
      </c>
      <c r="D182" s="68" t="s">
        <v>96</v>
      </c>
      <c r="E182" s="68"/>
      <c r="F182" s="68"/>
      <c r="G182" s="68"/>
      <c r="H182" s="82">
        <f t="shared" ca="1" si="4"/>
        <v>0</v>
      </c>
      <c r="I182" s="82">
        <f t="shared" ca="1" si="5"/>
        <v>0</v>
      </c>
      <c r="J182" s="31"/>
    </row>
    <row r="183" spans="1:10" ht="37.5" x14ac:dyDescent="0.25">
      <c r="A183" s="85" t="str">
        <f t="shared" ca="1" si="3"/>
        <v>D_ObservedSeries2</v>
      </c>
      <c r="B183" s="68" t="s">
        <v>1839</v>
      </c>
      <c r="C183" s="68" t="s">
        <v>1779</v>
      </c>
      <c r="D183" s="68" t="s">
        <v>96</v>
      </c>
      <c r="E183" s="68"/>
      <c r="F183" s="68"/>
      <c r="G183" s="68"/>
      <c r="H183" s="82">
        <f t="shared" ca="1" si="4"/>
        <v>0</v>
      </c>
      <c r="I183" s="82">
        <f t="shared" ca="1" si="5"/>
        <v>0</v>
      </c>
      <c r="J183" s="31"/>
    </row>
    <row r="184" spans="1:10" x14ac:dyDescent="0.25">
      <c r="A184" s="85" t="str">
        <f t="shared" ca="1" si="3"/>
        <v>biomassC</v>
      </c>
      <c r="B184" s="68" t="s">
        <v>1928</v>
      </c>
      <c r="C184" s="68" t="s">
        <v>1779</v>
      </c>
      <c r="D184" s="68" t="s">
        <v>155</v>
      </c>
      <c r="E184" s="68"/>
      <c r="F184" s="68"/>
      <c r="G184" s="68"/>
      <c r="H184" s="82">
        <f t="shared" ca="1" si="4"/>
        <v>735.08362231093804</v>
      </c>
      <c r="I184" s="82">
        <f t="shared" ca="1" si="5"/>
        <v>645.489874128108</v>
      </c>
      <c r="J184" s="31"/>
    </row>
    <row r="185" spans="1:10" x14ac:dyDescent="0.25">
      <c r="A185" s="85" t="str">
        <f t="shared" ca="1" si="3"/>
        <v>biomassN</v>
      </c>
      <c r="B185" s="156" t="s">
        <v>1929</v>
      </c>
      <c r="C185" s="68" t="s">
        <v>1779</v>
      </c>
      <c r="D185" s="68" t="s">
        <v>155</v>
      </c>
      <c r="E185" s="68"/>
      <c r="F185" s="68"/>
      <c r="G185" s="68"/>
      <c r="H185" s="82">
        <f t="shared" ca="1" si="4"/>
        <v>14.490908356509999</v>
      </c>
      <c r="I185" s="82">
        <f t="shared" ca="1" si="5"/>
        <v>12.9674737723489</v>
      </c>
      <c r="J185" s="31"/>
    </row>
    <row r="186" spans="1:10" x14ac:dyDescent="0.25">
      <c r="A186" s="85" t="str">
        <f t="shared" ca="1" si="3"/>
        <v>biomassP</v>
      </c>
      <c r="B186" s="68" t="s">
        <v>1930</v>
      </c>
      <c r="C186" s="68" t="s">
        <v>1779</v>
      </c>
      <c r="D186" s="68" t="s">
        <v>155</v>
      </c>
      <c r="E186" s="68"/>
      <c r="F186" s="68"/>
      <c r="G186" s="68"/>
      <c r="H186" s="82">
        <f t="shared" ca="1" si="4"/>
        <v>1.40237680012371</v>
      </c>
      <c r="I186" s="82">
        <f t="shared" ca="1" si="5"/>
        <v>1.2664572624130199</v>
      </c>
      <c r="J186" s="31"/>
    </row>
    <row r="187" spans="1:10" x14ac:dyDescent="0.25">
      <c r="A187" s="85" t="str">
        <f t="shared" ca="1" si="3"/>
        <v>effortC</v>
      </c>
      <c r="B187" s="68" t="s">
        <v>1931</v>
      </c>
      <c r="C187" s="68" t="s">
        <v>1779</v>
      </c>
      <c r="D187" s="68" t="s">
        <v>96</v>
      </c>
      <c r="E187" s="68"/>
      <c r="F187" s="68"/>
      <c r="G187" s="68"/>
      <c r="H187" s="82">
        <f t="shared" ca="1" si="4"/>
        <v>0.41279728480931199</v>
      </c>
      <c r="I187" s="82">
        <f t="shared" ca="1" si="5"/>
        <v>0.27314010155741397</v>
      </c>
      <c r="J187" s="31"/>
    </row>
    <row r="188" spans="1:10" x14ac:dyDescent="0.25">
      <c r="A188" s="85" t="str">
        <f t="shared" ca="1" si="3"/>
        <v>effortN</v>
      </c>
      <c r="B188" s="68" t="s">
        <v>1932</v>
      </c>
      <c r="C188" s="68" t="s">
        <v>1779</v>
      </c>
      <c r="D188" s="68" t="s">
        <v>96</v>
      </c>
      <c r="E188" s="68"/>
      <c r="F188" s="68"/>
      <c r="G188" s="68"/>
      <c r="H188" s="82">
        <f t="shared" ca="1" si="4"/>
        <v>0.294837447039145</v>
      </c>
      <c r="I188" s="82">
        <f t="shared" ca="1" si="5"/>
        <v>0.26525011621641298</v>
      </c>
      <c r="J188" s="31"/>
    </row>
    <row r="189" spans="1:10" x14ac:dyDescent="0.25">
      <c r="A189" s="85" t="str">
        <f t="shared" ca="1" si="3"/>
        <v>effortP</v>
      </c>
      <c r="B189" s="68" t="s">
        <v>1933</v>
      </c>
      <c r="C189" s="68" t="s">
        <v>1779</v>
      </c>
      <c r="D189" s="68" t="s">
        <v>96</v>
      </c>
      <c r="E189" s="68"/>
      <c r="F189" s="68"/>
      <c r="G189" s="68"/>
      <c r="H189" s="82">
        <f t="shared" ca="1" si="4"/>
        <v>0.46160978222617199</v>
      </c>
      <c r="I189" s="82">
        <f t="shared" ca="1" si="5"/>
        <v>0.29405139420855497</v>
      </c>
      <c r="J189" s="31"/>
    </row>
    <row r="190" spans="1:10" x14ac:dyDescent="0.25">
      <c r="A190" s="85" t="str">
        <f t="shared" ca="1" si="3"/>
        <v>subEffortCO2</v>
      </c>
      <c r="B190" s="68" t="s">
        <v>1934</v>
      </c>
      <c r="C190" s="68" t="s">
        <v>1779</v>
      </c>
      <c r="D190" s="68" t="s">
        <v>96</v>
      </c>
      <c r="E190" s="68"/>
      <c r="F190" s="68"/>
      <c r="G190" s="68"/>
      <c r="H190" s="82">
        <f t="shared" ca="1" si="4"/>
        <v>0.113308168826376</v>
      </c>
      <c r="I190" s="82">
        <f t="shared" ca="1" si="5"/>
        <v>0.112421996739846</v>
      </c>
      <c r="J190" s="31"/>
    </row>
    <row r="191" spans="1:10" x14ac:dyDescent="0.25">
      <c r="A191" s="85" t="str">
        <f t="shared" ca="1" si="3"/>
        <v>subEffortLight</v>
      </c>
      <c r="B191" s="68" t="s">
        <v>1936</v>
      </c>
      <c r="C191" s="68" t="s">
        <v>1779</v>
      </c>
      <c r="D191" s="68" t="s">
        <v>96</v>
      </c>
      <c r="E191" s="68"/>
      <c r="F191" s="68"/>
      <c r="G191" s="68"/>
      <c r="H191" s="82">
        <f t="shared" ca="1" si="4"/>
        <v>0.551207798910747</v>
      </c>
      <c r="I191" s="82">
        <f t="shared" ca="1" si="5"/>
        <v>0.48332812961385901</v>
      </c>
      <c r="J191" s="31"/>
    </row>
    <row r="192" spans="1:10" x14ac:dyDescent="0.25">
      <c r="A192" s="85" t="str">
        <f t="shared" ca="1" si="3"/>
        <v>subEffortH2O</v>
      </c>
      <c r="B192" s="68" t="s">
        <v>1935</v>
      </c>
      <c r="C192" s="68" t="s">
        <v>1779</v>
      </c>
      <c r="D192" s="68" t="s">
        <v>96</v>
      </c>
      <c r="E192" s="68"/>
      <c r="F192" s="68"/>
      <c r="G192" s="68"/>
      <c r="H192" s="82">
        <f t="shared" ca="1" si="4"/>
        <v>0.40340664221366401</v>
      </c>
      <c r="I192" s="82">
        <f t="shared" ca="1" si="5"/>
        <v>0.33615383560236201</v>
      </c>
      <c r="J192" s="31"/>
    </row>
    <row r="193" spans="1:10" x14ac:dyDescent="0.25">
      <c r="A193" s="85" t="str">
        <f t="shared" ca="1" si="3"/>
        <v>subEffortNH4</v>
      </c>
      <c r="B193" s="68" t="s">
        <v>1937</v>
      </c>
      <c r="C193" s="68" t="s">
        <v>1779</v>
      </c>
      <c r="D193" s="68" t="s">
        <v>96</v>
      </c>
      <c r="E193" s="68"/>
      <c r="F193" s="68"/>
      <c r="G193" s="68"/>
      <c r="H193" s="82">
        <f t="shared" ca="1" si="4"/>
        <v>0.88458019201863403</v>
      </c>
      <c r="I193" s="82">
        <f t="shared" ca="1" si="5"/>
        <v>0.88377438379386297</v>
      </c>
      <c r="J193" s="31"/>
    </row>
    <row r="194" spans="1:10" x14ac:dyDescent="0.25">
      <c r="A194" s="85" t="str">
        <f t="shared" ca="1" si="3"/>
        <v>subEffortNO3</v>
      </c>
      <c r="B194" s="68" t="s">
        <v>1938</v>
      </c>
      <c r="C194" s="68" t="s">
        <v>1779</v>
      </c>
      <c r="D194" s="68" t="s">
        <v>96</v>
      </c>
      <c r="E194" s="68"/>
      <c r="F194" s="68"/>
      <c r="G194" s="68"/>
      <c r="H194" s="82">
        <f t="shared" ca="1" si="4"/>
        <v>4.6285776131415102E-2</v>
      </c>
      <c r="I194" s="82">
        <f t="shared" ca="1" si="5"/>
        <v>3.6617704850307499E-2</v>
      </c>
      <c r="J194" s="31"/>
    </row>
    <row r="195" spans="1:10" x14ac:dyDescent="0.25">
      <c r="A195" s="85" t="str">
        <f t="shared" ca="1" si="3"/>
        <v>subEffortDoN</v>
      </c>
      <c r="B195" s="68" t="s">
        <v>1939</v>
      </c>
      <c r="C195" s="68" t="s">
        <v>1779</v>
      </c>
      <c r="D195" s="68" t="s">
        <v>96</v>
      </c>
      <c r="E195" s="68"/>
      <c r="F195" s="68"/>
      <c r="G195" s="68"/>
      <c r="H195" s="82">
        <f t="shared" ca="1" si="4"/>
        <v>7.8964017527115099E-2</v>
      </c>
      <c r="I195" s="82">
        <f t="shared" ca="1" si="5"/>
        <v>6.9505509409822003E-2</v>
      </c>
      <c r="J195" s="31"/>
    </row>
    <row r="196" spans="1:10" x14ac:dyDescent="0.25">
      <c r="A196" s="85" t="str">
        <f t="shared" ca="1" si="3"/>
        <v>subEffortNfix</v>
      </c>
      <c r="B196" s="68" t="s">
        <v>1934</v>
      </c>
      <c r="C196" s="68" t="s">
        <v>1779</v>
      </c>
      <c r="D196" s="68" t="s">
        <v>96</v>
      </c>
      <c r="E196" s="68"/>
      <c r="F196" s="68"/>
      <c r="G196" s="68"/>
      <c r="H196" s="82">
        <f t="shared" ca="1" si="4"/>
        <v>0</v>
      </c>
      <c r="I196" s="82">
        <f t="shared" ca="1" si="5"/>
        <v>0</v>
      </c>
      <c r="J196" s="31"/>
    </row>
    <row r="197" spans="1:10" x14ac:dyDescent="0.25">
      <c r="A197" s="85" t="str">
        <f t="shared" ca="1" si="3"/>
        <v>PhaseISOMC</v>
      </c>
      <c r="B197" s="68" t="s">
        <v>1940</v>
      </c>
      <c r="C197" s="68" t="s">
        <v>1779</v>
      </c>
      <c r="D197" s="68" t="s">
        <v>155</v>
      </c>
      <c r="E197" s="68"/>
      <c r="F197" s="68"/>
      <c r="G197" s="68"/>
      <c r="H197" s="82">
        <f t="shared" ca="1" si="4"/>
        <v>3450.4382352152602</v>
      </c>
      <c r="I197" s="82">
        <f t="shared" ca="1" si="5"/>
        <v>3387.0743890881099</v>
      </c>
      <c r="J197" s="31"/>
    </row>
    <row r="198" spans="1:10" x14ac:dyDescent="0.25">
      <c r="A198" s="85" t="str">
        <f t="shared" ca="1" si="3"/>
        <v>PhaseISOMN</v>
      </c>
      <c r="B198" s="68" t="s">
        <v>1942</v>
      </c>
      <c r="C198" s="68" t="s">
        <v>1779</v>
      </c>
      <c r="D198" s="68" t="s">
        <v>155</v>
      </c>
      <c r="E198" s="68"/>
      <c r="F198" s="68"/>
      <c r="G198" s="68"/>
      <c r="H198" s="82">
        <f t="shared" ca="1" si="4"/>
        <v>81.000001764030998</v>
      </c>
      <c r="I198" s="82">
        <f t="shared" ca="1" si="5"/>
        <v>78.5588721531755</v>
      </c>
      <c r="J198" s="31"/>
    </row>
    <row r="199" spans="1:10" x14ac:dyDescent="0.25">
      <c r="A199" s="85" t="str">
        <f t="shared" ca="1" si="3"/>
        <v>PhaseISOMP</v>
      </c>
      <c r="B199" s="68" t="s">
        <v>1943</v>
      </c>
      <c r="C199" s="68" t="s">
        <v>1779</v>
      </c>
      <c r="D199" s="68" t="s">
        <v>155</v>
      </c>
      <c r="E199" s="68"/>
      <c r="F199" s="68"/>
      <c r="G199" s="68"/>
      <c r="H199" s="82">
        <f t="shared" ca="1" si="4"/>
        <v>8.1660513819296199</v>
      </c>
      <c r="I199" s="82">
        <f t="shared" ca="1" si="5"/>
        <v>8.1106302860974502</v>
      </c>
      <c r="J199" s="31"/>
    </row>
    <row r="200" spans="1:10" x14ac:dyDescent="0.25">
      <c r="A200" s="85" t="str">
        <f t="shared" ca="1" si="3"/>
        <v>WoodyDebrisC</v>
      </c>
      <c r="B200" s="68" t="s">
        <v>1944</v>
      </c>
      <c r="C200" s="68" t="s">
        <v>1779</v>
      </c>
      <c r="D200" s="68" t="s">
        <v>155</v>
      </c>
      <c r="E200" s="68"/>
      <c r="F200" s="68"/>
      <c r="G200" s="68"/>
      <c r="H200" s="82">
        <f t="shared" ca="1" si="4"/>
        <v>420.97332465050101</v>
      </c>
      <c r="I200" s="82">
        <f t="shared" ca="1" si="5"/>
        <v>390.00741339953902</v>
      </c>
      <c r="J200" s="31"/>
    </row>
    <row r="201" spans="1:10" x14ac:dyDescent="0.25">
      <c r="A201" s="85" t="str">
        <f t="shared" ca="1" si="3"/>
        <v>WoodyDebrisN</v>
      </c>
      <c r="B201" s="68" t="s">
        <v>1945</v>
      </c>
      <c r="C201" s="68" t="s">
        <v>1779</v>
      </c>
      <c r="D201" s="68" t="s">
        <v>155</v>
      </c>
      <c r="E201" s="68"/>
      <c r="F201" s="68"/>
      <c r="G201" s="68"/>
      <c r="H201" s="82">
        <f t="shared" ca="1" si="4"/>
        <v>7.8169094671325796</v>
      </c>
      <c r="I201" s="82">
        <f t="shared" ca="1" si="5"/>
        <v>7.2419140680368796</v>
      </c>
      <c r="J201" s="31"/>
    </row>
    <row r="202" spans="1:10" x14ac:dyDescent="0.25">
      <c r="A202" s="85" t="str">
        <f t="shared" ca="1" si="3"/>
        <v>WoodyDebrisP</v>
      </c>
      <c r="B202" s="68" t="s">
        <v>1946</v>
      </c>
      <c r="C202" s="68" t="s">
        <v>1779</v>
      </c>
      <c r="D202" s="68" t="s">
        <v>155</v>
      </c>
      <c r="E202" s="68"/>
      <c r="F202" s="68"/>
      <c r="G202" s="68"/>
      <c r="H202" s="82">
        <f t="shared" ca="1" si="4"/>
        <v>0.87689241263645701</v>
      </c>
      <c r="I202" s="82">
        <f t="shared" ca="1" si="5"/>
        <v>0.81239005337441705</v>
      </c>
      <c r="J202" s="31"/>
    </row>
    <row r="203" spans="1:10" x14ac:dyDescent="0.25">
      <c r="A203" s="85" t="str">
        <f t="shared" ca="1" si="3"/>
        <v>PhaseIISOMC</v>
      </c>
      <c r="B203" s="68" t="s">
        <v>1941</v>
      </c>
      <c r="C203" s="68" t="s">
        <v>1779</v>
      </c>
      <c r="D203" s="68" t="s">
        <v>155</v>
      </c>
      <c r="E203" s="68"/>
      <c r="F203" s="68"/>
      <c r="G203" s="68"/>
      <c r="H203" s="82">
        <f t="shared" ca="1" si="4"/>
        <v>8709.5431124267307</v>
      </c>
      <c r="I203" s="82">
        <f t="shared" ca="1" si="5"/>
        <v>8685.4981964844101</v>
      </c>
      <c r="J203" s="31"/>
    </row>
    <row r="204" spans="1:10" x14ac:dyDescent="0.25">
      <c r="A204" s="85" t="str">
        <f t="shared" ca="1" si="3"/>
        <v>PhaseIISOMN</v>
      </c>
      <c r="B204" s="68" t="s">
        <v>1947</v>
      </c>
      <c r="C204" s="68" t="s">
        <v>1779</v>
      </c>
      <c r="D204" s="68" t="s">
        <v>155</v>
      </c>
      <c r="E204" s="68"/>
      <c r="F204" s="68"/>
      <c r="G204" s="68"/>
      <c r="H204" s="82">
        <f t="shared" ca="1" si="4"/>
        <v>313.26271794765501</v>
      </c>
      <c r="I204" s="82">
        <f t="shared" ca="1" si="5"/>
        <v>312.39787628791601</v>
      </c>
      <c r="J204" s="31"/>
    </row>
    <row r="205" spans="1:10" x14ac:dyDescent="0.25">
      <c r="A205" s="85" t="str">
        <f t="shared" ca="1" si="3"/>
        <v>PhaseIISOMP</v>
      </c>
      <c r="B205" s="68" t="s">
        <v>1948</v>
      </c>
      <c r="C205" s="68" t="s">
        <v>1779</v>
      </c>
      <c r="D205" s="68" t="s">
        <v>155</v>
      </c>
      <c r="E205" s="68"/>
      <c r="F205" s="68"/>
      <c r="G205" s="68"/>
      <c r="H205" s="82">
        <f t="shared" ca="1" si="4"/>
        <v>31.326271794765201</v>
      </c>
      <c r="I205" s="82">
        <f t="shared" ca="1" si="5"/>
        <v>31.239787628791401</v>
      </c>
      <c r="J205" s="31"/>
    </row>
    <row r="206" spans="1:10" x14ac:dyDescent="0.25">
      <c r="A206" s="85" t="str">
        <f t="shared" ca="1" si="3"/>
        <v>NH4</v>
      </c>
      <c r="B206" s="68" t="s">
        <v>1949</v>
      </c>
      <c r="C206" s="68" t="s">
        <v>1779</v>
      </c>
      <c r="D206" s="68" t="s">
        <v>155</v>
      </c>
      <c r="E206" s="68"/>
      <c r="F206" s="68"/>
      <c r="G206" s="68"/>
      <c r="H206" s="82">
        <f t="shared" ca="1" si="4"/>
        <v>3.0755436031047901E-2</v>
      </c>
      <c r="I206" s="82">
        <f t="shared" ca="1" si="5"/>
        <v>2.8331169888038001E-2</v>
      </c>
      <c r="J206" s="31"/>
    </row>
    <row r="207" spans="1:10" x14ac:dyDescent="0.25">
      <c r="A207" s="85" t="str">
        <f t="shared" ca="1" si="3"/>
        <v>NO3</v>
      </c>
      <c r="B207" s="68" t="s">
        <v>1950</v>
      </c>
      <c r="C207" s="68" t="s">
        <v>1779</v>
      </c>
      <c r="D207" s="68" t="s">
        <v>155</v>
      </c>
      <c r="E207" s="68"/>
      <c r="F207" s="68"/>
      <c r="G207" s="68"/>
      <c r="H207" s="82">
        <f t="shared" ca="1" si="4"/>
        <v>6.4437169925571098E-3</v>
      </c>
      <c r="I207" s="82">
        <f t="shared" ca="1" si="5"/>
        <v>5.7241186900902899E-3</v>
      </c>
      <c r="J207" s="31"/>
    </row>
    <row r="208" spans="1:10" x14ac:dyDescent="0.25">
      <c r="A208" s="85" t="str">
        <f t="shared" ca="1" si="3"/>
        <v>PO4</v>
      </c>
      <c r="B208" s="68" t="s">
        <v>1951</v>
      </c>
      <c r="C208" s="68" t="s">
        <v>1779</v>
      </c>
      <c r="D208" s="68" t="s">
        <v>155</v>
      </c>
      <c r="E208" s="68"/>
      <c r="F208" s="68"/>
      <c r="G208" s="68"/>
      <c r="H208" s="82">
        <f t="shared" ca="1" si="4"/>
        <v>3.0113291429396401E-2</v>
      </c>
      <c r="I208" s="82">
        <f t="shared" ca="1" si="5"/>
        <v>1.7861048948317498E-2</v>
      </c>
      <c r="J208" s="31"/>
    </row>
    <row r="209" spans="1:10" x14ac:dyDescent="0.25">
      <c r="A209" s="85" t="str">
        <f t="shared" ca="1" si="3"/>
        <v>PPrimaryMin</v>
      </c>
      <c r="B209" s="68" t="s">
        <v>1952</v>
      </c>
      <c r="C209" s="68" t="s">
        <v>1779</v>
      </c>
      <c r="D209" s="68" t="s">
        <v>155</v>
      </c>
      <c r="E209" s="68"/>
      <c r="F209" s="68"/>
      <c r="G209" s="68"/>
      <c r="H209" s="82">
        <f t="shared" ca="1" si="4"/>
        <v>9.48</v>
      </c>
      <c r="I209" s="82">
        <f t="shared" ca="1" si="5"/>
        <v>9.48</v>
      </c>
      <c r="J209" s="31"/>
    </row>
    <row r="210" spans="1:10" x14ac:dyDescent="0.25">
      <c r="A210" s="85" t="str">
        <f t="shared" ca="1" si="3"/>
        <v>PNon_Occluded</v>
      </c>
      <c r="B210" s="68" t="s">
        <v>1953</v>
      </c>
      <c r="C210" s="68" t="s">
        <v>1779</v>
      </c>
      <c r="D210" s="68" t="s">
        <v>155</v>
      </c>
      <c r="E210" s="68"/>
      <c r="F210" s="68"/>
      <c r="G210" s="68"/>
      <c r="H210" s="82">
        <f t="shared" ca="1" si="4"/>
        <v>6.0000000610200104</v>
      </c>
      <c r="I210" s="82">
        <f t="shared" ca="1" si="5"/>
        <v>5.95778989946806</v>
      </c>
      <c r="J210" s="31"/>
    </row>
    <row r="211" spans="1:10" x14ac:dyDescent="0.25">
      <c r="A211" s="85" t="str">
        <f t="shared" ca="1" si="3"/>
        <v>POccluded</v>
      </c>
      <c r="B211" s="68" t="s">
        <v>1954</v>
      </c>
      <c r="C211" s="68" t="s">
        <v>1779</v>
      </c>
      <c r="D211" s="68" t="s">
        <v>155</v>
      </c>
      <c r="E211" s="68"/>
      <c r="F211" s="68"/>
      <c r="G211" s="68"/>
      <c r="H211" s="82">
        <f t="shared" ca="1" si="4"/>
        <v>0</v>
      </c>
      <c r="I211" s="82">
        <f t="shared" ca="1" si="5"/>
        <v>0</v>
      </c>
      <c r="J211" s="31"/>
    </row>
    <row r="212" spans="1:10" x14ac:dyDescent="0.25">
      <c r="A212" s="85" t="str">
        <f t="shared" ca="1" si="3"/>
        <v>water</v>
      </c>
      <c r="B212" s="68" t="s">
        <v>1955</v>
      </c>
      <c r="C212" s="68" t="s">
        <v>1779</v>
      </c>
      <c r="D212" s="68" t="s">
        <v>155</v>
      </c>
      <c r="E212" s="68"/>
      <c r="F212" s="68"/>
      <c r="G212" s="68"/>
      <c r="H212" s="82">
        <f t="shared" ca="1" si="4"/>
        <v>85.7306833892833</v>
      </c>
      <c r="I212" s="82">
        <f t="shared" ca="1" si="5"/>
        <v>83.264997673760604</v>
      </c>
      <c r="J212" s="31"/>
    </row>
    <row r="213" spans="1:10" x14ac:dyDescent="0.25">
      <c r="A213" s="85" t="str">
        <f t="shared" ca="1" si="3"/>
        <v>snowPack</v>
      </c>
      <c r="B213" s="68" t="s">
        <v>1956</v>
      </c>
      <c r="C213" s="68" t="s">
        <v>1779</v>
      </c>
      <c r="D213" s="68" t="s">
        <v>155</v>
      </c>
      <c r="E213" s="68"/>
      <c r="F213" s="68"/>
      <c r="G213" s="68"/>
      <c r="H213" s="82">
        <f t="shared" ca="1" si="4"/>
        <v>66.797038713633398</v>
      </c>
      <c r="I213" s="82">
        <f t="shared" ca="1" si="5"/>
        <v>65.850927625845102</v>
      </c>
      <c r="J213" s="31"/>
    </row>
    <row r="214" spans="1:10" x14ac:dyDescent="0.25">
      <c r="A214" s="85" t="str">
        <f t="shared" ca="1" si="3"/>
        <v>SoilHeat</v>
      </c>
      <c r="B214" s="68" t="s">
        <v>1957</v>
      </c>
      <c r="C214" s="68" t="s">
        <v>1779</v>
      </c>
      <c r="D214" s="68" t="s">
        <v>96</v>
      </c>
      <c r="E214" s="68"/>
      <c r="F214" s="68"/>
      <c r="G214" s="68"/>
      <c r="H214" s="82">
        <f t="shared" ca="1" si="4"/>
        <v>361.67382307893502</v>
      </c>
      <c r="I214" s="82">
        <f t="shared" ca="1" si="5"/>
        <v>361.41263699424002</v>
      </c>
      <c r="J214" s="31"/>
    </row>
    <row r="215" spans="1:10" x14ac:dyDescent="0.25">
      <c r="A215" s="85" t="str">
        <f t="shared" ca="1" si="3"/>
        <v>canopyFraction</v>
      </c>
      <c r="B215" s="68" t="s">
        <v>1958</v>
      </c>
      <c r="C215" s="68" t="s">
        <v>1779</v>
      </c>
      <c r="D215" s="68" t="s">
        <v>155</v>
      </c>
      <c r="E215" s="68"/>
      <c r="F215" s="68"/>
      <c r="G215" s="68"/>
      <c r="H215" s="82">
        <f t="shared" ca="1" si="4"/>
        <v>0.54833294000258903</v>
      </c>
      <c r="I215" s="82">
        <f t="shared" ca="1" si="5"/>
        <v>0.54833294000257904</v>
      </c>
      <c r="J215" s="31"/>
    </row>
    <row r="216" spans="1:10" x14ac:dyDescent="0.25">
      <c r="A216" s="85" t="str">
        <f t="shared" ca="1" si="3"/>
        <v>AveRequirementC</v>
      </c>
      <c r="B216" s="68" t="s">
        <v>1959</v>
      </c>
      <c r="C216" s="68" t="s">
        <v>1779</v>
      </c>
      <c r="D216" s="68" t="s">
        <v>155</v>
      </c>
      <c r="E216" s="68"/>
      <c r="F216" s="68"/>
      <c r="G216" s="68"/>
      <c r="H216" s="82">
        <f t="shared" ca="1" si="4"/>
        <v>0.86183193722367801</v>
      </c>
      <c r="I216" s="82">
        <f t="shared" ca="1" si="5"/>
        <v>0.80210590825489503</v>
      </c>
      <c r="J216" s="31"/>
    </row>
    <row r="217" spans="1:10" x14ac:dyDescent="0.25">
      <c r="A217" s="85" t="str">
        <f t="shared" ca="1" si="3"/>
        <v>AveRequirementN</v>
      </c>
      <c r="B217" s="68" t="s">
        <v>1960</v>
      </c>
      <c r="C217" s="68" t="s">
        <v>1779</v>
      </c>
      <c r="D217" s="68" t="s">
        <v>155</v>
      </c>
      <c r="E217" s="68"/>
      <c r="F217" s="68"/>
      <c r="G217" s="68"/>
      <c r="H217" s="82">
        <f t="shared" ca="1" si="4"/>
        <v>1.43203965057262E-2</v>
      </c>
      <c r="I217" s="82">
        <f t="shared" ca="1" si="5"/>
        <v>1.3567816377476401E-2</v>
      </c>
      <c r="J217" s="31"/>
    </row>
    <row r="218" spans="1:10" x14ac:dyDescent="0.25">
      <c r="A218" s="85" t="str">
        <f t="shared" ca="1" si="3"/>
        <v>AveRequirementP</v>
      </c>
      <c r="B218" s="68" t="s">
        <v>1961</v>
      </c>
      <c r="C218" s="68" t="s">
        <v>1779</v>
      </c>
      <c r="D218" s="68" t="s">
        <v>155</v>
      </c>
      <c r="E218" s="68"/>
      <c r="F218" s="68"/>
      <c r="G218" s="68"/>
      <c r="H218" s="82">
        <f t="shared" ca="1" si="4"/>
        <v>1.2009505595575499E-3</v>
      </c>
      <c r="I218" s="82">
        <f t="shared" ca="1" si="5"/>
        <v>1.1316864213380901E-3</v>
      </c>
      <c r="J218" s="31"/>
    </row>
    <row r="219" spans="1:10" x14ac:dyDescent="0.25">
      <c r="A219" s="85" t="str">
        <f t="shared" ca="1" si="3"/>
        <v>AveAcquisitionC</v>
      </c>
      <c r="B219" s="68" t="s">
        <v>1962</v>
      </c>
      <c r="C219" s="68" t="s">
        <v>1779</v>
      </c>
      <c r="D219" s="68" t="s">
        <v>155</v>
      </c>
      <c r="E219" s="68"/>
      <c r="F219" s="68"/>
      <c r="G219" s="68"/>
      <c r="H219" s="82">
        <f t="shared" ca="1" si="4"/>
        <v>0.60463253033108999</v>
      </c>
      <c r="I219" s="82">
        <f t="shared" ca="1" si="5"/>
        <v>0.58219057804652097</v>
      </c>
      <c r="J219" s="31"/>
    </row>
    <row r="220" spans="1:10" x14ac:dyDescent="0.25">
      <c r="A220" s="85" t="str">
        <f t="shared" ca="1" si="3"/>
        <v>AveAcquisitionN</v>
      </c>
      <c r="B220" s="68" t="s">
        <v>1963</v>
      </c>
      <c r="C220" s="68" t="s">
        <v>1779</v>
      </c>
      <c r="D220" s="68" t="s">
        <v>155</v>
      </c>
      <c r="E220" s="68"/>
      <c r="F220" s="68"/>
      <c r="G220" s="68"/>
      <c r="H220" s="82">
        <f t="shared" ca="1" si="4"/>
        <v>9.3896865303992102E-3</v>
      </c>
      <c r="I220" s="82">
        <f t="shared" ca="1" si="5"/>
        <v>8.9953383657061202E-3</v>
      </c>
      <c r="J220" s="31"/>
    </row>
    <row r="221" spans="1:10" x14ac:dyDescent="0.25">
      <c r="A221" s="85" t="str">
        <f t="shared" ca="1" si="3"/>
        <v>AveAcquisitionP</v>
      </c>
      <c r="B221" s="68" t="s">
        <v>1964</v>
      </c>
      <c r="C221" s="68" t="s">
        <v>1779</v>
      </c>
      <c r="D221" s="68" t="s">
        <v>155</v>
      </c>
      <c r="E221" s="68"/>
      <c r="F221" s="68"/>
      <c r="G221" s="68"/>
      <c r="H221" s="82">
        <f t="shared" ca="1" si="4"/>
        <v>7.6275536178908702E-4</v>
      </c>
      <c r="I221" s="82">
        <f t="shared" ca="1" si="5"/>
        <v>7.5205196200124602E-4</v>
      </c>
      <c r="J221" s="31"/>
    </row>
    <row r="222" spans="1:10" x14ac:dyDescent="0.25">
      <c r="A222" s="85" t="str">
        <f t="shared" ca="1" si="3"/>
        <v>DegreeDayPositive</v>
      </c>
      <c r="B222" s="68" t="s">
        <v>1965</v>
      </c>
      <c r="C222" s="68" t="s">
        <v>1779</v>
      </c>
      <c r="D222" s="68" t="s">
        <v>39</v>
      </c>
      <c r="E222" s="68"/>
      <c r="F222" s="68"/>
      <c r="G222" s="68"/>
      <c r="H222" s="82">
        <f t="shared" ca="1" si="4"/>
        <v>766.29999847710098</v>
      </c>
      <c r="I222" s="82">
        <f t="shared" ca="1" si="5"/>
        <v>766.29999847710098</v>
      </c>
      <c r="J222" s="31"/>
    </row>
    <row r="223" spans="1:10" ht="16.5" customHeight="1" x14ac:dyDescent="0.25">
      <c r="A223" s="85" t="str">
        <f t="shared" ca="1" si="3"/>
        <v>DegreeDayNegative</v>
      </c>
      <c r="B223" s="68" t="s">
        <v>1966</v>
      </c>
      <c r="C223" s="68" t="s">
        <v>1779</v>
      </c>
      <c r="D223" s="68" t="s">
        <v>39</v>
      </c>
      <c r="E223" s="68"/>
      <c r="F223" s="68"/>
      <c r="G223" s="68"/>
      <c r="H223" s="82">
        <f t="shared" ca="1" si="4"/>
        <v>-1626.59999865293</v>
      </c>
      <c r="I223" s="82">
        <f t="shared" ca="1" si="5"/>
        <v>-1626.59999865293</v>
      </c>
      <c r="J223" s="31"/>
    </row>
    <row r="224" spans="1:10" ht="15.75" customHeight="1" x14ac:dyDescent="0.25">
      <c r="A224" s="85" t="str">
        <f t="shared" ca="1" si="3"/>
        <v>CumGPP</v>
      </c>
      <c r="B224" s="68" t="s">
        <v>1840</v>
      </c>
      <c r="C224" s="68" t="s">
        <v>1779</v>
      </c>
      <c r="D224" s="68" t="s">
        <v>155</v>
      </c>
      <c r="E224" s="68"/>
      <c r="F224" s="68"/>
      <c r="G224" s="68"/>
      <c r="H224" s="82">
        <f t="shared" ca="1" si="4"/>
        <v>438.28313960532103</v>
      </c>
      <c r="I224" s="82">
        <f t="shared" ca="1" si="5"/>
        <v>409.59026991119703</v>
      </c>
      <c r="J224" s="31"/>
    </row>
    <row r="225" spans="1:10" ht="14.25" customHeight="1" x14ac:dyDescent="0.25">
      <c r="A225" s="85" t="str">
        <f t="shared" ca="1" si="3"/>
        <v>CumNPP</v>
      </c>
      <c r="B225" s="68" t="s">
        <v>1841</v>
      </c>
      <c r="C225" s="68" t="s">
        <v>1779</v>
      </c>
      <c r="D225" s="68" t="s">
        <v>155</v>
      </c>
      <c r="E225" s="68"/>
      <c r="F225" s="68"/>
      <c r="G225" s="68"/>
      <c r="H225" s="82">
        <f t="shared" ca="1" si="4"/>
        <v>214.35776610765799</v>
      </c>
      <c r="I225" s="82">
        <f t="shared" ca="1" si="5"/>
        <v>205.065770510833</v>
      </c>
      <c r="J225" s="31"/>
    </row>
    <row r="226" spans="1:10" x14ac:dyDescent="0.25">
      <c r="A226" s="85" t="str">
        <f t="shared" ca="1" si="3"/>
        <v>CumNEP</v>
      </c>
      <c r="B226" s="68" t="s">
        <v>1842</v>
      </c>
      <c r="C226" s="68" t="s">
        <v>1779</v>
      </c>
      <c r="D226" s="68" t="s">
        <v>155</v>
      </c>
      <c r="E226" s="68"/>
      <c r="F226" s="68"/>
      <c r="G226" s="68"/>
      <c r="H226" s="82">
        <f t="shared" ca="1" si="4"/>
        <v>5.2760253604747396</v>
      </c>
      <c r="I226" s="82">
        <f t="shared" ca="1" si="5"/>
        <v>2.6248581782603702</v>
      </c>
      <c r="J226" s="31"/>
    </row>
    <row r="227" spans="1:10" x14ac:dyDescent="0.25">
      <c r="A227" s="85" t="str">
        <f t="shared" ca="1" si="3"/>
        <v>CumUdoC</v>
      </c>
      <c r="B227" s="68" t="s">
        <v>1843</v>
      </c>
      <c r="C227" s="68" t="s">
        <v>1779</v>
      </c>
      <c r="D227" s="68" t="s">
        <v>155</v>
      </c>
      <c r="E227" s="68"/>
      <c r="F227" s="68"/>
      <c r="G227" s="68"/>
      <c r="H227" s="82">
        <f t="shared" ca="1" si="4"/>
        <v>4.9501979922758403</v>
      </c>
      <c r="I227" s="82">
        <f t="shared" ca="1" si="5"/>
        <v>4.4196865618695496</v>
      </c>
      <c r="J227" s="31"/>
    </row>
    <row r="228" spans="1:10" x14ac:dyDescent="0.25">
      <c r="A228" s="85" t="str">
        <f t="shared" ref="A228:A268" ca="1" si="6">IFERROR(IF(INDIRECT(ADDRESS(1,ROW()-ROW(Variable_Name),,,DataSheet1))=0,"",INDIRECT(ADDRESS(1,ROW()-ROW(Variable_Name),,,DataSheet1))),"")</f>
        <v>CumLitC</v>
      </c>
      <c r="B228" s="68" t="s">
        <v>1844</v>
      </c>
      <c r="C228" s="68" t="s">
        <v>1779</v>
      </c>
      <c r="D228" s="68" t="s">
        <v>155</v>
      </c>
      <c r="E228" s="68"/>
      <c r="F228" s="68"/>
      <c r="G228" s="68"/>
      <c r="H228" s="82">
        <f t="shared" ref="H228:H267" ca="1" si="7">IF(_xlfn.SINGLE(OFFSET(Data_Type,ROW()-_xlfn.SINGLE(ROW(Data_Type)),0))="numeric",_xlfn.AGGREGATE(4,6,(OFFSET(INDIRECT("'"&amp;OFFSET(Name_of_Data_Sheet,0,1)&amp;"'!A1"),1,ROW()-_xlfn.SINGLE(ROW(Data_Type))-1,OFFSET(Number_of_Data_Records,0,1)))),"")</f>
        <v>196.02733263132899</v>
      </c>
      <c r="I228" s="82">
        <f t="shared" ref="I228:I267" ca="1" si="8">IF(_xlfn.SINGLE(OFFSET(Data_Type,ROW()-_xlfn.SINGLE(ROW(Data_Type)),0))="numeric",_xlfn.AGGREGATE(5,6,(OFFSET(INDIRECT("'"&amp;OFFSET(Name_of_Data_Sheet,0,1)&amp;"'!A2"),1,ROW()-_xlfn.SINGLE(ROW(Data_Type))-1,OFFSET(Number_of_Data_Records,0,1)))),"")</f>
        <v>187.86473761605001</v>
      </c>
      <c r="J228" s="31"/>
    </row>
    <row r="229" spans="1:10" ht="25" x14ac:dyDescent="0.25">
      <c r="A229" s="85" t="str">
        <f t="shared" ca="1" si="6"/>
        <v>CumLcWC</v>
      </c>
      <c r="B229" s="68" t="s">
        <v>1845</v>
      </c>
      <c r="C229" s="68" t="s">
        <v>1779</v>
      </c>
      <c r="D229" s="68" t="s">
        <v>155</v>
      </c>
      <c r="E229" s="68"/>
      <c r="F229" s="68"/>
      <c r="G229" s="68"/>
      <c r="H229" s="82">
        <f t="shared" ca="1" si="7"/>
        <v>22.7369362602454</v>
      </c>
      <c r="I229" s="82">
        <f t="shared" ca="1" si="8"/>
        <v>20.907326552308199</v>
      </c>
      <c r="J229" s="31"/>
    </row>
    <row r="230" spans="1:10" ht="25" x14ac:dyDescent="0.25">
      <c r="A230" s="85" t="str">
        <f t="shared" ca="1" si="6"/>
        <v>CumTotalLitterC</v>
      </c>
      <c r="B230" s="68" t="s">
        <v>1865</v>
      </c>
      <c r="C230" s="68" t="s">
        <v>1779</v>
      </c>
      <c r="D230" s="68" t="s">
        <v>155</v>
      </c>
      <c r="E230" s="68"/>
      <c r="F230" s="68"/>
      <c r="G230" s="68"/>
      <c r="H230" s="82">
        <f t="shared" ca="1" si="7"/>
        <v>218.764268891575</v>
      </c>
      <c r="I230" s="82">
        <f t="shared" ca="1" si="8"/>
        <v>208.77206416835901</v>
      </c>
      <c r="J230" s="31"/>
    </row>
    <row r="231" spans="1:10" ht="25" x14ac:dyDescent="0.25">
      <c r="A231" s="85" t="str">
        <f t="shared" ca="1" si="6"/>
        <v>CumTotalLitterN</v>
      </c>
      <c r="B231" s="68" t="s">
        <v>1859</v>
      </c>
      <c r="C231" s="68" t="s">
        <v>1779</v>
      </c>
      <c r="D231" s="68" t="s">
        <v>155</v>
      </c>
      <c r="E231" s="68"/>
      <c r="F231" s="68"/>
      <c r="G231" s="68"/>
      <c r="H231" s="82">
        <f t="shared" ca="1" si="7"/>
        <v>3.5535380459937498</v>
      </c>
      <c r="I231" s="82">
        <f t="shared" ca="1" si="8"/>
        <v>3.35302385301418</v>
      </c>
      <c r="J231" s="31"/>
    </row>
    <row r="232" spans="1:10" ht="25" x14ac:dyDescent="0.25">
      <c r="A232" s="85" t="str">
        <f t="shared" ca="1" si="6"/>
        <v>CumTotalLitterP</v>
      </c>
      <c r="B232" s="68" t="s">
        <v>1862</v>
      </c>
      <c r="C232" s="68" t="s">
        <v>1779</v>
      </c>
      <c r="D232" s="68" t="s">
        <v>155</v>
      </c>
      <c r="E232" s="68"/>
      <c r="F232" s="68"/>
      <c r="G232" s="68"/>
      <c r="H232" s="82">
        <f t="shared" ca="1" si="7"/>
        <v>0.29970637861787902</v>
      </c>
      <c r="I232" s="82">
        <f t="shared" ca="1" si="8"/>
        <v>0.28277340689432301</v>
      </c>
      <c r="J232" s="31"/>
    </row>
    <row r="233" spans="1:10" x14ac:dyDescent="0.25">
      <c r="A233" s="85" t="str">
        <f t="shared" ca="1" si="6"/>
        <v>CumTotMicrobResp</v>
      </c>
      <c r="B233" s="68" t="s">
        <v>1846</v>
      </c>
      <c r="C233" s="68" t="s">
        <v>1779</v>
      </c>
      <c r="D233" s="68" t="s">
        <v>155</v>
      </c>
      <c r="E233" s="68"/>
      <c r="F233" s="68"/>
      <c r="G233" s="68"/>
      <c r="H233" s="82">
        <f t="shared" ca="1" si="7"/>
        <v>210.787199787427</v>
      </c>
      <c r="I233" s="82">
        <f t="shared" ca="1" si="8"/>
        <v>202.44091233257299</v>
      </c>
      <c r="J233" s="31"/>
    </row>
    <row r="234" spans="1:10" ht="25" x14ac:dyDescent="0.25">
      <c r="A234" s="85" t="str">
        <f t="shared" ca="1" si="6"/>
        <v>CumNetNMin</v>
      </c>
      <c r="B234" s="68" t="s">
        <v>1847</v>
      </c>
      <c r="C234" s="68" t="s">
        <v>1779</v>
      </c>
      <c r="D234" s="68" t="s">
        <v>155</v>
      </c>
      <c r="E234" s="68"/>
      <c r="F234" s="68"/>
      <c r="G234" s="68"/>
      <c r="H234" s="82">
        <f t="shared" ca="1" si="7"/>
        <v>2.20694987710616</v>
      </c>
      <c r="I234" s="82">
        <f t="shared" ca="1" si="8"/>
        <v>2.1336963780502298</v>
      </c>
      <c r="J234" s="31"/>
    </row>
    <row r="235" spans="1:10" ht="25" x14ac:dyDescent="0.25">
      <c r="A235" s="85" t="str">
        <f t="shared" ca="1" si="6"/>
        <v>CumNetPMin</v>
      </c>
      <c r="B235" s="68" t="s">
        <v>1848</v>
      </c>
      <c r="C235" s="68" t="s">
        <v>1779</v>
      </c>
      <c r="D235" s="68" t="s">
        <v>155</v>
      </c>
      <c r="E235" s="68"/>
      <c r="F235" s="68"/>
      <c r="G235" s="68"/>
      <c r="H235" s="82">
        <f t="shared" ca="1" si="7"/>
        <v>0.29868993965541901</v>
      </c>
      <c r="I235" s="82">
        <f t="shared" ca="1" si="8"/>
        <v>0.28294727800766001</v>
      </c>
      <c r="J235" s="31"/>
    </row>
    <row r="236" spans="1:10" ht="25" x14ac:dyDescent="0.25">
      <c r="A236" s="85" t="str">
        <f t="shared" ca="1" si="6"/>
        <v>CumTotalNUptake</v>
      </c>
      <c r="B236" s="68" t="s">
        <v>1849</v>
      </c>
      <c r="C236" s="68" t="s">
        <v>1779</v>
      </c>
      <c r="D236" s="68" t="s">
        <v>155</v>
      </c>
      <c r="E236" s="68"/>
      <c r="F236" s="68"/>
      <c r="G236" s="68"/>
      <c r="H236" s="82">
        <f t="shared" ca="1" si="7"/>
        <v>3.5628189786117499</v>
      </c>
      <c r="I236" s="82">
        <f t="shared" ca="1" si="8"/>
        <v>3.3560181617049798</v>
      </c>
      <c r="J236" s="31"/>
    </row>
    <row r="237" spans="1:10" ht="25" x14ac:dyDescent="0.25">
      <c r="A237" s="85" t="str">
        <f t="shared" ca="1" si="6"/>
        <v>CumUNH4</v>
      </c>
      <c r="B237" s="68" t="s">
        <v>1850</v>
      </c>
      <c r="C237" s="68" t="s">
        <v>1779</v>
      </c>
      <c r="D237" s="68" t="s">
        <v>155</v>
      </c>
      <c r="E237" s="68"/>
      <c r="F237" s="68"/>
      <c r="G237" s="68"/>
      <c r="H237" s="82">
        <f t="shared" ca="1" si="7"/>
        <v>1.7524855279613101</v>
      </c>
      <c r="I237" s="82">
        <f t="shared" ca="1" si="8"/>
        <v>1.60447851866265</v>
      </c>
      <c r="J237" s="31"/>
    </row>
    <row r="238" spans="1:10" ht="25" x14ac:dyDescent="0.25">
      <c r="A238" s="85" t="str">
        <f t="shared" ca="1" si="6"/>
        <v>CumUNO3</v>
      </c>
      <c r="B238" s="68" t="s">
        <v>1851</v>
      </c>
      <c r="C238" s="68" t="s">
        <v>1779</v>
      </c>
      <c r="D238" s="68" t="s">
        <v>155</v>
      </c>
      <c r="E238" s="68"/>
      <c r="F238" s="68"/>
      <c r="G238" s="68"/>
      <c r="H238" s="82">
        <f t="shared" ca="1" si="7"/>
        <v>0.55713070542217802</v>
      </c>
      <c r="I238" s="82">
        <f t="shared" ca="1" si="8"/>
        <v>0.47244210138670001</v>
      </c>
      <c r="J238" s="31"/>
    </row>
    <row r="239" spans="1:10" ht="25" x14ac:dyDescent="0.25">
      <c r="A239" s="85" t="str">
        <f t="shared" ca="1" si="6"/>
        <v>CumUdoN</v>
      </c>
      <c r="B239" s="68" t="s">
        <v>1852</v>
      </c>
      <c r="C239" s="68" t="s">
        <v>1779</v>
      </c>
      <c r="D239" s="68" t="s">
        <v>155</v>
      </c>
      <c r="E239" s="68"/>
      <c r="F239" s="68"/>
      <c r="G239" s="68"/>
      <c r="H239" s="82">
        <f t="shared" ca="1" si="7"/>
        <v>1.3378913492637401</v>
      </c>
      <c r="I239" s="82">
        <f t="shared" ca="1" si="8"/>
        <v>1.19450988158636</v>
      </c>
      <c r="J239" s="31"/>
    </row>
    <row r="240" spans="1:10" ht="25" x14ac:dyDescent="0.25">
      <c r="A240" s="85" t="str">
        <f t="shared" ca="1" si="6"/>
        <v>CumNFixation</v>
      </c>
      <c r="B240" s="68" t="s">
        <v>1853</v>
      </c>
      <c r="C240" s="68" t="s">
        <v>1779</v>
      </c>
      <c r="D240" s="68" t="s">
        <v>155</v>
      </c>
      <c r="E240" s="68"/>
      <c r="F240" s="68"/>
      <c r="G240" s="68"/>
      <c r="H240" s="82">
        <f t="shared" ca="1" si="7"/>
        <v>0</v>
      </c>
      <c r="I240" s="82">
        <f t="shared" ca="1" si="8"/>
        <v>0</v>
      </c>
      <c r="J240" s="31"/>
    </row>
    <row r="241" spans="1:10" x14ac:dyDescent="0.25">
      <c r="A241" s="85" t="str">
        <f t="shared" ca="1" si="6"/>
        <v>CumLitN</v>
      </c>
      <c r="B241" s="68" t="s">
        <v>1860</v>
      </c>
      <c r="C241" s="68" t="s">
        <v>1779</v>
      </c>
      <c r="D241" s="68" t="s">
        <v>155</v>
      </c>
      <c r="E241" s="68"/>
      <c r="F241" s="68"/>
      <c r="G241" s="68"/>
      <c r="H241" s="82">
        <f t="shared" ca="1" si="7"/>
        <v>3.1313436647847901</v>
      </c>
      <c r="I241" s="82">
        <f t="shared" ca="1" si="8"/>
        <v>2.96436339035517</v>
      </c>
      <c r="J241" s="31"/>
    </row>
    <row r="242" spans="1:10" ht="25" x14ac:dyDescent="0.25">
      <c r="A242" s="85" t="str">
        <f t="shared" ca="1" si="6"/>
        <v>CumLcWN</v>
      </c>
      <c r="B242" s="68" t="s">
        <v>1861</v>
      </c>
      <c r="C242" s="68" t="s">
        <v>1779</v>
      </c>
      <c r="D242" s="68" t="s">
        <v>155</v>
      </c>
      <c r="E242" s="68"/>
      <c r="F242" s="68"/>
      <c r="G242" s="68"/>
      <c r="H242" s="82">
        <f t="shared" ca="1" si="7"/>
        <v>0.42219438120896902</v>
      </c>
      <c r="I242" s="82">
        <f t="shared" ca="1" si="8"/>
        <v>0.38822098524853399</v>
      </c>
      <c r="J242" s="31"/>
    </row>
    <row r="243" spans="1:10" ht="25" x14ac:dyDescent="0.25">
      <c r="A243" s="85" t="str">
        <f t="shared" ca="1" si="6"/>
        <v>CumUPO4</v>
      </c>
      <c r="B243" s="68" t="s">
        <v>1866</v>
      </c>
      <c r="C243" s="68" t="s">
        <v>1779</v>
      </c>
      <c r="D243" s="68" t="s">
        <v>155</v>
      </c>
      <c r="E243" s="68"/>
      <c r="F243" s="68"/>
      <c r="G243" s="68"/>
      <c r="H243" s="82">
        <f t="shared" ca="1" si="7"/>
        <v>0.300610354940061</v>
      </c>
      <c r="I243" s="82">
        <f t="shared" ca="1" si="8"/>
        <v>0.28299323086877298</v>
      </c>
      <c r="J243" s="31"/>
    </row>
    <row r="244" spans="1:10" ht="25" x14ac:dyDescent="0.25">
      <c r="A244" s="85" t="str">
        <f t="shared" ca="1" si="6"/>
        <v>CumLitP</v>
      </c>
      <c r="B244" s="68" t="s">
        <v>1863</v>
      </c>
      <c r="C244" s="68" t="s">
        <v>1779</v>
      </c>
      <c r="D244" s="68" t="s">
        <v>155</v>
      </c>
      <c r="E244" s="68"/>
      <c r="F244" s="68"/>
      <c r="G244" s="68"/>
      <c r="H244" s="82">
        <f t="shared" ca="1" si="7"/>
        <v>0.25234507155700803</v>
      </c>
      <c r="I244" s="82">
        <f t="shared" ca="1" si="8"/>
        <v>0.239056152193724</v>
      </c>
      <c r="J244" s="31"/>
    </row>
    <row r="245" spans="1:10" ht="25" x14ac:dyDescent="0.25">
      <c r="A245" s="85" t="str">
        <f t="shared" ca="1" si="6"/>
        <v>CumLcWP</v>
      </c>
      <c r="B245" s="68" t="s">
        <v>1864</v>
      </c>
      <c r="C245" s="68" t="s">
        <v>1779</v>
      </c>
      <c r="D245" s="68" t="s">
        <v>155</v>
      </c>
      <c r="E245" s="68"/>
      <c r="F245" s="68"/>
      <c r="G245" s="68"/>
      <c r="H245" s="82">
        <f t="shared" ca="1" si="7"/>
        <v>4.7361307060870703E-2</v>
      </c>
      <c r="I245" s="82">
        <f t="shared" ca="1" si="8"/>
        <v>4.35502084067977E-2</v>
      </c>
      <c r="J245" s="31"/>
    </row>
    <row r="246" spans="1:10" ht="25" x14ac:dyDescent="0.25">
      <c r="A246" s="85" t="str">
        <f t="shared" ca="1" si="6"/>
        <v>CumLcWCa</v>
      </c>
      <c r="B246" s="68" t="s">
        <v>1867</v>
      </c>
      <c r="C246" s="68" t="s">
        <v>1779</v>
      </c>
      <c r="D246" s="68" t="s">
        <v>155</v>
      </c>
      <c r="E246" s="68"/>
      <c r="F246" s="68"/>
      <c r="G246" s="68"/>
      <c r="H246" s="82">
        <f t="shared" ca="1" si="7"/>
        <v>22.5031389514773</v>
      </c>
      <c r="I246" s="82">
        <f t="shared" ca="1" si="8"/>
        <v>20.899914699181</v>
      </c>
      <c r="J246" s="31"/>
    </row>
    <row r="247" spans="1:10" ht="25" x14ac:dyDescent="0.25">
      <c r="A247" s="85" t="str">
        <f t="shared" ca="1" si="6"/>
        <v>CumRCm</v>
      </c>
      <c r="B247" s="68" t="s">
        <v>1858</v>
      </c>
      <c r="C247" s="68" t="s">
        <v>1779</v>
      </c>
      <c r="D247" s="68" t="s">
        <v>155</v>
      </c>
      <c r="E247" s="68"/>
      <c r="F247" s="68"/>
      <c r="G247" s="68"/>
      <c r="H247" s="82">
        <f t="shared" ca="1" si="7"/>
        <v>168.33666527788401</v>
      </c>
      <c r="I247" s="82">
        <f t="shared" ca="1" si="8"/>
        <v>159.776864086166</v>
      </c>
      <c r="J247" s="31"/>
    </row>
    <row r="248" spans="1:10" ht="25" x14ac:dyDescent="0.25">
      <c r="A248" s="85" t="str">
        <f t="shared" ca="1" si="6"/>
        <v>CumTiiC</v>
      </c>
      <c r="B248" s="68" t="s">
        <v>1857</v>
      </c>
      <c r="C248" s="68" t="s">
        <v>1779</v>
      </c>
      <c r="D248" s="68" t="s">
        <v>155</v>
      </c>
      <c r="E248" s="68"/>
      <c r="F248" s="68"/>
      <c r="G248" s="68"/>
      <c r="H248" s="82">
        <f t="shared" ca="1" si="7"/>
        <v>42.664402104749698</v>
      </c>
      <c r="I248" s="82">
        <f t="shared" ca="1" si="8"/>
        <v>42.187012163648298</v>
      </c>
      <c r="J248" s="31"/>
    </row>
    <row r="249" spans="1:10" ht="25" x14ac:dyDescent="0.25">
      <c r="A249" s="85" t="str">
        <f t="shared" ca="1" si="6"/>
        <v>CumLcWNa</v>
      </c>
      <c r="B249" s="68" t="s">
        <v>1868</v>
      </c>
      <c r="C249" s="68" t="s">
        <v>1779</v>
      </c>
      <c r="D249" s="68" t="s">
        <v>155</v>
      </c>
      <c r="E249" s="68"/>
      <c r="F249" s="68"/>
      <c r="G249" s="68"/>
      <c r="H249" s="82">
        <f t="shared" ca="1" si="7"/>
        <v>0.41785307906633201</v>
      </c>
      <c r="I249" s="82">
        <f t="shared" ca="1" si="8"/>
        <v>0.38808335708663999</v>
      </c>
      <c r="J249" s="31"/>
    </row>
    <row r="250" spans="1:10" ht="25" x14ac:dyDescent="0.25">
      <c r="A250" s="85" t="str">
        <f t="shared" ca="1" si="6"/>
        <v>CumUNH4m</v>
      </c>
      <c r="B250" s="68" t="s">
        <v>1854</v>
      </c>
      <c r="C250" s="68" t="s">
        <v>1779</v>
      </c>
      <c r="D250" s="68" t="s">
        <v>155</v>
      </c>
      <c r="E250" s="68"/>
      <c r="F250" s="68"/>
      <c r="G250" s="68"/>
      <c r="H250" s="82">
        <f t="shared" ca="1" si="7"/>
        <v>7.4474689426929697</v>
      </c>
      <c r="I250" s="82">
        <f t="shared" ca="1" si="8"/>
        <v>6.9133055481469103</v>
      </c>
      <c r="J250" s="31"/>
    </row>
    <row r="251" spans="1:10" ht="25" x14ac:dyDescent="0.25">
      <c r="A251" s="85" t="str">
        <f t="shared" ca="1" si="6"/>
        <v>CumUNO3m</v>
      </c>
      <c r="B251" s="68" t="s">
        <v>1855</v>
      </c>
      <c r="C251" s="68" t="s">
        <v>1779</v>
      </c>
      <c r="D251" s="68" t="s">
        <v>155</v>
      </c>
      <c r="E251" s="68"/>
      <c r="F251" s="68"/>
      <c r="G251" s="68"/>
      <c r="H251" s="82">
        <f t="shared" ca="1" si="7"/>
        <v>1.76473394670759</v>
      </c>
      <c r="I251" s="82">
        <f t="shared" ca="1" si="8"/>
        <v>1.6664649626272501</v>
      </c>
      <c r="J251" s="31"/>
    </row>
    <row r="252" spans="1:10" ht="25" x14ac:dyDescent="0.25">
      <c r="A252" s="85" t="str">
        <f t="shared" ca="1" si="6"/>
        <v>CumRNm</v>
      </c>
      <c r="B252" s="68" t="s">
        <v>1856</v>
      </c>
      <c r="C252" s="68" t="s">
        <v>1779</v>
      </c>
      <c r="D252" s="68" t="s">
        <v>155</v>
      </c>
      <c r="E252" s="68"/>
      <c r="F252" s="68"/>
      <c r="G252" s="68"/>
      <c r="H252" s="82">
        <f t="shared" ca="1" si="7"/>
        <v>9.8837060396155199</v>
      </c>
      <c r="I252" s="82">
        <f t="shared" ca="1" si="8"/>
        <v>9.1893165992739991</v>
      </c>
      <c r="J252" s="31"/>
    </row>
    <row r="253" spans="1:10" ht="25" x14ac:dyDescent="0.25">
      <c r="A253" s="85" t="str">
        <f t="shared" ca="1" si="6"/>
        <v>CumTiiN</v>
      </c>
      <c r="B253" s="68" t="s">
        <v>1870</v>
      </c>
      <c r="C253" s="68" t="s">
        <v>1779</v>
      </c>
      <c r="D253" s="68" t="s">
        <v>155</v>
      </c>
      <c r="E253" s="68"/>
      <c r="F253" s="68"/>
      <c r="G253" s="68"/>
      <c r="H253" s="82">
        <f t="shared" ca="1" si="7"/>
        <v>1.5345427871958199</v>
      </c>
      <c r="I253" s="82">
        <f t="shared" ca="1" si="8"/>
        <v>1.5173721424743001</v>
      </c>
      <c r="J253" s="31"/>
    </row>
    <row r="254" spans="1:10" ht="25" x14ac:dyDescent="0.25">
      <c r="A254" s="85" t="str">
        <f t="shared" ca="1" si="6"/>
        <v>CumNonsymNfix</v>
      </c>
      <c r="B254" s="68" t="s">
        <v>1872</v>
      </c>
      <c r="C254" s="68" t="s">
        <v>1779</v>
      </c>
      <c r="D254" s="68" t="s">
        <v>155</v>
      </c>
      <c r="E254" s="68"/>
      <c r="F254" s="68"/>
      <c r="G254" s="68"/>
      <c r="H254" s="82">
        <f t="shared" ca="1" si="7"/>
        <v>0.10620937858125799</v>
      </c>
      <c r="I254" s="82">
        <f t="shared" ca="1" si="8"/>
        <v>9.0701903124356206E-2</v>
      </c>
      <c r="J254" s="31"/>
    </row>
    <row r="255" spans="1:10" ht="25" x14ac:dyDescent="0.25">
      <c r="A255" s="85" t="str">
        <f t="shared" ca="1" si="6"/>
        <v>CumLcWPa</v>
      </c>
      <c r="B255" s="68" t="s">
        <v>1869</v>
      </c>
      <c r="C255" s="68" t="s">
        <v>1779</v>
      </c>
      <c r="D255" s="68" t="s">
        <v>155</v>
      </c>
      <c r="E255" s="68"/>
      <c r="F255" s="68"/>
      <c r="G255" s="68"/>
      <c r="H255" s="82">
        <f t="shared" ca="1" si="7"/>
        <v>4.68743045023979E-2</v>
      </c>
      <c r="I255" s="82">
        <f t="shared" ca="1" si="8"/>
        <v>4.3534769429099597E-2</v>
      </c>
      <c r="J255" s="31"/>
    </row>
    <row r="256" spans="1:10" ht="25" x14ac:dyDescent="0.25">
      <c r="A256" s="85" t="str">
        <f t="shared" ca="1" si="6"/>
        <v>CumUPO4m</v>
      </c>
      <c r="B256" s="68" t="s">
        <v>1873</v>
      </c>
      <c r="C256" s="68" t="s">
        <v>1779</v>
      </c>
      <c r="D256" s="68" t="s">
        <v>155</v>
      </c>
      <c r="E256" s="68"/>
      <c r="F256" s="68"/>
      <c r="G256" s="68"/>
      <c r="H256" s="82">
        <f t="shared" ca="1" si="7"/>
        <v>0.86411991292505896</v>
      </c>
      <c r="I256" s="82">
        <f t="shared" ca="1" si="8"/>
        <v>0.51939909380582705</v>
      </c>
      <c r="J256" s="31"/>
    </row>
    <row r="257" spans="1:10" ht="25" x14ac:dyDescent="0.25">
      <c r="A257" s="85" t="str">
        <f t="shared" ca="1" si="6"/>
        <v>CumRPm</v>
      </c>
      <c r="B257" s="68" t="s">
        <v>1874</v>
      </c>
      <c r="C257" s="68" t="s">
        <v>1779</v>
      </c>
      <c r="D257" s="68" t="s">
        <v>155</v>
      </c>
      <c r="E257" s="68"/>
      <c r="F257" s="68"/>
      <c r="G257" s="68"/>
      <c r="H257" s="82">
        <f t="shared" ca="1" si="7"/>
        <v>0.99356570131324395</v>
      </c>
      <c r="I257" s="82">
        <f t="shared" ca="1" si="8"/>
        <v>0.66540398848091498</v>
      </c>
      <c r="J257" s="31"/>
    </row>
    <row r="258" spans="1:10" ht="25" x14ac:dyDescent="0.25">
      <c r="A258" s="85" t="str">
        <f t="shared" ca="1" si="6"/>
        <v>CumTiiP</v>
      </c>
      <c r="B258" s="68" t="s">
        <v>1871</v>
      </c>
      <c r="C258" s="68" t="s">
        <v>1779</v>
      </c>
      <c r="D258" s="68" t="s">
        <v>155</v>
      </c>
      <c r="E258" s="68"/>
      <c r="F258" s="68"/>
      <c r="G258" s="68"/>
      <c r="H258" s="82">
        <f t="shared" ca="1" si="7"/>
        <v>0.15345427871958101</v>
      </c>
      <c r="I258" s="82">
        <f t="shared" ca="1" si="8"/>
        <v>0.151737214247429</v>
      </c>
      <c r="J258" s="31"/>
    </row>
    <row r="259" spans="1:10" ht="25" x14ac:dyDescent="0.25">
      <c r="A259" s="85" t="str">
        <f t="shared" ca="1" si="6"/>
        <v>CumMiiC</v>
      </c>
      <c r="B259" s="68" t="s">
        <v>1875</v>
      </c>
      <c r="C259" s="68" t="s">
        <v>1779</v>
      </c>
      <c r="D259" s="68" t="s">
        <v>155</v>
      </c>
      <c r="E259" s="68"/>
      <c r="F259" s="68"/>
      <c r="G259" s="68"/>
      <c r="H259" s="82">
        <f t="shared" ca="1" si="7"/>
        <v>42.677679563943499</v>
      </c>
      <c r="I259" s="82">
        <f t="shared" ca="1" si="8"/>
        <v>42.450534509542699</v>
      </c>
      <c r="J259" s="31"/>
    </row>
    <row r="260" spans="1:10" ht="25" x14ac:dyDescent="0.25">
      <c r="A260" s="85" t="str">
        <f t="shared" ca="1" si="6"/>
        <v>CumMiiN</v>
      </c>
      <c r="B260" s="68" t="s">
        <v>1876</v>
      </c>
      <c r="C260" s="68" t="s">
        <v>1779</v>
      </c>
      <c r="D260" s="68" t="s">
        <v>155</v>
      </c>
      <c r="E260" s="68"/>
      <c r="F260" s="68"/>
      <c r="G260" s="68"/>
      <c r="H260" s="82">
        <f t="shared" ca="1" si="7"/>
        <v>1.53502034760293</v>
      </c>
      <c r="I260" s="82">
        <f t="shared" ca="1" si="8"/>
        <v>1.5268504498033</v>
      </c>
      <c r="J260" s="31"/>
    </row>
    <row r="261" spans="1:10" ht="25" x14ac:dyDescent="0.25">
      <c r="A261" s="85" t="str">
        <f t="shared" ca="1" si="6"/>
        <v>CumMiiP</v>
      </c>
      <c r="B261" s="68" t="s">
        <v>1877</v>
      </c>
      <c r="C261" s="68" t="s">
        <v>1779</v>
      </c>
      <c r="D261" s="68" t="s">
        <v>155</v>
      </c>
      <c r="E261" s="68"/>
      <c r="F261" s="68"/>
      <c r="G261" s="68"/>
      <c r="H261" s="82">
        <f t="shared" ca="1" si="7"/>
        <v>0.15350203476029201</v>
      </c>
      <c r="I261" s="82">
        <f t="shared" ca="1" si="8"/>
        <v>0.152685044980329</v>
      </c>
      <c r="J261" s="31"/>
    </row>
    <row r="262" spans="1:10" ht="25" x14ac:dyDescent="0.25">
      <c r="A262" s="85" t="str">
        <f t="shared" ca="1" si="6"/>
        <v>CumINH4</v>
      </c>
      <c r="B262" s="68" t="s">
        <v>1878</v>
      </c>
      <c r="C262" s="68" t="s">
        <v>1779</v>
      </c>
      <c r="D262" s="68" t="s">
        <v>155</v>
      </c>
      <c r="E262" s="68"/>
      <c r="F262" s="68"/>
      <c r="G262" s="68"/>
      <c r="H262" s="82">
        <f t="shared" ca="1" si="7"/>
        <v>1.4700000000004499E-2</v>
      </c>
      <c r="I262" s="82">
        <f t="shared" ca="1" si="8"/>
        <v>1.4699999999995E-2</v>
      </c>
      <c r="J262" s="31"/>
    </row>
    <row r="263" spans="1:10" ht="25" x14ac:dyDescent="0.25">
      <c r="A263" s="85" t="str">
        <f t="shared" ca="1" si="6"/>
        <v>CumLNH4</v>
      </c>
      <c r="B263" s="68" t="s">
        <v>1879</v>
      </c>
      <c r="C263" s="68" t="s">
        <v>1779</v>
      </c>
      <c r="D263" s="68" t="s">
        <v>155</v>
      </c>
      <c r="E263" s="68"/>
      <c r="F263" s="68"/>
      <c r="G263" s="68"/>
      <c r="H263" s="82">
        <f t="shared" ca="1" si="7"/>
        <v>2.19356513689017E-3</v>
      </c>
      <c r="I263" s="82">
        <f t="shared" ca="1" si="8"/>
        <v>1.82905329900455E-3</v>
      </c>
      <c r="J263" s="31"/>
    </row>
    <row r="264" spans="1:10" x14ac:dyDescent="0.25">
      <c r="A264" s="85" t="str">
        <f t="shared" ca="1" si="6"/>
        <v>CumNitrification</v>
      </c>
      <c r="B264" s="68" t="s">
        <v>1880</v>
      </c>
      <c r="C264" s="68" t="s">
        <v>1779</v>
      </c>
      <c r="D264" s="68" t="s">
        <v>155</v>
      </c>
      <c r="E264" s="68"/>
      <c r="F264" s="68"/>
      <c r="G264" s="68"/>
      <c r="H264" s="82">
        <f t="shared" ca="1" si="7"/>
        <v>2.2340703717332899</v>
      </c>
      <c r="I264" s="82">
        <f t="shared" ca="1" si="8"/>
        <v>2.2078857413220199</v>
      </c>
      <c r="J264" s="31"/>
    </row>
    <row r="265" spans="1:10" ht="25" x14ac:dyDescent="0.25">
      <c r="A265" s="85" t="str">
        <f t="shared" ca="1" si="6"/>
        <v>CumINO3</v>
      </c>
      <c r="B265" s="68" t="s">
        <v>1881</v>
      </c>
      <c r="C265" s="68" t="s">
        <v>1779</v>
      </c>
      <c r="D265" s="68" t="s">
        <v>155</v>
      </c>
      <c r="E265" s="68"/>
      <c r="F265" s="68"/>
      <c r="G265" s="68"/>
      <c r="H265" s="82">
        <f t="shared" ca="1" si="7"/>
        <v>2.0300000000006299E-2</v>
      </c>
      <c r="I265" s="82">
        <f t="shared" ca="1" si="8"/>
        <v>2.0299999999993101E-2</v>
      </c>
      <c r="J265" s="31"/>
    </row>
    <row r="266" spans="1:10" ht="25" x14ac:dyDescent="0.25">
      <c r="A266" s="85" t="str">
        <f t="shared" ca="1" si="6"/>
        <v>CumLNO3</v>
      </c>
      <c r="B266" s="68" t="s">
        <v>1882</v>
      </c>
      <c r="C266" s="68" t="s">
        <v>1779</v>
      </c>
      <c r="D266" s="68" t="s">
        <v>155</v>
      </c>
      <c r="E266" s="68"/>
      <c r="F266" s="68"/>
      <c r="G266" s="68"/>
      <c r="H266" s="82">
        <f t="shared" ca="1" si="7"/>
        <v>6.2231494655120498E-3</v>
      </c>
      <c r="I266" s="82">
        <f t="shared" ca="1" si="8"/>
        <v>5.3959805248791504E-3</v>
      </c>
      <c r="J266" s="31"/>
    </row>
    <row r="267" spans="1:10" x14ac:dyDescent="0.25">
      <c r="A267" s="85" t="str">
        <f t="shared" ca="1" si="6"/>
        <v>CumDNtr</v>
      </c>
      <c r="B267" s="68" t="s">
        <v>1883</v>
      </c>
      <c r="C267" s="68" t="s">
        <v>1779</v>
      </c>
      <c r="D267" s="68" t="s">
        <v>155</v>
      </c>
      <c r="E267" s="68"/>
      <c r="F267" s="68"/>
      <c r="G267" s="68"/>
      <c r="H267" s="82">
        <f t="shared" ca="1" si="7"/>
        <v>0</v>
      </c>
      <c r="I267" s="82">
        <f t="shared" ca="1" si="8"/>
        <v>0</v>
      </c>
      <c r="J267" s="31"/>
    </row>
    <row r="268" spans="1:10" ht="25" x14ac:dyDescent="0.25">
      <c r="A268" s="85" t="str">
        <f t="shared" ca="1" si="6"/>
        <v>CumPaw</v>
      </c>
      <c r="B268" s="68" t="s">
        <v>1884</v>
      </c>
      <c r="C268" s="68" t="s">
        <v>1779</v>
      </c>
      <c r="D268" s="68" t="s">
        <v>155</v>
      </c>
      <c r="E268" s="68"/>
      <c r="F268" s="68"/>
      <c r="G268" s="68"/>
      <c r="H268" s="82"/>
      <c r="I268" s="82"/>
      <c r="J268" s="31"/>
    </row>
    <row r="269" spans="1:10" ht="25" x14ac:dyDescent="0.25">
      <c r="A269" s="85" t="str">
        <f t="shared" ref="A269:A279" ca="1" si="9">IFERROR(IF(INDIRECT(ADDRESS(1,ROW()-ROW(Variable_Name),,,DataSheet1))=0,"",INDIRECT(ADDRESS(1,ROW()-ROW(Variable_Name),,,DataSheet1))),"")</f>
        <v>CumPnow</v>
      </c>
      <c r="B269" s="68" t="s">
        <v>1885</v>
      </c>
      <c r="C269" s="68" t="s">
        <v>1779</v>
      </c>
      <c r="D269" s="68" t="s">
        <v>155</v>
      </c>
      <c r="E269" s="68"/>
      <c r="F269" s="68"/>
      <c r="G269" s="68"/>
      <c r="H269" s="82">
        <f t="shared" ref="H269:H279" ca="1" si="10">IF(_xlfn.SINGLE(OFFSET(Data_Type,ROW()-_xlfn.SINGLE(ROW(Data_Type)),0))="numeric",_xlfn.AGGREGATE(4,6,(OFFSET(INDIRECT("'"&amp;OFFSET(Name_of_Data_Sheet,0,1)&amp;"'!A1"),1,ROW()-_xlfn.SINGLE(ROW(Data_Type))-1,OFFSET(Number_of_Data_Records,0,1)))),"")</f>
        <v>1.5000000152683201E-3</v>
      </c>
      <c r="I269" s="82">
        <f t="shared" ref="I269:I279" ca="1" si="11">IF(_xlfn.SINGLE(OFFSET(Data_Type,ROW()-_xlfn.SINGLE(ROW(Data_Type)),0))="numeric",_xlfn.AGGREGATE(5,6,(OFFSET(INDIRECT("'"&amp;OFFSET(Name_of_Data_Sheet,0,1)&amp;"'!A2"),1,ROW()-_xlfn.SINGLE(ROW(Data_Type))-1,OFFSET(Number_of_Data_Records,0,1)))),"")</f>
        <v>1.4895284727267099E-3</v>
      </c>
      <c r="J269" s="31"/>
    </row>
    <row r="270" spans="1:10" ht="25" x14ac:dyDescent="0.25">
      <c r="A270" s="85" t="str">
        <f t="shared" ca="1" si="9"/>
        <v>CumIPO4</v>
      </c>
      <c r="B270" s="68" t="s">
        <v>1878</v>
      </c>
      <c r="C270" s="68" t="s">
        <v>1779</v>
      </c>
      <c r="D270" s="68" t="s">
        <v>155</v>
      </c>
      <c r="E270" s="68"/>
      <c r="F270" s="68"/>
      <c r="G270" s="68"/>
      <c r="H270" s="82">
        <f t="shared" ca="1" si="10"/>
        <v>2.0000000000006202E-3</v>
      </c>
      <c r="I270" s="82">
        <f t="shared" ca="1" si="11"/>
        <v>1.99999999999932E-3</v>
      </c>
      <c r="J270" s="31"/>
    </row>
    <row r="271" spans="1:10" ht="25" x14ac:dyDescent="0.25">
      <c r="A271" s="85" t="str">
        <f t="shared" ca="1" si="9"/>
        <v>CumLPO4</v>
      </c>
      <c r="B271" s="68" t="s">
        <v>1879</v>
      </c>
      <c r="C271" s="68" t="s">
        <v>1779</v>
      </c>
      <c r="D271" s="68" t="s">
        <v>155</v>
      </c>
      <c r="E271" s="68"/>
      <c r="F271" s="68"/>
      <c r="G271" s="68"/>
      <c r="H271" s="82">
        <f t="shared" ca="1" si="10"/>
        <v>4.4050348744389704E-3</v>
      </c>
      <c r="I271" s="82">
        <f t="shared" ca="1" si="11"/>
        <v>3.1388191948110802E-3</v>
      </c>
      <c r="J271" s="31"/>
    </row>
    <row r="272" spans="1:10" ht="25" x14ac:dyDescent="0.25">
      <c r="A272" s="85" t="str">
        <f t="shared" ca="1" si="9"/>
        <v>CumPO4P</v>
      </c>
      <c r="B272" s="68" t="s">
        <v>1888</v>
      </c>
      <c r="C272" s="68" t="s">
        <v>1779</v>
      </c>
      <c r="D272" s="68" t="s">
        <v>155</v>
      </c>
      <c r="E272" s="68"/>
      <c r="F272" s="68"/>
      <c r="G272" s="68"/>
      <c r="H272" s="82">
        <f t="shared" ca="1" si="10"/>
        <v>1.4999999193523099E-3</v>
      </c>
      <c r="I272" s="82">
        <f t="shared" ca="1" si="11"/>
        <v>8.6723369835912099E-4</v>
      </c>
      <c r="J272" s="31"/>
    </row>
    <row r="273" spans="1:10" ht="25" x14ac:dyDescent="0.25">
      <c r="A273" s="85" t="str">
        <f t="shared" ca="1" si="9"/>
        <v>CumIPa</v>
      </c>
      <c r="B273" s="68" t="s">
        <v>1887</v>
      </c>
      <c r="C273" s="68" t="s">
        <v>1779</v>
      </c>
      <c r="D273" s="68" t="s">
        <v>155</v>
      </c>
      <c r="E273" s="68"/>
      <c r="F273" s="68"/>
      <c r="G273" s="68"/>
      <c r="H273" s="82">
        <f t="shared" ca="1" si="10"/>
        <v>2.3999991000001699E-3</v>
      </c>
      <c r="I273" s="82">
        <f t="shared" ca="1" si="11"/>
        <v>2.3999990999998399E-3</v>
      </c>
      <c r="J273" s="31"/>
    </row>
    <row r="274" spans="1:10" ht="25" x14ac:dyDescent="0.25">
      <c r="A274" s="85" t="str">
        <f t="shared" ca="1" si="9"/>
        <v>CumPocclw</v>
      </c>
      <c r="B274" s="68" t="s">
        <v>1886</v>
      </c>
      <c r="C274" s="68" t="s">
        <v>1779</v>
      </c>
      <c r="D274" s="68" t="s">
        <v>155</v>
      </c>
      <c r="E274" s="68"/>
      <c r="F274" s="68"/>
      <c r="G274" s="68"/>
      <c r="H274" s="82">
        <f t="shared" ca="1" si="10"/>
        <v>0</v>
      </c>
      <c r="I274" s="82">
        <f t="shared" ca="1" si="11"/>
        <v>0</v>
      </c>
      <c r="J274" s="31"/>
    </row>
    <row r="275" spans="1:10" ht="25" x14ac:dyDescent="0.25">
      <c r="A275" s="85" t="str">
        <f t="shared" ca="1" si="9"/>
        <v>CumPnos</v>
      </c>
      <c r="B275" s="68" t="s">
        <v>1889</v>
      </c>
      <c r="C275" s="68" t="s">
        <v>1779</v>
      </c>
      <c r="D275" s="68" t="s">
        <v>155</v>
      </c>
      <c r="E275" s="68"/>
      <c r="F275" s="68"/>
      <c r="G275" s="68"/>
      <c r="H275" s="82">
        <f t="shared" ca="1" si="10"/>
        <v>0</v>
      </c>
      <c r="I275" s="82">
        <f t="shared" ca="1" si="11"/>
        <v>0</v>
      </c>
      <c r="J275" s="31"/>
    </row>
    <row r="276" spans="1:10" ht="25" x14ac:dyDescent="0.25">
      <c r="A276" s="85" t="str">
        <f t="shared" ca="1" si="9"/>
        <v>CumIdoC</v>
      </c>
      <c r="B276" s="68" t="s">
        <v>1890</v>
      </c>
      <c r="C276" s="68" t="s">
        <v>1779</v>
      </c>
      <c r="D276" s="68" t="s">
        <v>155</v>
      </c>
      <c r="E276" s="68"/>
      <c r="F276" s="68"/>
      <c r="G276" s="68"/>
      <c r="H276" s="82">
        <f t="shared" ca="1" si="10"/>
        <v>0.23180769400007201</v>
      </c>
      <c r="I276" s="82">
        <f t="shared" ca="1" si="11"/>
        <v>0.23180769399992199</v>
      </c>
      <c r="J276" s="31"/>
    </row>
    <row r="277" spans="1:10" ht="25" x14ac:dyDescent="0.25">
      <c r="A277" s="85" t="str">
        <f t="shared" ca="1" si="9"/>
        <v>CumIdoN</v>
      </c>
      <c r="B277" s="68" t="s">
        <v>1891</v>
      </c>
      <c r="C277" s="68" t="s">
        <v>1779</v>
      </c>
      <c r="D277" s="68" t="s">
        <v>155</v>
      </c>
      <c r="E277" s="68"/>
      <c r="F277" s="68"/>
      <c r="G277" s="68"/>
      <c r="H277" s="82">
        <f t="shared" ca="1" si="10"/>
        <v>1.88461552000058E-2</v>
      </c>
      <c r="I277" s="82">
        <f t="shared" ca="1" si="11"/>
        <v>1.8846155199993601E-2</v>
      </c>
      <c r="J277" s="31"/>
    </row>
    <row r="278" spans="1:10" ht="25" x14ac:dyDescent="0.25">
      <c r="A278" s="85" t="str">
        <f t="shared" ca="1" si="9"/>
        <v>CumLdoC</v>
      </c>
      <c r="B278" s="68" t="s">
        <v>1892</v>
      </c>
      <c r="C278" s="68" t="s">
        <v>1779</v>
      </c>
      <c r="D278" s="68" t="s">
        <v>155</v>
      </c>
      <c r="E278" s="68"/>
      <c r="F278" s="68"/>
      <c r="G278" s="68"/>
      <c r="H278" s="82">
        <f t="shared" ca="1" si="10"/>
        <v>2.5917514467251799</v>
      </c>
      <c r="I278" s="82">
        <f t="shared" ca="1" si="11"/>
        <v>2.1064336034561801</v>
      </c>
      <c r="J278" s="31"/>
    </row>
    <row r="279" spans="1:10" ht="25" x14ac:dyDescent="0.25">
      <c r="A279" s="85" t="str">
        <f t="shared" ca="1" si="9"/>
        <v>CumLdoN</v>
      </c>
      <c r="B279" s="68" t="s">
        <v>1893</v>
      </c>
      <c r="C279" s="68" t="s">
        <v>1779</v>
      </c>
      <c r="D279" s="68" t="s">
        <v>155</v>
      </c>
      <c r="E279" s="68"/>
      <c r="F279" s="68"/>
      <c r="G279" s="68"/>
      <c r="H279" s="82">
        <f t="shared" ca="1" si="10"/>
        <v>0.16917437641809199</v>
      </c>
      <c r="I279" s="82">
        <f t="shared" ca="1" si="11"/>
        <v>0.13749566602194399</v>
      </c>
      <c r="J279" s="31"/>
    </row>
    <row r="280" spans="1:10" ht="25" x14ac:dyDescent="0.25">
      <c r="A280" s="85" t="str">
        <f t="shared" ref="A280:A313" ca="1" si="12">IFERROR(IF(INDIRECT(ADDRESS(1,ROW()-ROW(Variable_Name),,,DataSheet1))=0,"",INDIRECT(ADDRESS(1,ROW()-ROW(Variable_Name),,,DataSheet1))),"")</f>
        <v>CumUW</v>
      </c>
      <c r="B280" s="68" t="s">
        <v>1895</v>
      </c>
      <c r="C280" s="68" t="s">
        <v>1779</v>
      </c>
      <c r="D280" s="68" t="s">
        <v>84</v>
      </c>
      <c r="E280" s="68"/>
      <c r="F280" s="68"/>
      <c r="G280" s="68"/>
      <c r="H280" s="82">
        <f t="shared" ref="H280:H313" ca="1" si="13">IF(_xlfn.SINGLE(OFFSET(Data_Type,ROW()-_xlfn.SINGLE(ROW(Data_Type)),0))="numeric",_xlfn.AGGREGATE(4,6,(OFFSET(INDIRECT("'"&amp;OFFSET(Name_of_Data_Sheet,0,1)&amp;"'!A1"),1,ROW()-_xlfn.SINGLE(ROW(Data_Type))-1,OFFSET(Number_of_Data_Records,0,1)))),"")</f>
        <v>98.300019027637603</v>
      </c>
      <c r="I280" s="82">
        <f t="shared" ref="I280:I313" ca="1" si="14">IF(_xlfn.SINGLE(OFFSET(Data_Type,ROW()-_xlfn.SINGLE(ROW(Data_Type)),0))="numeric",_xlfn.AGGREGATE(5,6,(OFFSET(INDIRECT("'"&amp;OFFSET(Name_of_Data_Sheet,0,1)&amp;"'!A2"),1,ROW()-_xlfn.SINGLE(ROW(Data_Type))-1,OFFSET(Number_of_Data_Records,0,1)))),"")</f>
        <v>54.252174439017502</v>
      </c>
      <c r="J280" s="31"/>
    </row>
    <row r="281" spans="1:10" ht="25" x14ac:dyDescent="0.25">
      <c r="A281" s="85" t="str">
        <f t="shared" ca="1" si="12"/>
        <v>CumRunoff</v>
      </c>
      <c r="B281" s="68" t="s">
        <v>1894</v>
      </c>
      <c r="C281" s="68" t="s">
        <v>1779</v>
      </c>
      <c r="D281" s="68" t="s">
        <v>84</v>
      </c>
      <c r="E281" s="68"/>
      <c r="F281" s="68"/>
      <c r="G281" s="68"/>
      <c r="H281" s="82">
        <f t="shared" ca="1" si="13"/>
        <v>244.56297959851801</v>
      </c>
      <c r="I281" s="82">
        <f t="shared" ca="1" si="14"/>
        <v>196.84904326494399</v>
      </c>
      <c r="J281" s="31"/>
    </row>
    <row r="282" spans="1:10" x14ac:dyDescent="0.25">
      <c r="A282" s="85" t="str">
        <f t="shared" ca="1" si="12"/>
        <v>CumPrecipitation</v>
      </c>
      <c r="B282" s="68" t="s">
        <v>1896</v>
      </c>
      <c r="C282" s="68" t="s">
        <v>1779</v>
      </c>
      <c r="D282" s="68" t="s">
        <v>84</v>
      </c>
      <c r="E282" s="68"/>
      <c r="F282" s="68"/>
      <c r="G282" s="68"/>
      <c r="H282" s="82">
        <f t="shared" ca="1" si="13"/>
        <v>327.66000000000003</v>
      </c>
      <c r="I282" s="82">
        <f t="shared" ca="1" si="14"/>
        <v>327.66000000000003</v>
      </c>
      <c r="J282" s="31"/>
    </row>
    <row r="283" spans="1:10" x14ac:dyDescent="0.25">
      <c r="A283" s="85" t="str">
        <f t="shared" ca="1" si="12"/>
        <v>CumInterception</v>
      </c>
      <c r="B283" s="68" t="s">
        <v>1897</v>
      </c>
      <c r="C283" s="68" t="s">
        <v>1779</v>
      </c>
      <c r="D283" s="68" t="s">
        <v>84</v>
      </c>
      <c r="E283" s="68"/>
      <c r="F283" s="68"/>
      <c r="G283" s="68"/>
      <c r="H283" s="82">
        <f t="shared" ca="1" si="13"/>
        <v>32.765990367042903</v>
      </c>
      <c r="I283" s="82">
        <f t="shared" ca="1" si="14"/>
        <v>28.8310366233252</v>
      </c>
      <c r="J283" s="31"/>
    </row>
    <row r="284" spans="1:10" x14ac:dyDescent="0.25">
      <c r="A284" s="85" t="str">
        <f t="shared" ca="1" si="12"/>
        <v>CumRainfall</v>
      </c>
      <c r="B284" s="68" t="s">
        <v>1898</v>
      </c>
      <c r="C284" s="68" t="s">
        <v>1779</v>
      </c>
      <c r="D284" s="68" t="s">
        <v>84</v>
      </c>
      <c r="E284" s="68"/>
      <c r="F284" s="68"/>
      <c r="G284" s="68"/>
      <c r="H284" s="82">
        <f t="shared" ca="1" si="13"/>
        <v>157.94999999999899</v>
      </c>
      <c r="I284" s="82">
        <f t="shared" ca="1" si="14"/>
        <v>157.94999999999899</v>
      </c>
      <c r="J284" s="31"/>
    </row>
    <row r="285" spans="1:10" ht="25" x14ac:dyDescent="0.25">
      <c r="A285" s="85" t="str">
        <f t="shared" ca="1" si="12"/>
        <v>CumSnowfall</v>
      </c>
      <c r="B285" s="68" t="s">
        <v>1900</v>
      </c>
      <c r="C285" s="68" t="s">
        <v>1779</v>
      </c>
      <c r="D285" s="68" t="s">
        <v>84</v>
      </c>
      <c r="E285" s="68"/>
      <c r="F285" s="68"/>
      <c r="G285" s="68"/>
      <c r="H285" s="82">
        <f t="shared" ca="1" si="13"/>
        <v>169.71</v>
      </c>
      <c r="I285" s="82">
        <f t="shared" ca="1" si="14"/>
        <v>169.71</v>
      </c>
      <c r="J285" s="31"/>
    </row>
    <row r="286" spans="1:10" ht="25" x14ac:dyDescent="0.25">
      <c r="A286" s="85" t="str">
        <f t="shared" ca="1" si="12"/>
        <v>CumSnowmelt</v>
      </c>
      <c r="B286" s="68" t="s">
        <v>1899</v>
      </c>
      <c r="C286" s="68" t="s">
        <v>1779</v>
      </c>
      <c r="D286" s="68" t="s">
        <v>84</v>
      </c>
      <c r="E286" s="68"/>
      <c r="F286" s="68"/>
      <c r="G286" s="68"/>
      <c r="H286" s="82">
        <f t="shared" ca="1" si="13"/>
        <v>156.94323592111701</v>
      </c>
      <c r="I286" s="82">
        <f t="shared" ca="1" si="14"/>
        <v>154.360020303493</v>
      </c>
      <c r="J286" s="31"/>
    </row>
    <row r="287" spans="1:10" x14ac:dyDescent="0.25">
      <c r="A287" s="85" t="str">
        <f t="shared" ca="1" si="12"/>
        <v>CumRunIn</v>
      </c>
      <c r="B287" s="68" t="s">
        <v>1901</v>
      </c>
      <c r="C287" s="68" t="s">
        <v>1779</v>
      </c>
      <c r="D287" s="68" t="s">
        <v>84</v>
      </c>
      <c r="E287" s="68"/>
      <c r="F287" s="68"/>
      <c r="G287" s="68"/>
      <c r="H287" s="82">
        <f t="shared" ca="1" si="13"/>
        <v>0</v>
      </c>
      <c r="I287" s="82">
        <f t="shared" ca="1" si="14"/>
        <v>0</v>
      </c>
      <c r="J287" s="31"/>
    </row>
    <row r="288" spans="1:10" ht="25" x14ac:dyDescent="0.25">
      <c r="A288" s="85" t="str">
        <f t="shared" ca="1" si="12"/>
        <v>CumRinDoC</v>
      </c>
      <c r="B288" s="68" t="s">
        <v>1902</v>
      </c>
      <c r="C288" s="68" t="s">
        <v>1779</v>
      </c>
      <c r="D288" s="68" t="s">
        <v>155</v>
      </c>
      <c r="E288" s="68"/>
      <c r="F288" s="68"/>
      <c r="G288" s="68"/>
      <c r="H288" s="82">
        <f t="shared" ca="1" si="13"/>
        <v>0</v>
      </c>
      <c r="I288" s="82">
        <f t="shared" ca="1" si="14"/>
        <v>0</v>
      </c>
      <c r="J288" s="31"/>
    </row>
    <row r="289" spans="1:10" ht="25" x14ac:dyDescent="0.25">
      <c r="A289" s="85" t="str">
        <f t="shared" ca="1" si="12"/>
        <v>CumRinDoN</v>
      </c>
      <c r="B289" s="68" t="s">
        <v>1903</v>
      </c>
      <c r="C289" s="68" t="s">
        <v>1779</v>
      </c>
      <c r="D289" s="68" t="s">
        <v>155</v>
      </c>
      <c r="E289" s="68"/>
      <c r="F289" s="68"/>
      <c r="G289" s="68"/>
      <c r="H289" s="82">
        <f t="shared" ca="1" si="13"/>
        <v>0</v>
      </c>
      <c r="I289" s="82">
        <f t="shared" ca="1" si="14"/>
        <v>0</v>
      </c>
      <c r="J289" s="31"/>
    </row>
    <row r="290" spans="1:10" x14ac:dyDescent="0.25">
      <c r="A290" s="85" t="str">
        <f t="shared" ca="1" si="12"/>
        <v>CumRinNH4</v>
      </c>
      <c r="B290" s="68" t="s">
        <v>1904</v>
      </c>
      <c r="C290" s="68" t="s">
        <v>1779</v>
      </c>
      <c r="D290" s="68" t="s">
        <v>155</v>
      </c>
      <c r="E290" s="68"/>
      <c r="F290" s="68"/>
      <c r="G290" s="68"/>
      <c r="H290" s="82">
        <f t="shared" ca="1" si="13"/>
        <v>0</v>
      </c>
      <c r="I290" s="82">
        <f t="shared" ca="1" si="14"/>
        <v>0</v>
      </c>
      <c r="J290" s="31"/>
    </row>
    <row r="291" spans="1:10" x14ac:dyDescent="0.25">
      <c r="A291" s="85" t="str">
        <f t="shared" ca="1" si="12"/>
        <v>CumRinNO3</v>
      </c>
      <c r="B291" s="68" t="s">
        <v>1905</v>
      </c>
      <c r="C291" s="68" t="s">
        <v>1779</v>
      </c>
      <c r="D291" s="68" t="s">
        <v>155</v>
      </c>
      <c r="E291" s="68"/>
      <c r="F291" s="68"/>
      <c r="G291" s="68"/>
      <c r="H291" s="82">
        <f t="shared" ca="1" si="13"/>
        <v>0</v>
      </c>
      <c r="I291" s="82">
        <f t="shared" ca="1" si="14"/>
        <v>0</v>
      </c>
      <c r="J291" s="31"/>
    </row>
    <row r="292" spans="1:10" x14ac:dyDescent="0.25">
      <c r="A292" s="85" t="str">
        <f t="shared" ca="1" si="12"/>
        <v>CumRinPO4</v>
      </c>
      <c r="B292" s="68" t="s">
        <v>1906</v>
      </c>
      <c r="C292" s="68" t="s">
        <v>1779</v>
      </c>
      <c r="D292" s="68" t="s">
        <v>155</v>
      </c>
      <c r="E292" s="68"/>
      <c r="F292" s="68"/>
      <c r="G292" s="68"/>
      <c r="H292" s="82">
        <f t="shared" ca="1" si="13"/>
        <v>0</v>
      </c>
      <c r="I292" s="82">
        <f t="shared" ca="1" si="14"/>
        <v>0</v>
      </c>
      <c r="J292" s="31"/>
    </row>
    <row r="293" spans="1:10" ht="25" x14ac:dyDescent="0.25">
      <c r="A293" s="85" t="str">
        <f t="shared" ca="1" si="12"/>
        <v>CumOverlandFlow</v>
      </c>
      <c r="B293" s="68" t="s">
        <v>1907</v>
      </c>
      <c r="C293" s="68" t="s">
        <v>1779</v>
      </c>
      <c r="D293" s="68" t="s">
        <v>84</v>
      </c>
      <c r="E293" s="68"/>
      <c r="F293" s="68"/>
      <c r="G293" s="68"/>
      <c r="H293" s="82">
        <f t="shared" ca="1" si="13"/>
        <v>0</v>
      </c>
      <c r="I293" s="82">
        <f t="shared" ca="1" si="14"/>
        <v>0</v>
      </c>
      <c r="J293" s="31"/>
    </row>
    <row r="294" spans="1:10" ht="25" x14ac:dyDescent="0.25">
      <c r="A294" s="85" t="str">
        <f t="shared" ca="1" si="12"/>
        <v>CumOverlandDoC</v>
      </c>
      <c r="B294" s="68" t="s">
        <v>1908</v>
      </c>
      <c r="C294" s="68" t="s">
        <v>1779</v>
      </c>
      <c r="D294" s="68" t="s">
        <v>155</v>
      </c>
      <c r="E294" s="68"/>
      <c r="F294" s="68"/>
      <c r="G294" s="68"/>
      <c r="H294" s="82">
        <f t="shared" ca="1" si="13"/>
        <v>0</v>
      </c>
      <c r="I294" s="82">
        <f t="shared" ca="1" si="14"/>
        <v>0</v>
      </c>
      <c r="J294" s="31"/>
    </row>
    <row r="295" spans="1:10" ht="25" x14ac:dyDescent="0.25">
      <c r="A295" s="85" t="str">
        <f t="shared" ca="1" si="12"/>
        <v>CumOverlandDoN</v>
      </c>
      <c r="B295" s="68" t="s">
        <v>1909</v>
      </c>
      <c r="C295" s="68" t="s">
        <v>1779</v>
      </c>
      <c r="D295" s="68" t="s">
        <v>155</v>
      </c>
      <c r="E295" s="68"/>
      <c r="F295" s="68"/>
      <c r="G295" s="68"/>
      <c r="H295" s="82">
        <f t="shared" ca="1" si="13"/>
        <v>0</v>
      </c>
      <c r="I295" s="82">
        <f t="shared" ca="1" si="14"/>
        <v>0</v>
      </c>
      <c r="J295" s="31"/>
    </row>
    <row r="296" spans="1:10" ht="25" x14ac:dyDescent="0.25">
      <c r="A296" s="85" t="str">
        <f t="shared" ca="1" si="12"/>
        <v>CumOverlandNH4</v>
      </c>
      <c r="B296" s="68" t="s">
        <v>1910</v>
      </c>
      <c r="C296" s="68" t="s">
        <v>1779</v>
      </c>
      <c r="D296" s="68" t="s">
        <v>155</v>
      </c>
      <c r="E296" s="68"/>
      <c r="F296" s="68"/>
      <c r="G296" s="68"/>
      <c r="H296" s="82">
        <f t="shared" ca="1" si="13"/>
        <v>0</v>
      </c>
      <c r="I296" s="82">
        <f t="shared" ca="1" si="14"/>
        <v>0</v>
      </c>
      <c r="J296" s="31"/>
    </row>
    <row r="297" spans="1:10" ht="25" x14ac:dyDescent="0.25">
      <c r="A297" s="85" t="str">
        <f t="shared" ca="1" si="12"/>
        <v>CumOverlandNO3</v>
      </c>
      <c r="B297" s="68" t="s">
        <v>1911</v>
      </c>
      <c r="C297" s="68" t="s">
        <v>1779</v>
      </c>
      <c r="D297" s="68" t="s">
        <v>155</v>
      </c>
      <c r="E297" s="68"/>
      <c r="F297" s="68"/>
      <c r="G297" s="68"/>
      <c r="H297" s="82">
        <f t="shared" ca="1" si="13"/>
        <v>0</v>
      </c>
      <c r="I297" s="82">
        <f t="shared" ca="1" si="14"/>
        <v>0</v>
      </c>
      <c r="J297" s="31"/>
    </row>
    <row r="298" spans="1:10" ht="25" x14ac:dyDescent="0.25">
      <c r="A298" s="85" t="str">
        <f t="shared" ca="1" si="12"/>
        <v>CumOverlandPO4</v>
      </c>
      <c r="B298" s="68" t="s">
        <v>1912</v>
      </c>
      <c r="C298" s="68" t="s">
        <v>1779</v>
      </c>
      <c r="D298" s="68" t="s">
        <v>155</v>
      </c>
      <c r="E298" s="68"/>
      <c r="F298" s="68"/>
      <c r="G298" s="68"/>
      <c r="H298" s="82">
        <f t="shared" ca="1" si="13"/>
        <v>0</v>
      </c>
      <c r="I298" s="82">
        <f t="shared" ca="1" si="14"/>
        <v>0</v>
      </c>
      <c r="J298" s="31"/>
    </row>
    <row r="299" spans="1:10" ht="25" x14ac:dyDescent="0.25">
      <c r="A299" s="85" t="str">
        <f t="shared" ca="1" si="12"/>
        <v>LAIPeakSeason</v>
      </c>
      <c r="B299" s="68" t="s">
        <v>1968</v>
      </c>
      <c r="C299" s="68" t="s">
        <v>1779</v>
      </c>
      <c r="D299" s="68" t="s">
        <v>189</v>
      </c>
      <c r="E299" s="68"/>
      <c r="F299" s="68"/>
      <c r="G299" s="68"/>
      <c r="H299" s="82">
        <f t="shared" ca="1" si="13"/>
        <v>1.3634144954482299</v>
      </c>
      <c r="I299" s="82">
        <f t="shared" ca="1" si="14"/>
        <v>1.2404118174885701</v>
      </c>
      <c r="J299" s="31"/>
    </row>
    <row r="300" spans="1:10" ht="25" x14ac:dyDescent="0.25">
      <c r="A300" s="85" t="str">
        <f t="shared" ca="1" si="12"/>
        <v>CumBCFireLoss</v>
      </c>
      <c r="B300" s="68" t="s">
        <v>1913</v>
      </c>
      <c r="C300" s="68" t="s">
        <v>1779</v>
      </c>
      <c r="D300" s="68" t="s">
        <v>155</v>
      </c>
      <c r="E300" s="68"/>
      <c r="F300" s="68"/>
      <c r="G300" s="68"/>
      <c r="H300" s="82">
        <f t="shared" ca="1" si="13"/>
        <v>0</v>
      </c>
      <c r="I300" s="82">
        <f t="shared" ca="1" si="14"/>
        <v>0</v>
      </c>
      <c r="J300" s="31"/>
    </row>
    <row r="301" spans="1:10" ht="25" x14ac:dyDescent="0.25">
      <c r="A301" s="85" t="str">
        <f t="shared" ca="1" si="12"/>
        <v>CumBNFireLoss</v>
      </c>
      <c r="B301" s="68" t="s">
        <v>1914</v>
      </c>
      <c r="C301" s="68" t="s">
        <v>1779</v>
      </c>
      <c r="D301" s="68" t="s">
        <v>155</v>
      </c>
      <c r="E301" s="68"/>
      <c r="F301" s="68"/>
      <c r="G301" s="68"/>
      <c r="H301" s="82">
        <f t="shared" ca="1" si="13"/>
        <v>0</v>
      </c>
      <c r="I301" s="82">
        <f t="shared" ca="1" si="14"/>
        <v>0</v>
      </c>
      <c r="J301" s="31"/>
    </row>
    <row r="302" spans="1:10" ht="25" x14ac:dyDescent="0.25">
      <c r="A302" s="85" t="str">
        <f t="shared" ca="1" si="12"/>
        <v>CumBPFireLoss</v>
      </c>
      <c r="B302" s="68" t="s">
        <v>1915</v>
      </c>
      <c r="C302" s="68" t="s">
        <v>1779</v>
      </c>
      <c r="D302" s="68" t="s">
        <v>155</v>
      </c>
      <c r="E302" s="68"/>
      <c r="F302" s="68"/>
      <c r="G302" s="68"/>
      <c r="H302" s="82">
        <f t="shared" ca="1" si="13"/>
        <v>0</v>
      </c>
      <c r="I302" s="82">
        <f t="shared" ca="1" si="14"/>
        <v>0</v>
      </c>
      <c r="J302" s="31"/>
    </row>
    <row r="303" spans="1:10" ht="25" x14ac:dyDescent="0.25">
      <c r="A303" s="85" t="str">
        <f t="shared" ca="1" si="12"/>
        <v>CumWCFireLoss</v>
      </c>
      <c r="B303" s="68" t="s">
        <v>1916</v>
      </c>
      <c r="C303" s="68" t="s">
        <v>1779</v>
      </c>
      <c r="D303" s="68" t="s">
        <v>155</v>
      </c>
      <c r="E303" s="68"/>
      <c r="F303" s="68"/>
      <c r="G303" s="68"/>
      <c r="H303" s="82">
        <f t="shared" ca="1" si="13"/>
        <v>0</v>
      </c>
      <c r="I303" s="82">
        <f t="shared" ca="1" si="14"/>
        <v>0</v>
      </c>
      <c r="J303" s="31"/>
    </row>
    <row r="304" spans="1:10" ht="25" x14ac:dyDescent="0.25">
      <c r="A304" s="85" t="str">
        <f t="shared" ca="1" si="12"/>
        <v>CumWNFireLoss</v>
      </c>
      <c r="B304" s="68" t="s">
        <v>1917</v>
      </c>
      <c r="C304" s="68" t="s">
        <v>1779</v>
      </c>
      <c r="D304" s="68" t="s">
        <v>155</v>
      </c>
      <c r="E304" s="68"/>
      <c r="F304" s="68"/>
      <c r="G304" s="68"/>
      <c r="H304" s="82">
        <f t="shared" ca="1" si="13"/>
        <v>0</v>
      </c>
      <c r="I304" s="82">
        <f t="shared" ca="1" si="14"/>
        <v>0</v>
      </c>
      <c r="J304" s="31"/>
    </row>
    <row r="305" spans="1:10" ht="25" x14ac:dyDescent="0.25">
      <c r="A305" s="85" t="str">
        <f t="shared" ca="1" si="12"/>
        <v>CumWPFireLoss</v>
      </c>
      <c r="B305" s="68" t="s">
        <v>1918</v>
      </c>
      <c r="C305" s="68" t="s">
        <v>1779</v>
      </c>
      <c r="D305" s="68" t="s">
        <v>155</v>
      </c>
      <c r="E305" s="68"/>
      <c r="F305" s="68"/>
      <c r="G305" s="68"/>
      <c r="H305" s="82">
        <f t="shared" ca="1" si="13"/>
        <v>0</v>
      </c>
      <c r="I305" s="82">
        <f t="shared" ca="1" si="14"/>
        <v>0</v>
      </c>
      <c r="J305" s="31"/>
    </row>
    <row r="306" spans="1:10" ht="25" x14ac:dyDescent="0.25">
      <c r="A306" s="85" t="str">
        <f t="shared" ca="1" si="12"/>
        <v>CumDCFireLoss</v>
      </c>
      <c r="B306" s="68" t="s">
        <v>1919</v>
      </c>
      <c r="C306" s="68" t="s">
        <v>1779</v>
      </c>
      <c r="D306" s="68" t="s">
        <v>155</v>
      </c>
      <c r="E306" s="68"/>
      <c r="F306" s="68"/>
      <c r="G306" s="68"/>
      <c r="H306" s="82">
        <f t="shared" ca="1" si="13"/>
        <v>0</v>
      </c>
      <c r="I306" s="82">
        <f t="shared" ca="1" si="14"/>
        <v>0</v>
      </c>
      <c r="J306" s="31"/>
    </row>
    <row r="307" spans="1:10" ht="25" x14ac:dyDescent="0.25">
      <c r="A307" s="85" t="str">
        <f t="shared" ca="1" si="12"/>
        <v>CumDNFireLoss</v>
      </c>
      <c r="B307" s="68" t="s">
        <v>1920</v>
      </c>
      <c r="C307" s="68" t="s">
        <v>1779</v>
      </c>
      <c r="D307" s="68" t="s">
        <v>155</v>
      </c>
      <c r="E307" s="68"/>
      <c r="F307" s="68"/>
      <c r="G307" s="68"/>
      <c r="H307" s="82">
        <f t="shared" ca="1" si="13"/>
        <v>0</v>
      </c>
      <c r="I307" s="82">
        <f t="shared" ca="1" si="14"/>
        <v>0</v>
      </c>
      <c r="J307" s="31"/>
    </row>
    <row r="308" spans="1:10" ht="25" x14ac:dyDescent="0.25">
      <c r="A308" s="85" t="str">
        <f t="shared" ca="1" si="12"/>
        <v>CumDPFireLoss</v>
      </c>
      <c r="B308" s="68" t="s">
        <v>1921</v>
      </c>
      <c r="C308" s="68" t="s">
        <v>1779</v>
      </c>
      <c r="D308" s="68" t="s">
        <v>155</v>
      </c>
      <c r="E308" s="68"/>
      <c r="F308" s="68"/>
      <c r="G308" s="68"/>
      <c r="H308" s="82">
        <f t="shared" ca="1" si="13"/>
        <v>0</v>
      </c>
      <c r="I308" s="82">
        <f t="shared" ca="1" si="14"/>
        <v>0</v>
      </c>
      <c r="J308" s="31"/>
    </row>
    <row r="309" spans="1:10" ht="25" x14ac:dyDescent="0.25">
      <c r="A309" s="85" t="str">
        <f t="shared" ca="1" si="12"/>
        <v>CumTotCVolatilizedFire</v>
      </c>
      <c r="B309" s="68" t="s">
        <v>1922</v>
      </c>
      <c r="C309" s="68" t="s">
        <v>1779</v>
      </c>
      <c r="D309" s="68" t="s">
        <v>155</v>
      </c>
      <c r="E309" s="68"/>
      <c r="F309" s="68"/>
      <c r="G309" s="68"/>
      <c r="H309" s="82">
        <f t="shared" ca="1" si="13"/>
        <v>0</v>
      </c>
      <c r="I309" s="82">
        <f t="shared" ca="1" si="14"/>
        <v>0</v>
      </c>
      <c r="J309" s="31"/>
    </row>
    <row r="310" spans="1:10" ht="25" x14ac:dyDescent="0.25">
      <c r="A310" s="85" t="str">
        <f t="shared" ca="1" si="12"/>
        <v>CumTotNVolatilizedFire</v>
      </c>
      <c r="B310" s="68" t="s">
        <v>1923</v>
      </c>
      <c r="C310" s="68" t="s">
        <v>1779</v>
      </c>
      <c r="D310" s="68" t="s">
        <v>155</v>
      </c>
      <c r="E310" s="68"/>
      <c r="F310" s="68"/>
      <c r="G310" s="68"/>
      <c r="H310" s="82">
        <f t="shared" ca="1" si="13"/>
        <v>0</v>
      </c>
      <c r="I310" s="82">
        <f t="shared" ca="1" si="14"/>
        <v>0</v>
      </c>
      <c r="J310" s="31"/>
    </row>
    <row r="311" spans="1:10" ht="25" x14ac:dyDescent="0.25">
      <c r="A311" s="85" t="str">
        <f t="shared" ca="1" si="12"/>
        <v>CumTotPVolatilizedFire</v>
      </c>
      <c r="B311" s="68" t="s">
        <v>1924</v>
      </c>
      <c r="C311" s="68" t="s">
        <v>1779</v>
      </c>
      <c r="D311" s="68" t="s">
        <v>155</v>
      </c>
      <c r="E311" s="68"/>
      <c r="F311" s="68"/>
      <c r="G311" s="68"/>
      <c r="H311" s="82">
        <f t="shared" ca="1" si="13"/>
        <v>0</v>
      </c>
      <c r="I311" s="82">
        <f t="shared" ca="1" si="14"/>
        <v>0</v>
      </c>
      <c r="J311" s="31"/>
    </row>
    <row r="312" spans="1:10" ht="25" x14ac:dyDescent="0.25">
      <c r="A312" s="85" t="str">
        <f t="shared" ca="1" si="12"/>
        <v>CumCFineLitToDebris</v>
      </c>
      <c r="B312" s="68" t="s">
        <v>1925</v>
      </c>
      <c r="C312" s="68" t="s">
        <v>1779</v>
      </c>
      <c r="D312" s="68" t="s">
        <v>155</v>
      </c>
      <c r="E312" s="68"/>
      <c r="F312" s="68"/>
      <c r="G312" s="68"/>
      <c r="H312" s="82">
        <f t="shared" ca="1" si="13"/>
        <v>0</v>
      </c>
      <c r="I312" s="82">
        <f t="shared" ca="1" si="14"/>
        <v>0</v>
      </c>
      <c r="J312" s="31"/>
    </row>
    <row r="313" spans="1:10" ht="25" x14ac:dyDescent="0.25">
      <c r="A313" s="85" t="str">
        <f t="shared" ca="1" si="12"/>
        <v>CumNFineLitToDebris</v>
      </c>
      <c r="B313" s="68" t="s">
        <v>1926</v>
      </c>
      <c r="C313" s="68" t="s">
        <v>1779</v>
      </c>
      <c r="D313" s="68" t="s">
        <v>155</v>
      </c>
      <c r="E313" s="68"/>
      <c r="F313" s="68"/>
      <c r="G313" s="68"/>
      <c r="H313" s="82">
        <f t="shared" ca="1" si="13"/>
        <v>0</v>
      </c>
      <c r="I313" s="82">
        <f t="shared" ca="1" si="14"/>
        <v>0</v>
      </c>
      <c r="J313" s="31"/>
    </row>
    <row r="314" spans="1:10" ht="25" x14ac:dyDescent="0.25">
      <c r="A314" s="85" t="str">
        <f t="shared" ref="A314:A378" ca="1" si="15">IFERROR(IF(INDIRECT(ADDRESS(1,ROW()-ROW(Variable_Name),,,DataSheet1))=0,"",INDIRECT(ADDRESS(1,ROW()-ROW(Variable_Name),,,DataSheet1))),"")</f>
        <v>CumPFineLitToDebris</v>
      </c>
      <c r="B314" s="68" t="s">
        <v>1927</v>
      </c>
      <c r="C314" s="68" t="s">
        <v>1779</v>
      </c>
      <c r="D314" s="68" t="s">
        <v>155</v>
      </c>
      <c r="E314" s="68"/>
      <c r="F314" s="68"/>
      <c r="G314" s="68"/>
      <c r="H314" s="82">
        <f t="shared" ref="H314:H377" ca="1" si="16">IF(_xlfn.SINGLE(OFFSET(Data_Type,ROW()-_xlfn.SINGLE(ROW(Data_Type)),0))="numeric",_xlfn.AGGREGATE(4,6,(OFFSET(INDIRECT("'"&amp;OFFSET(Name_of_Data_Sheet,0,1)&amp;"'!A1"),1,ROW()-_xlfn.SINGLE(ROW(Data_Type))-1,OFFSET(Number_of_Data_Records,0,1)))),"")</f>
        <v>0</v>
      </c>
      <c r="I314" s="82">
        <f t="shared" ref="I314:I377" ca="1" si="17">IF(_xlfn.SINGLE(OFFSET(Data_Type,ROW()-_xlfn.SINGLE(ROW(Data_Type)),0))="numeric",_xlfn.AGGREGATE(5,6,(OFFSET(INDIRECT("'"&amp;OFFSET(Name_of_Data_Sheet,0,1)&amp;"'!A2"),1,ROW()-_xlfn.SINGLE(ROW(Data_Type))-1,OFFSET(Number_of_Data_Records,0,1)))),"")</f>
        <v>0</v>
      </c>
      <c r="J314" s="31"/>
    </row>
    <row r="315" spans="1:10" ht="25" x14ac:dyDescent="0.25">
      <c r="A315" s="85" t="str">
        <f t="shared" ca="1" si="15"/>
        <v>BCPeakSeason</v>
      </c>
      <c r="B315" s="68" t="s">
        <v>1967</v>
      </c>
      <c r="C315" s="68" t="s">
        <v>1779</v>
      </c>
      <c r="D315" s="68" t="s">
        <v>155</v>
      </c>
      <c r="E315" s="68"/>
      <c r="F315" s="68"/>
      <c r="G315" s="68"/>
      <c r="H315" s="82">
        <f t="shared" ca="1" si="16"/>
        <v>853.10988959533097</v>
      </c>
      <c r="I315" s="82">
        <f t="shared" ca="1" si="17"/>
        <v>760.06296868178595</v>
      </c>
      <c r="J315" s="31"/>
    </row>
    <row r="316" spans="1:10" x14ac:dyDescent="0.25">
      <c r="A316" s="85" t="str">
        <f t="shared" ca="1" si="15"/>
        <v>TemperatureAve</v>
      </c>
      <c r="B316" s="68" t="s">
        <v>1969</v>
      </c>
      <c r="C316" s="68" t="s">
        <v>1779</v>
      </c>
      <c r="D316" s="68" t="s">
        <v>39</v>
      </c>
      <c r="E316" s="68"/>
      <c r="F316" s="68"/>
      <c r="G316" s="68"/>
      <c r="H316" s="82">
        <f t="shared" ca="1" si="16"/>
        <v>-28.649999999999899</v>
      </c>
      <c r="I316" s="82">
        <f t="shared" ca="1" si="17"/>
        <v>-28.649999999999899</v>
      </c>
      <c r="J316" s="31"/>
    </row>
    <row r="317" spans="1:10" x14ac:dyDescent="0.25">
      <c r="A317" s="85" t="str">
        <f t="shared" ca="1" si="15"/>
        <v>Biomass</v>
      </c>
      <c r="B317" s="68" t="s">
        <v>1970</v>
      </c>
      <c r="C317" s="68" t="s">
        <v>1779</v>
      </c>
      <c r="D317" s="68" t="s">
        <v>155</v>
      </c>
      <c r="E317" s="68"/>
      <c r="F317" s="68"/>
      <c r="G317" s="68"/>
      <c r="H317" s="82">
        <f t="shared" ca="1" si="16"/>
        <v>1547.54446802302</v>
      </c>
      <c r="I317" s="82">
        <f t="shared" ca="1" si="17"/>
        <v>1358.92605079601</v>
      </c>
      <c r="J317" s="31"/>
    </row>
    <row r="318" spans="1:10" x14ac:dyDescent="0.25">
      <c r="A318" s="85" t="str">
        <f t="shared" ca="1" si="15"/>
        <v>BiomassActive</v>
      </c>
      <c r="B318" s="68" t="s">
        <v>1971</v>
      </c>
      <c r="C318" s="68" t="s">
        <v>1779</v>
      </c>
      <c r="D318" s="68" t="s">
        <v>155</v>
      </c>
      <c r="E318" s="68"/>
      <c r="F318" s="68"/>
      <c r="G318" s="68"/>
      <c r="H318" s="82">
        <f t="shared" ca="1" si="16"/>
        <v>857.229367174814</v>
      </c>
      <c r="I318" s="82">
        <f t="shared" ca="1" si="17"/>
        <v>801.62287688170204</v>
      </c>
      <c r="J318" s="31"/>
    </row>
    <row r="319" spans="1:10" x14ac:dyDescent="0.25">
      <c r="A319" s="85" t="str">
        <f t="shared" ca="1" si="15"/>
        <v>BiomassLeaf</v>
      </c>
      <c r="B319" s="68" t="s">
        <v>1972</v>
      </c>
      <c r="C319" s="68" t="s">
        <v>1779</v>
      </c>
      <c r="D319" s="68" t="s">
        <v>155</v>
      </c>
      <c r="E319" s="68"/>
      <c r="F319" s="68"/>
      <c r="G319" s="68"/>
      <c r="H319" s="82">
        <f t="shared" ca="1" si="16"/>
        <v>108.18664496760699</v>
      </c>
      <c r="I319" s="82">
        <f t="shared" ca="1" si="17"/>
        <v>85.2303542794875</v>
      </c>
      <c r="J319" s="31"/>
    </row>
    <row r="320" spans="1:10" x14ac:dyDescent="0.25">
      <c r="A320" s="85" t="str">
        <f t="shared" ca="1" si="15"/>
        <v>BiomassRoot</v>
      </c>
      <c r="B320" s="68" t="s">
        <v>1973</v>
      </c>
      <c r="C320" s="68" t="s">
        <v>1779</v>
      </c>
      <c r="D320" s="68" t="s">
        <v>155</v>
      </c>
      <c r="E320" s="68"/>
      <c r="F320" s="68"/>
      <c r="G320" s="68"/>
      <c r="H320" s="82">
        <f t="shared" ca="1" si="16"/>
        <v>701.79395911947097</v>
      </c>
      <c r="I320" s="82">
        <f t="shared" ca="1" si="17"/>
        <v>604.58729546561301</v>
      </c>
      <c r="J320" s="31"/>
    </row>
    <row r="321" spans="1:10" x14ac:dyDescent="0.25">
      <c r="A321" s="85" t="str">
        <f t="shared" ca="1" si="15"/>
        <v>BiomassWoody</v>
      </c>
      <c r="B321" s="68" t="s">
        <v>1974</v>
      </c>
      <c r="C321" s="68" t="s">
        <v>1779</v>
      </c>
      <c r="D321" s="68" t="s">
        <v>155</v>
      </c>
      <c r="E321" s="68"/>
      <c r="F321" s="68"/>
      <c r="G321" s="68"/>
      <c r="H321" s="82">
        <f t="shared" ca="1" si="16"/>
        <v>760.52014160156205</v>
      </c>
      <c r="I321" s="82">
        <f t="shared" ca="1" si="17"/>
        <v>646.29766845703102</v>
      </c>
      <c r="J321" s="31"/>
    </row>
    <row r="322" spans="1:10" x14ac:dyDescent="0.25">
      <c r="A322" s="85" t="str">
        <f t="shared" ca="1" si="15"/>
        <v>leafArea</v>
      </c>
      <c r="B322" s="68" t="s">
        <v>1975</v>
      </c>
      <c r="C322" s="68" t="s">
        <v>1779</v>
      </c>
      <c r="D322" s="68" t="s">
        <v>189</v>
      </c>
      <c r="E322" s="68"/>
      <c r="F322" s="68"/>
      <c r="G322" s="68"/>
      <c r="H322" s="82">
        <f t="shared" ca="1" si="16"/>
        <v>0.46660899974529102</v>
      </c>
      <c r="I322" s="82">
        <f t="shared" ca="1" si="17"/>
        <v>0.36759851800742899</v>
      </c>
      <c r="J322" s="31"/>
    </row>
    <row r="323" spans="1:10" x14ac:dyDescent="0.25">
      <c r="A323" s="85" t="str">
        <f t="shared" ca="1" si="15"/>
        <v>LeafAreaMax</v>
      </c>
      <c r="B323" s="68" t="s">
        <v>1976</v>
      </c>
      <c r="C323" s="68" t="s">
        <v>1779</v>
      </c>
      <c r="D323" s="68" t="s">
        <v>189</v>
      </c>
      <c r="E323" s="68"/>
      <c r="F323" s="68"/>
      <c r="G323" s="68"/>
      <c r="H323" s="82">
        <f t="shared" ca="1" si="16"/>
        <v>0.85095927256001302</v>
      </c>
      <c r="I323" s="82">
        <f t="shared" ca="1" si="17"/>
        <v>0.67039291494269404</v>
      </c>
      <c r="J323" s="31"/>
    </row>
    <row r="324" spans="1:10" x14ac:dyDescent="0.25">
      <c r="A324" s="85" t="str">
        <f t="shared" ca="1" si="15"/>
        <v>canopyFractionGrowth</v>
      </c>
      <c r="B324" s="68" t="s">
        <v>1977</v>
      </c>
      <c r="C324" s="68" t="s">
        <v>1779</v>
      </c>
      <c r="D324" s="68" t="s">
        <v>96</v>
      </c>
      <c r="E324" s="68"/>
      <c r="F324" s="68"/>
      <c r="G324" s="68"/>
      <c r="H324" s="82">
        <f t="shared" ca="1" si="16"/>
        <v>0</v>
      </c>
      <c r="I324" s="82">
        <f t="shared" ca="1" si="17"/>
        <v>0</v>
      </c>
      <c r="J324" s="31"/>
    </row>
    <row r="325" spans="1:10" x14ac:dyDescent="0.25">
      <c r="A325" s="85" t="str">
        <f t="shared" ca="1" si="15"/>
        <v>canopyGrowthWaterResp</v>
      </c>
      <c r="B325" s="68" t="s">
        <v>1978</v>
      </c>
      <c r="C325" s="68" t="s">
        <v>1779</v>
      </c>
      <c r="D325" s="68" t="s">
        <v>96</v>
      </c>
      <c r="E325" s="68"/>
      <c r="F325" s="68"/>
      <c r="G325" s="68"/>
      <c r="H325" s="82">
        <f t="shared" ca="1" si="16"/>
        <v>1</v>
      </c>
      <c r="I325" s="82">
        <f t="shared" ca="1" si="17"/>
        <v>1</v>
      </c>
      <c r="J325" s="31"/>
    </row>
    <row r="326" spans="1:10" x14ac:dyDescent="0.25">
      <c r="A326" s="85" t="str">
        <f t="shared" ca="1" si="15"/>
        <v>canopyFractionSenescence</v>
      </c>
      <c r="B326" s="68" t="s">
        <v>1979</v>
      </c>
      <c r="C326" s="68" t="s">
        <v>1779</v>
      </c>
      <c r="D326" s="68" t="s">
        <v>96</v>
      </c>
      <c r="E326" s="68"/>
      <c r="F326" s="68"/>
      <c r="G326" s="68"/>
      <c r="H326" s="82">
        <f t="shared" ca="1" si="16"/>
        <v>5.9199335899281399E-13</v>
      </c>
      <c r="I326" s="82">
        <f t="shared" ca="1" si="17"/>
        <v>5.8970943399671198E-13</v>
      </c>
      <c r="J326" s="31"/>
    </row>
    <row r="327" spans="1:10" x14ac:dyDescent="0.25">
      <c r="A327" s="85" t="str">
        <f t="shared" ca="1" si="15"/>
        <v>canopyLitterWaterResp</v>
      </c>
      <c r="B327" s="68" t="s">
        <v>1980</v>
      </c>
      <c r="C327" s="68" t="s">
        <v>1779</v>
      </c>
      <c r="D327" s="68" t="s">
        <v>96</v>
      </c>
      <c r="E327" s="68"/>
      <c r="F327" s="68"/>
      <c r="G327" s="68"/>
      <c r="H327" s="82">
        <f t="shared" ca="1" si="16"/>
        <v>0</v>
      </c>
      <c r="I327" s="82">
        <f t="shared" ca="1" si="17"/>
        <v>0</v>
      </c>
      <c r="J327" s="31"/>
    </row>
    <row r="328" spans="1:10" x14ac:dyDescent="0.25">
      <c r="A328" s="85" t="str">
        <f t="shared" ca="1" si="15"/>
        <v>VPD</v>
      </c>
      <c r="B328" s="68" t="s">
        <v>1981</v>
      </c>
      <c r="C328" s="68" t="s">
        <v>1779</v>
      </c>
      <c r="D328" s="68" t="s">
        <v>69</v>
      </c>
      <c r="E328" s="68"/>
      <c r="F328" s="68"/>
      <c r="G328" s="68"/>
      <c r="H328" s="82">
        <f t="shared" ca="1" si="16"/>
        <v>5.4512674794765098E-5</v>
      </c>
      <c r="I328" s="82">
        <f t="shared" ca="1" si="17"/>
        <v>5.4512674794765098E-5</v>
      </c>
      <c r="J328" s="31"/>
    </row>
    <row r="329" spans="1:10" x14ac:dyDescent="0.25">
      <c r="A329" s="85" t="str">
        <f t="shared" ca="1" si="15"/>
        <v>soilPotential</v>
      </c>
      <c r="B329" s="68" t="s">
        <v>1982</v>
      </c>
      <c r="C329" s="68" t="s">
        <v>1779</v>
      </c>
      <c r="D329" s="68" t="s">
        <v>69</v>
      </c>
      <c r="E329" s="68"/>
      <c r="F329" s="68"/>
      <c r="G329" s="68"/>
      <c r="H329" s="82">
        <f t="shared" ca="1" si="16"/>
        <v>-4.8480227448575502E-3</v>
      </c>
      <c r="I329" s="82">
        <f t="shared" ca="1" si="17"/>
        <v>-6.2173252312469098E-3</v>
      </c>
      <c r="J329" s="31"/>
    </row>
    <row r="330" spans="1:10" x14ac:dyDescent="0.25">
      <c r="A330" s="85" t="str">
        <f t="shared" ca="1" si="15"/>
        <v>PBalApatiteWeathering</v>
      </c>
      <c r="B330" s="68" t="s">
        <v>1983</v>
      </c>
      <c r="C330" s="68" t="s">
        <v>1779</v>
      </c>
      <c r="D330" s="68" t="s">
        <v>156</v>
      </c>
      <c r="E330" s="68"/>
      <c r="F330" s="68"/>
      <c r="G330" s="68"/>
      <c r="H330" s="82">
        <f t="shared" ca="1" si="16"/>
        <v>6.57534000000779E-6</v>
      </c>
      <c r="I330" s="82">
        <f t="shared" ca="1" si="17"/>
        <v>6.57534000000779E-6</v>
      </c>
      <c r="J330" s="31"/>
    </row>
    <row r="331" spans="1:10" x14ac:dyDescent="0.25">
      <c r="A331" s="85" t="str">
        <f t="shared" ca="1" si="15"/>
        <v>PBalPO4Precipitation</v>
      </c>
      <c r="B331" s="68" t="s">
        <v>1984</v>
      </c>
      <c r="C331" s="68" t="s">
        <v>1779</v>
      </c>
      <c r="D331" s="68" t="s">
        <v>156</v>
      </c>
      <c r="E331" s="68"/>
      <c r="F331" s="68"/>
      <c r="G331" s="68"/>
      <c r="H331" s="82">
        <f t="shared" ca="1" si="16"/>
        <v>3.6294462468238799E-6</v>
      </c>
      <c r="I331" s="82">
        <f t="shared" ca="1" si="17"/>
        <v>2.1462809912310001E-6</v>
      </c>
      <c r="J331" s="31"/>
    </row>
    <row r="332" spans="1:10" x14ac:dyDescent="0.25">
      <c r="A332" s="85" t="str">
        <f t="shared" ca="1" si="15"/>
        <v>PBalNon_occlWeathrng</v>
      </c>
      <c r="B332" s="68" t="s">
        <v>1985</v>
      </c>
      <c r="C332" s="68" t="s">
        <v>1779</v>
      </c>
      <c r="D332" s="68" t="s">
        <v>156</v>
      </c>
      <c r="E332" s="68"/>
      <c r="F332" s="68"/>
      <c r="G332" s="68"/>
      <c r="H332" s="82">
        <f t="shared" ca="1" si="16"/>
        <v>4.1096002053486203E-6</v>
      </c>
      <c r="I332" s="82">
        <f t="shared" ca="1" si="17"/>
        <v>4.0806890575457003E-6</v>
      </c>
      <c r="J332" s="31"/>
    </row>
    <row r="333" spans="1:10" x14ac:dyDescent="0.25">
      <c r="A333" s="85" t="str">
        <f t="shared" ca="1" si="15"/>
        <v>PBalOccldWeathering</v>
      </c>
      <c r="B333" s="68" t="s">
        <v>1986</v>
      </c>
      <c r="C333" s="68" t="s">
        <v>1779</v>
      </c>
      <c r="D333" s="68" t="s">
        <v>156</v>
      </c>
      <c r="E333" s="68"/>
      <c r="F333" s="68"/>
      <c r="G333" s="68"/>
      <c r="H333" s="82">
        <f t="shared" ca="1" si="16"/>
        <v>0</v>
      </c>
      <c r="I333" s="82">
        <f t="shared" ca="1" si="17"/>
        <v>0</v>
      </c>
      <c r="J333" s="31"/>
    </row>
    <row r="334" spans="1:10" x14ac:dyDescent="0.25">
      <c r="A334" s="85" t="str">
        <f t="shared" ca="1" si="15"/>
        <v>PBalNon_occldStablz</v>
      </c>
      <c r="B334" s="68" t="s">
        <v>1987</v>
      </c>
      <c r="C334" s="68" t="s">
        <v>1779</v>
      </c>
      <c r="D334" s="68" t="s">
        <v>156</v>
      </c>
      <c r="E334" s="68"/>
      <c r="F334" s="68"/>
      <c r="G334" s="68"/>
      <c r="H334" s="82">
        <f t="shared" ca="1" si="16"/>
        <v>0</v>
      </c>
      <c r="I334" s="82">
        <f t="shared" ca="1" si="17"/>
        <v>0</v>
      </c>
      <c r="J334" s="31"/>
    </row>
    <row r="335" spans="1:10" x14ac:dyDescent="0.25">
      <c r="A335" s="85" t="str">
        <f t="shared" ca="1" si="15"/>
        <v>canopyCondSoilLimited</v>
      </c>
      <c r="B335" s="68" t="s">
        <v>2023</v>
      </c>
      <c r="C335" s="68" t="s">
        <v>1779</v>
      </c>
      <c r="D335" s="68" t="s">
        <v>2022</v>
      </c>
      <c r="E335" s="68"/>
      <c r="F335" s="68"/>
      <c r="G335" s="68"/>
      <c r="H335" s="82">
        <f t="shared" ca="1" si="16"/>
        <v>0</v>
      </c>
      <c r="I335" s="82">
        <f t="shared" ca="1" si="17"/>
        <v>0</v>
      </c>
      <c r="J335" s="31"/>
    </row>
    <row r="336" spans="1:10" x14ac:dyDescent="0.25">
      <c r="A336" s="85" t="str">
        <f t="shared" ca="1" si="15"/>
        <v>CBalPs_LightLimit</v>
      </c>
      <c r="B336" s="68" t="s">
        <v>1988</v>
      </c>
      <c r="C336" s="68" t="s">
        <v>1779</v>
      </c>
      <c r="D336" s="68" t="s">
        <v>156</v>
      </c>
      <c r="E336" s="68"/>
      <c r="F336" s="68"/>
      <c r="G336" s="68"/>
      <c r="H336" s="82">
        <f t="shared" ca="1" si="16"/>
        <v>0</v>
      </c>
      <c r="I336" s="82">
        <f t="shared" ca="1" si="17"/>
        <v>0</v>
      </c>
      <c r="J336" s="31"/>
    </row>
    <row r="337" spans="1:10" x14ac:dyDescent="0.25">
      <c r="A337" s="85" t="str">
        <f t="shared" ca="1" si="15"/>
        <v>CBalPs_CO2Limit</v>
      </c>
      <c r="B337" s="68" t="s">
        <v>1990</v>
      </c>
      <c r="C337" s="68" t="s">
        <v>1779</v>
      </c>
      <c r="D337" s="68" t="s">
        <v>156</v>
      </c>
      <c r="E337" s="68"/>
      <c r="F337" s="68"/>
      <c r="G337" s="68"/>
      <c r="H337" s="82">
        <f t="shared" ca="1" si="16"/>
        <v>0</v>
      </c>
      <c r="I337" s="82">
        <f t="shared" ca="1" si="17"/>
        <v>0</v>
      </c>
      <c r="J337" s="31"/>
    </row>
    <row r="338" spans="1:10" x14ac:dyDescent="0.25">
      <c r="A338" s="85" t="str">
        <f t="shared" ca="1" si="15"/>
        <v>CBalPs_WaterLimit</v>
      </c>
      <c r="B338" s="68" t="s">
        <v>1989</v>
      </c>
      <c r="C338" s="68" t="s">
        <v>1779</v>
      </c>
      <c r="D338" s="68" t="s">
        <v>156</v>
      </c>
      <c r="E338" s="68"/>
      <c r="F338" s="68"/>
      <c r="G338" s="68"/>
      <c r="H338" s="82">
        <f t="shared" ca="1" si="16"/>
        <v>0</v>
      </c>
      <c r="I338" s="82">
        <f t="shared" ca="1" si="17"/>
        <v>0</v>
      </c>
      <c r="J338" s="31"/>
    </row>
    <row r="339" spans="1:10" x14ac:dyDescent="0.25">
      <c r="A339" s="85" t="str">
        <f t="shared" ca="1" si="15"/>
        <v>CBalPhotosynthesis</v>
      </c>
      <c r="B339" s="68" t="s">
        <v>1991</v>
      </c>
      <c r="C339" s="68" t="s">
        <v>1779</v>
      </c>
      <c r="D339" s="68" t="s">
        <v>156</v>
      </c>
      <c r="E339" s="68"/>
      <c r="F339" s="68"/>
      <c r="G339" s="68"/>
      <c r="H339" s="82">
        <f t="shared" ca="1" si="16"/>
        <v>0</v>
      </c>
      <c r="I339" s="82">
        <f t="shared" ca="1" si="17"/>
        <v>0</v>
      </c>
      <c r="J339" s="31"/>
    </row>
    <row r="340" spans="1:10" x14ac:dyDescent="0.25">
      <c r="A340" s="85" t="str">
        <f t="shared" ca="1" si="15"/>
        <v>WBalWaterUptake</v>
      </c>
      <c r="B340" s="68" t="s">
        <v>1992</v>
      </c>
      <c r="C340" s="68" t="s">
        <v>1779</v>
      </c>
      <c r="D340" s="68" t="s">
        <v>715</v>
      </c>
      <c r="E340" s="68"/>
      <c r="F340" s="68"/>
      <c r="G340" s="68"/>
      <c r="H340" s="82">
        <f t="shared" ca="1" si="16"/>
        <v>0</v>
      </c>
      <c r="I340" s="82">
        <f t="shared" ca="1" si="17"/>
        <v>0</v>
      </c>
      <c r="J340" s="31"/>
    </row>
    <row r="341" spans="1:10" x14ac:dyDescent="0.25">
      <c r="A341" s="85" t="str">
        <f t="shared" ca="1" si="15"/>
        <v>potentialET</v>
      </c>
      <c r="B341" s="68" t="s">
        <v>1993</v>
      </c>
      <c r="C341" s="68" t="s">
        <v>1779</v>
      </c>
      <c r="D341" s="68" t="s">
        <v>715</v>
      </c>
      <c r="E341" s="68"/>
      <c r="F341" s="68"/>
      <c r="G341" s="68"/>
      <c r="H341" s="82">
        <f t="shared" ca="1" si="16"/>
        <v>-999</v>
      </c>
      <c r="I341" s="82">
        <f t="shared" ca="1" si="17"/>
        <v>-999</v>
      </c>
      <c r="J341" s="31"/>
    </row>
    <row r="342" spans="1:10" x14ac:dyDescent="0.25">
      <c r="A342" s="85" t="str">
        <f t="shared" ca="1" si="15"/>
        <v>aqueousNH4</v>
      </c>
      <c r="B342" s="68" t="s">
        <v>1994</v>
      </c>
      <c r="C342" s="68" t="s">
        <v>1779</v>
      </c>
      <c r="D342" s="68" t="s">
        <v>208</v>
      </c>
      <c r="E342" s="68"/>
      <c r="F342" s="68"/>
      <c r="G342" s="68"/>
      <c r="H342" s="82">
        <f t="shared" ca="1" si="16"/>
        <v>0.49585985019870499</v>
      </c>
      <c r="I342" s="82">
        <f t="shared" ca="1" si="17"/>
        <v>0.45699649912839302</v>
      </c>
      <c r="J342" s="31"/>
    </row>
    <row r="343" spans="1:10" x14ac:dyDescent="0.25">
      <c r="A343" s="85" t="str">
        <f t="shared" ca="1" si="15"/>
        <v>NBalNH4Uptake</v>
      </c>
      <c r="B343" s="68" t="s">
        <v>1997</v>
      </c>
      <c r="C343" s="68" t="s">
        <v>1779</v>
      </c>
      <c r="D343" s="68" t="s">
        <v>156</v>
      </c>
      <c r="E343" s="68"/>
      <c r="F343" s="68"/>
      <c r="G343" s="68"/>
      <c r="H343" s="82">
        <f t="shared" ca="1" si="16"/>
        <v>3.2586097562393801E-3</v>
      </c>
      <c r="I343" s="82">
        <f t="shared" ca="1" si="17"/>
        <v>3.0940188159541298E-3</v>
      </c>
      <c r="J343" s="31"/>
    </row>
    <row r="344" spans="1:10" x14ac:dyDescent="0.25">
      <c r="A344" s="85" t="str">
        <f t="shared" ca="1" si="15"/>
        <v>aqueousNO3</v>
      </c>
      <c r="B344" s="68" t="s">
        <v>1995</v>
      </c>
      <c r="C344" s="68" t="s">
        <v>1779</v>
      </c>
      <c r="D344" s="68" t="s">
        <v>208</v>
      </c>
      <c r="E344" s="68"/>
      <c r="F344" s="68"/>
      <c r="G344" s="68"/>
      <c r="H344" s="82">
        <f t="shared" ca="1" si="16"/>
        <v>1.2511045309933</v>
      </c>
      <c r="I344" s="82">
        <f t="shared" ca="1" si="17"/>
        <v>1.11821269178765</v>
      </c>
      <c r="J344" s="31"/>
    </row>
    <row r="345" spans="1:10" x14ac:dyDescent="0.25">
      <c r="A345" s="85" t="str">
        <f t="shared" ca="1" si="15"/>
        <v>NBalNO3Uptake</v>
      </c>
      <c r="B345" s="68" t="s">
        <v>1998</v>
      </c>
      <c r="C345" s="68" t="s">
        <v>1779</v>
      </c>
      <c r="D345" s="68" t="s">
        <v>156</v>
      </c>
      <c r="E345" s="68"/>
      <c r="F345" s="68"/>
      <c r="G345" s="68"/>
      <c r="H345" s="82">
        <f t="shared" ca="1" si="16"/>
        <v>9.896257319288791E-4</v>
      </c>
      <c r="I345" s="82">
        <f t="shared" ca="1" si="17"/>
        <v>8.4579776587439105E-4</v>
      </c>
      <c r="J345" s="31"/>
    </row>
    <row r="346" spans="1:10" x14ac:dyDescent="0.25">
      <c r="A346" s="85" t="str">
        <f t="shared" ca="1" si="15"/>
        <v>PlantAvailDoC</v>
      </c>
      <c r="B346" s="68" t="s">
        <v>2004</v>
      </c>
      <c r="C346" s="68" t="s">
        <v>1779</v>
      </c>
      <c r="D346" s="68" t="s">
        <v>208</v>
      </c>
      <c r="E346" s="68"/>
      <c r="F346" s="68"/>
      <c r="G346" s="68"/>
      <c r="H346" s="82">
        <f t="shared" ca="1" si="16"/>
        <v>44.290909874522598</v>
      </c>
      <c r="I346" s="82">
        <f t="shared" ca="1" si="17"/>
        <v>40.9425774073746</v>
      </c>
      <c r="J346" s="31"/>
    </row>
    <row r="347" spans="1:10" x14ac:dyDescent="0.25">
      <c r="A347" s="85" t="str">
        <f t="shared" ca="1" si="15"/>
        <v>doCUptake</v>
      </c>
      <c r="B347" s="68" t="s">
        <v>2005</v>
      </c>
      <c r="C347" s="68" t="s">
        <v>1779</v>
      </c>
      <c r="D347" s="68" t="s">
        <v>156</v>
      </c>
      <c r="E347" s="68"/>
      <c r="F347" s="68"/>
      <c r="G347" s="68"/>
      <c r="H347" s="82">
        <f t="shared" ca="1" si="16"/>
        <v>1.08702975721424E-2</v>
      </c>
      <c r="I347" s="82">
        <f t="shared" ca="1" si="17"/>
        <v>1.06008465190744E-2</v>
      </c>
      <c r="J347" s="31"/>
    </row>
    <row r="348" spans="1:10" x14ac:dyDescent="0.25">
      <c r="A348" s="85" t="str">
        <f t="shared" ca="1" si="15"/>
        <v>NBalDoNUptake</v>
      </c>
      <c r="B348" s="68" t="s">
        <v>2006</v>
      </c>
      <c r="C348" s="68" t="s">
        <v>1779</v>
      </c>
      <c r="D348" s="68" t="s">
        <v>156</v>
      </c>
      <c r="E348" s="68"/>
      <c r="F348" s="68"/>
      <c r="G348" s="68"/>
      <c r="H348" s="82">
        <f t="shared" ca="1" si="16"/>
        <v>2.9379182627412102E-3</v>
      </c>
      <c r="I348" s="82">
        <f t="shared" ca="1" si="17"/>
        <v>2.8650936538038999E-3</v>
      </c>
      <c r="J348" s="31"/>
    </row>
    <row r="349" spans="1:10" x14ac:dyDescent="0.25">
      <c r="A349" s="85" t="str">
        <f t="shared" ca="1" si="15"/>
        <v>NBalNFixation</v>
      </c>
      <c r="B349" s="68" t="s">
        <v>2007</v>
      </c>
      <c r="C349" s="68" t="s">
        <v>1779</v>
      </c>
      <c r="D349" s="68" t="s">
        <v>156</v>
      </c>
      <c r="E349" s="68"/>
      <c r="F349" s="68"/>
      <c r="G349" s="68"/>
      <c r="H349" s="82">
        <f t="shared" ca="1" si="16"/>
        <v>0</v>
      </c>
      <c r="I349" s="82">
        <f t="shared" ca="1" si="17"/>
        <v>0</v>
      </c>
      <c r="J349" s="31"/>
    </row>
    <row r="350" spans="1:10" x14ac:dyDescent="0.25">
      <c r="A350" s="85" t="str">
        <f t="shared" ca="1" si="15"/>
        <v>NBalTotalNUptake</v>
      </c>
      <c r="B350" s="68" t="s">
        <v>2008</v>
      </c>
      <c r="C350" s="68" t="s">
        <v>1779</v>
      </c>
      <c r="D350" s="68" t="s">
        <v>156</v>
      </c>
      <c r="E350" s="68"/>
      <c r="F350" s="68"/>
      <c r="G350" s="68"/>
      <c r="H350" s="82">
        <f t="shared" ca="1" si="16"/>
        <v>7.0430288176907101E-3</v>
      </c>
      <c r="I350" s="82">
        <f t="shared" ca="1" si="17"/>
        <v>6.9588112704729501E-3</v>
      </c>
      <c r="J350" s="31"/>
    </row>
    <row r="351" spans="1:10" x14ac:dyDescent="0.25">
      <c r="A351" s="85" t="str">
        <f t="shared" ca="1" si="15"/>
        <v>aqueousPO4</v>
      </c>
      <c r="B351" s="68" t="s">
        <v>1996</v>
      </c>
      <c r="C351" s="68" t="s">
        <v>1779</v>
      </c>
      <c r="D351" s="68" t="s">
        <v>208</v>
      </c>
      <c r="E351" s="68"/>
      <c r="F351" s="68"/>
      <c r="G351" s="68"/>
      <c r="H351" s="82">
        <f t="shared" ca="1" si="16"/>
        <v>0.58385747084468598</v>
      </c>
      <c r="I351" s="82">
        <f t="shared" ca="1" si="17"/>
        <v>0.345265394785433</v>
      </c>
      <c r="J351" s="31"/>
    </row>
    <row r="352" spans="1:10" x14ac:dyDescent="0.25">
      <c r="A352" s="85" t="str">
        <f t="shared" ca="1" si="15"/>
        <v>PBalPO4Uptake</v>
      </c>
      <c r="B352" s="68" t="s">
        <v>1999</v>
      </c>
      <c r="C352" s="68" t="s">
        <v>1779</v>
      </c>
      <c r="D352" s="68" t="s">
        <v>156</v>
      </c>
      <c r="E352" s="68"/>
      <c r="F352" s="68"/>
      <c r="G352" s="68"/>
      <c r="H352" s="82">
        <f t="shared" ca="1" si="16"/>
        <v>5.6299472780643798E-4</v>
      </c>
      <c r="I352" s="82">
        <f t="shared" ca="1" si="17"/>
        <v>5.5870028746713199E-4</v>
      </c>
      <c r="J352" s="31"/>
    </row>
    <row r="353" spans="1:10" x14ac:dyDescent="0.25">
      <c r="A353" s="85" t="str">
        <f t="shared" ca="1" si="15"/>
        <v>actualNConc_</v>
      </c>
      <c r="B353" s="68" t="s">
        <v>2000</v>
      </c>
      <c r="C353" s="68" t="s">
        <v>1779</v>
      </c>
      <c r="D353" s="68" t="s">
        <v>149</v>
      </c>
      <c r="E353" s="68"/>
      <c r="F353" s="68"/>
      <c r="G353" s="68"/>
      <c r="H353" s="82">
        <f t="shared" ca="1" si="16"/>
        <v>9.5513473082820492E-3</v>
      </c>
      <c r="I353" s="82">
        <f t="shared" ca="1" si="17"/>
        <v>9.3638074096972293E-3</v>
      </c>
      <c r="J353" s="31"/>
    </row>
    <row r="354" spans="1:10" x14ac:dyDescent="0.25">
      <c r="A354" s="85" t="str">
        <f t="shared" ca="1" si="15"/>
        <v>optimumNConc_</v>
      </c>
      <c r="B354" s="68" t="s">
        <v>2001</v>
      </c>
      <c r="C354" s="68" t="s">
        <v>1779</v>
      </c>
      <c r="D354" s="68" t="s">
        <v>149</v>
      </c>
      <c r="E354" s="68"/>
      <c r="F354" s="68"/>
      <c r="G354" s="68"/>
      <c r="H354" s="82">
        <f t="shared" ca="1" si="16"/>
        <v>1.8775006026822999E-2</v>
      </c>
      <c r="I354" s="82">
        <f t="shared" ca="1" si="17"/>
        <v>1.83956408597678E-2</v>
      </c>
      <c r="J354" s="31"/>
    </row>
    <row r="355" spans="1:10" x14ac:dyDescent="0.25">
      <c r="A355" s="85" t="str">
        <f t="shared" ca="1" si="15"/>
        <v>actualPConc_</v>
      </c>
      <c r="B355" s="68" t="s">
        <v>2002</v>
      </c>
      <c r="C355" s="68" t="s">
        <v>1779</v>
      </c>
      <c r="D355" s="68" t="s">
        <v>149</v>
      </c>
      <c r="E355" s="68"/>
      <c r="F355" s="68"/>
      <c r="G355" s="68"/>
      <c r="H355" s="82">
        <f t="shared" ca="1" si="16"/>
        <v>9.3288268386549104E-4</v>
      </c>
      <c r="I355" s="82">
        <f t="shared" ca="1" si="17"/>
        <v>9.0619483258871101E-4</v>
      </c>
      <c r="J355" s="31"/>
    </row>
    <row r="356" spans="1:10" x14ac:dyDescent="0.25">
      <c r="A356" s="85" t="str">
        <f t="shared" ca="1" si="15"/>
        <v>optimumPConc_</v>
      </c>
      <c r="B356" s="68" t="s">
        <v>2003</v>
      </c>
      <c r="C356" s="68" t="s">
        <v>1779</v>
      </c>
      <c r="D356" s="68" t="s">
        <v>149</v>
      </c>
      <c r="E356" s="68"/>
      <c r="F356" s="68"/>
      <c r="G356" s="68"/>
      <c r="H356" s="82">
        <f t="shared" ca="1" si="16"/>
        <v>1.790416630085E-3</v>
      </c>
      <c r="I356" s="82">
        <f t="shared" ca="1" si="17"/>
        <v>1.7603855945938301E-3</v>
      </c>
      <c r="J356" s="31"/>
    </row>
    <row r="357" spans="1:10" x14ac:dyDescent="0.25">
      <c r="A357" s="85" t="str">
        <f t="shared" ca="1" si="15"/>
        <v>CBalLitterC</v>
      </c>
      <c r="B357" s="68" t="s">
        <v>2009</v>
      </c>
      <c r="C357" s="68" t="s">
        <v>1779</v>
      </c>
      <c r="D357" s="68" t="s">
        <v>156</v>
      </c>
      <c r="E357" s="68"/>
      <c r="F357" s="68"/>
      <c r="G357" s="68"/>
      <c r="H357" s="82">
        <f t="shared" ca="1" si="16"/>
        <v>0.41512763639748901</v>
      </c>
      <c r="I357" s="82">
        <f t="shared" ca="1" si="17"/>
        <v>0.36518196299297401</v>
      </c>
      <c r="J357" s="31"/>
    </row>
    <row r="358" spans="1:10" x14ac:dyDescent="0.25">
      <c r="A358" s="85" t="str">
        <f t="shared" ca="1" si="15"/>
        <v>NBalLitterN</v>
      </c>
      <c r="B358" s="68" t="s">
        <v>2010</v>
      </c>
      <c r="C358" s="68" t="s">
        <v>1779</v>
      </c>
      <c r="D358" s="68" t="s">
        <v>156</v>
      </c>
      <c r="E358" s="68"/>
      <c r="F358" s="68"/>
      <c r="G358" s="68"/>
      <c r="H358" s="82">
        <f t="shared" ca="1" si="16"/>
        <v>6.9440617098870897E-3</v>
      </c>
      <c r="I358" s="82">
        <f t="shared" ca="1" si="17"/>
        <v>6.0963104430013003E-3</v>
      </c>
      <c r="J358" s="31"/>
    </row>
    <row r="359" spans="1:10" x14ac:dyDescent="0.25">
      <c r="A359" s="85" t="str">
        <f t="shared" ca="1" si="15"/>
        <v>PBalLitterP</v>
      </c>
      <c r="B359" s="68" t="s">
        <v>2011</v>
      </c>
      <c r="C359" s="68" t="s">
        <v>1779</v>
      </c>
      <c r="D359" s="68" t="s">
        <v>156</v>
      </c>
      <c r="E359" s="68"/>
      <c r="F359" s="68"/>
      <c r="G359" s="68"/>
      <c r="H359" s="82">
        <f t="shared" ca="1" si="16"/>
        <v>5.7535970174816002E-4</v>
      </c>
      <c r="I359" s="82">
        <f t="shared" ca="1" si="17"/>
        <v>5.0991067827040602E-4</v>
      </c>
      <c r="J359" s="31"/>
    </row>
    <row r="360" spans="1:10" x14ac:dyDescent="0.25">
      <c r="A360" s="85" t="str">
        <f t="shared" ca="1" si="15"/>
        <v>CBalFine_DebrisLitter</v>
      </c>
      <c r="B360" s="68" t="s">
        <v>2012</v>
      </c>
      <c r="C360" s="68" t="s">
        <v>1779</v>
      </c>
      <c r="D360" s="68" t="s">
        <v>156</v>
      </c>
      <c r="E360" s="68"/>
      <c r="F360" s="68"/>
      <c r="G360" s="68"/>
      <c r="H360" s="82">
        <f t="shared" ca="1" si="16"/>
        <v>0</v>
      </c>
      <c r="I360" s="82">
        <f t="shared" ca="1" si="17"/>
        <v>0</v>
      </c>
      <c r="J360" s="31"/>
    </row>
    <row r="361" spans="1:10" x14ac:dyDescent="0.25">
      <c r="A361" s="85" t="str">
        <f t="shared" ca="1" si="15"/>
        <v>NBalFine_DebrisLitter</v>
      </c>
      <c r="B361" s="68" t="s">
        <v>2013</v>
      </c>
      <c r="C361" s="68" t="s">
        <v>1779</v>
      </c>
      <c r="D361" s="68" t="s">
        <v>156</v>
      </c>
      <c r="E361" s="68"/>
      <c r="F361" s="68"/>
      <c r="G361" s="68"/>
      <c r="H361" s="82">
        <f t="shared" ca="1" si="16"/>
        <v>0</v>
      </c>
      <c r="I361" s="82">
        <f t="shared" ca="1" si="17"/>
        <v>0</v>
      </c>
      <c r="J361" s="31"/>
    </row>
    <row r="362" spans="1:10" x14ac:dyDescent="0.25">
      <c r="A362" s="85" t="str">
        <f t="shared" ca="1" si="15"/>
        <v>PBalFine_DebrisLitter</v>
      </c>
      <c r="B362" s="68" t="s">
        <v>2014</v>
      </c>
      <c r="C362" s="68" t="s">
        <v>1779</v>
      </c>
      <c r="D362" s="68" t="s">
        <v>156</v>
      </c>
      <c r="E362" s="68"/>
      <c r="F362" s="68"/>
      <c r="G362" s="68"/>
      <c r="H362" s="82">
        <f t="shared" ca="1" si="16"/>
        <v>0</v>
      </c>
      <c r="I362" s="82">
        <f t="shared" ca="1" si="17"/>
        <v>0</v>
      </c>
      <c r="J362" s="31"/>
    </row>
    <row r="363" spans="1:10" x14ac:dyDescent="0.25">
      <c r="A363" s="85" t="str">
        <f t="shared" ca="1" si="15"/>
        <v>CCoarseLitter</v>
      </c>
      <c r="B363" s="68" t="s">
        <v>2015</v>
      </c>
      <c r="C363" s="68" t="s">
        <v>1779</v>
      </c>
      <c r="D363" s="68" t="s">
        <v>156</v>
      </c>
      <c r="E363" s="68"/>
      <c r="F363" s="68"/>
      <c r="G363" s="68"/>
      <c r="H363" s="82">
        <f t="shared" ca="1" si="16"/>
        <v>6.2687867238841496E-2</v>
      </c>
      <c r="I363" s="82">
        <f t="shared" ca="1" si="17"/>
        <v>5.7788900149749203E-2</v>
      </c>
      <c r="J363" s="31"/>
    </row>
    <row r="364" spans="1:10" x14ac:dyDescent="0.25">
      <c r="A364" s="85" t="str">
        <f t="shared" ca="1" si="15"/>
        <v>NCoarseLitter</v>
      </c>
      <c r="B364" s="68" t="s">
        <v>2016</v>
      </c>
      <c r="C364" s="68" t="s">
        <v>1779</v>
      </c>
      <c r="D364" s="68" t="s">
        <v>156</v>
      </c>
      <c r="E364" s="68"/>
      <c r="F364" s="68"/>
      <c r="G364" s="68"/>
      <c r="H364" s="82">
        <f t="shared" ca="1" si="16"/>
        <v>1.16402953393893E-3</v>
      </c>
      <c r="I364" s="82">
        <f t="shared" ca="1" si="17"/>
        <v>1.0730622921316501E-3</v>
      </c>
      <c r="J364" s="31"/>
    </row>
    <row r="365" spans="1:10" x14ac:dyDescent="0.25">
      <c r="A365" s="85" t="str">
        <f t="shared" ca="1" si="15"/>
        <v>PCoarseLitter</v>
      </c>
      <c r="B365" s="68" t="s">
        <v>2017</v>
      </c>
      <c r="C365" s="68" t="s">
        <v>1779</v>
      </c>
      <c r="D365" s="68" t="s">
        <v>156</v>
      </c>
      <c r="E365" s="68"/>
      <c r="F365" s="68"/>
      <c r="G365" s="68"/>
      <c r="H365" s="82">
        <f t="shared" ca="1" si="16"/>
        <v>1.3057956865019599E-4</v>
      </c>
      <c r="I365" s="82">
        <f t="shared" ca="1" si="17"/>
        <v>1.2037496228054801E-4</v>
      </c>
      <c r="J365" s="31"/>
    </row>
    <row r="366" spans="1:10" x14ac:dyDescent="0.25">
      <c r="A366" s="85" t="str">
        <f t="shared" ca="1" si="15"/>
        <v>CCWDActivation</v>
      </c>
      <c r="B366" s="68" t="s">
        <v>2018</v>
      </c>
      <c r="C366" s="68" t="s">
        <v>1779</v>
      </c>
      <c r="D366" s="68" t="s">
        <v>156</v>
      </c>
      <c r="E366" s="68"/>
      <c r="F366" s="68"/>
      <c r="G366" s="68"/>
      <c r="H366" s="82">
        <f t="shared" ca="1" si="16"/>
        <v>3.9734118565387402E-2</v>
      </c>
      <c r="I366" s="82">
        <f t="shared" ca="1" si="17"/>
        <v>3.6790456272608102E-2</v>
      </c>
      <c r="J366" s="31"/>
    </row>
    <row r="367" spans="1:10" x14ac:dyDescent="0.25">
      <c r="A367" s="85" t="str">
        <f t="shared" ca="1" si="15"/>
        <v>NCWDActivation</v>
      </c>
      <c r="B367" s="68" t="s">
        <v>2019</v>
      </c>
      <c r="C367" s="68" t="s">
        <v>1779</v>
      </c>
      <c r="D367" s="68" t="s">
        <v>156</v>
      </c>
      <c r="E367" s="68"/>
      <c r="F367" s="68"/>
      <c r="G367" s="68"/>
      <c r="H367" s="82">
        <f t="shared" ca="1" si="16"/>
        <v>7.3780923729504296E-4</v>
      </c>
      <c r="I367" s="82">
        <f t="shared" ca="1" si="17"/>
        <v>6.8314938048921595E-4</v>
      </c>
      <c r="J367" s="31"/>
    </row>
    <row r="368" spans="1:10" x14ac:dyDescent="0.25">
      <c r="A368" s="85" t="str">
        <f t="shared" ca="1" si="15"/>
        <v>PCWDActivation</v>
      </c>
      <c r="B368" s="68" t="s">
        <v>2020</v>
      </c>
      <c r="C368" s="68" t="s">
        <v>1779</v>
      </c>
      <c r="D368" s="68" t="s">
        <v>156</v>
      </c>
      <c r="E368" s="68"/>
      <c r="F368" s="68"/>
      <c r="G368" s="68"/>
      <c r="H368" s="82">
        <f t="shared" ca="1" si="16"/>
        <v>8.2766638769124902E-5</v>
      </c>
      <c r="I368" s="82">
        <f t="shared" ca="1" si="17"/>
        <v>7.6634955408795303E-5</v>
      </c>
      <c r="J368" s="31"/>
    </row>
    <row r="369" spans="1:10" x14ac:dyDescent="0.25">
      <c r="A369" s="85" t="str">
        <f t="shared" ca="1" si="15"/>
        <v>maintCReq</v>
      </c>
      <c r="B369" s="68" t="s">
        <v>2027</v>
      </c>
      <c r="C369" s="68" t="s">
        <v>1779</v>
      </c>
      <c r="D369" s="68" t="s">
        <v>156</v>
      </c>
      <c r="E369" s="68"/>
      <c r="F369" s="68"/>
      <c r="G369" s="68"/>
      <c r="H369" s="82">
        <f t="shared" ca="1" si="16"/>
        <v>0.127968532933387</v>
      </c>
      <c r="I369" s="82">
        <f t="shared" ca="1" si="17"/>
        <v>0.111520599218895</v>
      </c>
      <c r="J369" s="31"/>
    </row>
    <row r="370" spans="1:10" x14ac:dyDescent="0.25">
      <c r="A370" s="85" t="str">
        <f t="shared" ca="1" si="15"/>
        <v>CBalTotalPlantResp</v>
      </c>
      <c r="B370" s="68" t="s">
        <v>2021</v>
      </c>
      <c r="C370" s="68" t="s">
        <v>1779</v>
      </c>
      <c r="D370" s="68" t="s">
        <v>156</v>
      </c>
      <c r="E370" s="68"/>
      <c r="F370" s="68"/>
      <c r="G370" s="68"/>
      <c r="H370" s="82">
        <f t="shared" ca="1" si="16"/>
        <v>0.13855846302994601</v>
      </c>
      <c r="I370" s="82">
        <f t="shared" ca="1" si="17"/>
        <v>0.122224352839041</v>
      </c>
      <c r="J370" s="31"/>
    </row>
    <row r="371" spans="1:10" x14ac:dyDescent="0.25">
      <c r="A371" s="85" t="str">
        <f t="shared" ca="1" si="15"/>
        <v>N_useEff</v>
      </c>
      <c r="B371" s="68" t="s">
        <v>2024</v>
      </c>
      <c r="C371" s="68" t="s">
        <v>1779</v>
      </c>
      <c r="D371" s="68" t="s">
        <v>96</v>
      </c>
      <c r="E371" s="68"/>
      <c r="F371" s="68"/>
      <c r="G371" s="68"/>
      <c r="H371" s="82">
        <f t="shared" ca="1" si="16"/>
        <v>59.268328001617697</v>
      </c>
      <c r="I371" s="82">
        <f t="shared" ca="1" si="17"/>
        <v>58.921370386242302</v>
      </c>
      <c r="J371" s="31"/>
    </row>
    <row r="372" spans="1:10" x14ac:dyDescent="0.25">
      <c r="A372" s="85" t="str">
        <f t="shared" ca="1" si="15"/>
        <v>P_useEff</v>
      </c>
      <c r="B372" s="68" t="s">
        <v>2025</v>
      </c>
      <c r="C372" s="68" t="s">
        <v>1779</v>
      </c>
      <c r="D372" s="68" t="s">
        <v>96</v>
      </c>
      <c r="E372" s="68"/>
      <c r="F372" s="68"/>
      <c r="G372" s="68"/>
      <c r="H372" s="82">
        <f t="shared" ca="1" si="16"/>
        <v>678.65611020290305</v>
      </c>
      <c r="I372" s="82">
        <f t="shared" ca="1" si="17"/>
        <v>671.07805720116096</v>
      </c>
      <c r="J372" s="31"/>
    </row>
    <row r="373" spans="1:10" x14ac:dyDescent="0.25">
      <c r="A373" s="85" t="str">
        <f t="shared" ca="1" si="15"/>
        <v>H2O_useEff</v>
      </c>
      <c r="B373" s="68" t="s">
        <v>2026</v>
      </c>
      <c r="C373" s="68" t="s">
        <v>1779</v>
      </c>
      <c r="D373" s="68" t="s">
        <v>96</v>
      </c>
      <c r="E373" s="68"/>
      <c r="F373" s="68"/>
      <c r="G373" s="68"/>
      <c r="H373" s="82">
        <f t="shared" ca="1" si="16"/>
        <v>0</v>
      </c>
      <c r="I373" s="82">
        <f t="shared" ca="1" si="17"/>
        <v>0</v>
      </c>
      <c r="J373" s="31"/>
    </row>
    <row r="374" spans="1:10" ht="25" x14ac:dyDescent="0.25">
      <c r="A374" s="85" t="str">
        <f t="shared" ca="1" si="15"/>
        <v>allocatableEffort</v>
      </c>
      <c r="B374" s="68" t="s">
        <v>2028</v>
      </c>
      <c r="C374" s="68" t="s">
        <v>1779</v>
      </c>
      <c r="D374" s="68" t="s">
        <v>96</v>
      </c>
      <c r="E374" s="68"/>
      <c r="F374" s="68"/>
      <c r="G374" s="68"/>
      <c r="H374" s="82">
        <f t="shared" ca="1" si="16"/>
        <v>0.99981316969211897</v>
      </c>
      <c r="I374" s="82">
        <f t="shared" ca="1" si="17"/>
        <v>0.999813066031636</v>
      </c>
      <c r="J374" s="31"/>
    </row>
    <row r="375" spans="1:10" x14ac:dyDescent="0.25">
      <c r="A375" s="85" t="str">
        <f t="shared" ca="1" si="15"/>
        <v>growthCReq</v>
      </c>
      <c r="B375" s="68" t="s">
        <v>2029</v>
      </c>
      <c r="C375" s="68" t="s">
        <v>1779</v>
      </c>
      <c r="D375" s="68" t="s">
        <v>156</v>
      </c>
      <c r="E375" s="68"/>
      <c r="F375" s="68"/>
      <c r="G375" s="68"/>
      <c r="H375" s="82">
        <f t="shared" ca="1" si="16"/>
        <v>0.43758057867414002</v>
      </c>
      <c r="I375" s="82">
        <f t="shared" ca="1" si="17"/>
        <v>0.388312426615321</v>
      </c>
      <c r="J375" s="31"/>
    </row>
    <row r="376" spans="1:10" x14ac:dyDescent="0.25">
      <c r="A376" s="85" t="str">
        <f t="shared" ca="1" si="15"/>
        <v>growthNReq</v>
      </c>
      <c r="B376" s="68" t="s">
        <v>2030</v>
      </c>
      <c r="C376" s="68" t="s">
        <v>1779</v>
      </c>
      <c r="D376" s="68" t="s">
        <v>156</v>
      </c>
      <c r="E376" s="68"/>
      <c r="F376" s="68"/>
      <c r="G376" s="68"/>
      <c r="H376" s="82">
        <f t="shared" ca="1" si="16"/>
        <v>1.1364487415891E-2</v>
      </c>
      <c r="I376" s="82">
        <f t="shared" ca="1" si="17"/>
        <v>1.00555801297567E-2</v>
      </c>
      <c r="J376" s="31"/>
    </row>
    <row r="377" spans="1:10" x14ac:dyDescent="0.25">
      <c r="A377" s="85" t="str">
        <f t="shared" ca="1" si="15"/>
        <v>growthPReq</v>
      </c>
      <c r="B377" s="68" t="s">
        <v>2031</v>
      </c>
      <c r="C377" s="68" t="s">
        <v>1779</v>
      </c>
      <c r="D377" s="68" t="s">
        <v>156</v>
      </c>
      <c r="E377" s="68"/>
      <c r="F377" s="68"/>
      <c r="G377" s="68"/>
      <c r="H377" s="82">
        <f t="shared" ca="1" si="16"/>
        <v>9.83921507922087E-4</v>
      </c>
      <c r="I377" s="82">
        <f t="shared" ca="1" si="17"/>
        <v>8.7355389862544403E-4</v>
      </c>
      <c r="J377" s="31"/>
    </row>
    <row r="378" spans="1:10" x14ac:dyDescent="0.25">
      <c r="A378" s="85" t="str">
        <f t="shared" ca="1" si="15"/>
        <v>marginalYieldNH4</v>
      </c>
      <c r="B378" s="68" t="s">
        <v>2032</v>
      </c>
      <c r="C378" s="68" t="s">
        <v>1779</v>
      </c>
      <c r="D378" s="68" t="s">
        <v>156</v>
      </c>
      <c r="E378" s="68"/>
      <c r="F378" s="68"/>
      <c r="G378" s="68"/>
      <c r="H378" s="82">
        <f t="shared" ref="H378:H441" ca="1" si="18">IF(_xlfn.SINGLE(OFFSET(Data_Type,ROW()-_xlfn.SINGLE(ROW(Data_Type)),0))="numeric",_xlfn.AGGREGATE(4,6,(OFFSET(INDIRECT("'"&amp;OFFSET(Name_of_Data_Sheet,0,1)&amp;"'!A1"),1,ROW()-_xlfn.SINGLE(ROW(Data_Type))-1,OFFSET(Number_of_Data_Records,0,1)))),"")</f>
        <v>1.36502527438733E-2</v>
      </c>
      <c r="I378" s="82">
        <f t="shared" ref="I378:I441" ca="1" si="19">IF(_xlfn.SINGLE(OFFSET(Data_Type,ROW()-_xlfn.SINGLE(ROW(Data_Type)),0))="numeric",_xlfn.AGGREGATE(5,6,(OFFSET(INDIRECT("'"&amp;OFFSET(Name_of_Data_Sheet,0,1)&amp;"'!A2"),1,ROW()-_xlfn.SINGLE(ROW(Data_Type))-1,OFFSET(Number_of_Data_Records,0,1)))),"")</f>
        <v>1.16307950194494E-2</v>
      </c>
      <c r="J378" s="31"/>
    </row>
    <row r="379" spans="1:10" x14ac:dyDescent="0.25">
      <c r="A379" s="85" t="str">
        <f t="shared" ref="A379:A442" ca="1" si="20">IFERROR(IF(INDIRECT(ADDRESS(1,ROW()-ROW(Variable_Name),,,DataSheet1))=0,"",INDIRECT(ADDRESS(1,ROW()-ROW(Variable_Name),,,DataSheet1))),"")</f>
        <v>marginalYieldNO3</v>
      </c>
      <c r="B379" s="68" t="s">
        <v>2039</v>
      </c>
      <c r="C379" s="68" t="s">
        <v>1779</v>
      </c>
      <c r="D379" s="68" t="s">
        <v>156</v>
      </c>
      <c r="E379" s="68"/>
      <c r="F379" s="68"/>
      <c r="G379" s="68"/>
      <c r="H379" s="82">
        <f t="shared" ca="1" si="18"/>
        <v>4.7618786204486602E-7</v>
      </c>
      <c r="I379" s="82">
        <f t="shared" ca="1" si="19"/>
        <v>4.7618733383653899E-7</v>
      </c>
      <c r="J379" s="31"/>
    </row>
    <row r="380" spans="1:10" x14ac:dyDescent="0.25">
      <c r="A380" s="85" t="str">
        <f t="shared" ca="1" si="20"/>
        <v>marginalYieldDoN</v>
      </c>
      <c r="B380" s="68" t="s">
        <v>2033</v>
      </c>
      <c r="C380" s="68" t="s">
        <v>1779</v>
      </c>
      <c r="D380" s="68" t="s">
        <v>156</v>
      </c>
      <c r="E380" s="68"/>
      <c r="F380" s="68"/>
      <c r="G380" s="68"/>
      <c r="H380" s="82">
        <f t="shared" ca="1" si="18"/>
        <v>3.3333254686016E-7</v>
      </c>
      <c r="I380" s="82">
        <f t="shared" ca="1" si="19"/>
        <v>3.33332538922914E-7</v>
      </c>
      <c r="J380" s="31"/>
    </row>
    <row r="381" spans="1:10" x14ac:dyDescent="0.25">
      <c r="A381" s="85" t="str">
        <f t="shared" ca="1" si="20"/>
        <v>marginalYieldNfix</v>
      </c>
      <c r="B381" s="68" t="s">
        <v>2034</v>
      </c>
      <c r="C381" s="68" t="s">
        <v>1779</v>
      </c>
      <c r="D381" s="68" t="s">
        <v>156</v>
      </c>
      <c r="E381" s="68"/>
      <c r="F381" s="68"/>
      <c r="G381" s="68"/>
      <c r="H381" s="82">
        <f t="shared" ca="1" si="18"/>
        <v>0</v>
      </c>
      <c r="I381" s="82">
        <f t="shared" ca="1" si="19"/>
        <v>0</v>
      </c>
      <c r="J381" s="31"/>
    </row>
    <row r="382" spans="1:10" x14ac:dyDescent="0.25">
      <c r="A382" s="85" t="str">
        <f t="shared" ca="1" si="20"/>
        <v>marginalYieldCO2</v>
      </c>
      <c r="B382" s="68" t="s">
        <v>2035</v>
      </c>
      <c r="C382" s="68" t="s">
        <v>1779</v>
      </c>
      <c r="D382" s="68" t="s">
        <v>156</v>
      </c>
      <c r="E382" s="68"/>
      <c r="F382" s="68"/>
      <c r="G382" s="68"/>
      <c r="H382" s="82">
        <f t="shared" ca="1" si="18"/>
        <v>0</v>
      </c>
      <c r="I382" s="82">
        <f t="shared" ca="1" si="19"/>
        <v>0</v>
      </c>
      <c r="J382" s="31"/>
    </row>
    <row r="383" spans="1:10" x14ac:dyDescent="0.25">
      <c r="A383" s="85" t="str">
        <f t="shared" ca="1" si="20"/>
        <v>marginalYieldLight</v>
      </c>
      <c r="B383" s="68" t="s">
        <v>2036</v>
      </c>
      <c r="C383" s="68" t="s">
        <v>1779</v>
      </c>
      <c r="D383" s="68" t="s">
        <v>156</v>
      </c>
      <c r="E383" s="68"/>
      <c r="F383" s="68"/>
      <c r="G383" s="68"/>
      <c r="H383" s="82">
        <f t="shared" ca="1" si="18"/>
        <v>0</v>
      </c>
      <c r="I383" s="82">
        <f t="shared" ca="1" si="19"/>
        <v>0</v>
      </c>
      <c r="J383" s="31"/>
    </row>
    <row r="384" spans="1:10" x14ac:dyDescent="0.25">
      <c r="A384" s="85" t="str">
        <f t="shared" ca="1" si="20"/>
        <v>marginalYieldH2O</v>
      </c>
      <c r="B384" s="68" t="s">
        <v>2037</v>
      </c>
      <c r="C384" s="68" t="s">
        <v>1779</v>
      </c>
      <c r="D384" s="68" t="s">
        <v>156</v>
      </c>
      <c r="E384" s="68"/>
      <c r="F384" s="68"/>
      <c r="G384" s="68"/>
      <c r="H384" s="82">
        <f t="shared" ca="1" si="18"/>
        <v>0</v>
      </c>
      <c r="I384" s="82">
        <f t="shared" ca="1" si="19"/>
        <v>0</v>
      </c>
      <c r="J384" s="31"/>
    </row>
    <row r="385" spans="1:10" x14ac:dyDescent="0.25">
      <c r="A385" s="85" t="str">
        <f t="shared" ca="1" si="20"/>
        <v>averageCYield</v>
      </c>
      <c r="B385" s="68" t="s">
        <v>2038</v>
      </c>
      <c r="C385" s="68" t="s">
        <v>1779</v>
      </c>
      <c r="D385" s="68" t="s">
        <v>156</v>
      </c>
      <c r="E385" s="68"/>
      <c r="F385" s="68"/>
      <c r="G385" s="68"/>
      <c r="H385" s="82">
        <f t="shared" ca="1" si="18"/>
        <v>0</v>
      </c>
      <c r="I385" s="82">
        <f t="shared" ca="1" si="19"/>
        <v>0</v>
      </c>
      <c r="J385" s="31"/>
    </row>
    <row r="386" spans="1:10" x14ac:dyDescent="0.25">
      <c r="A386" s="85" t="str">
        <f t="shared" ca="1" si="20"/>
        <v>averageNYield</v>
      </c>
      <c r="B386" s="68" t="s">
        <v>2040</v>
      </c>
      <c r="C386" s="68" t="s">
        <v>1779</v>
      </c>
      <c r="D386" s="68" t="s">
        <v>156</v>
      </c>
      <c r="E386" s="68"/>
      <c r="F386" s="68"/>
      <c r="G386" s="68"/>
      <c r="H386" s="82">
        <f t="shared" ca="1" si="18"/>
        <v>1.20725767790323E-2</v>
      </c>
      <c r="I386" s="82">
        <f t="shared" ca="1" si="19"/>
        <v>1.0283503508901899E-2</v>
      </c>
      <c r="J386" s="31"/>
    </row>
    <row r="387" spans="1:10" x14ac:dyDescent="0.25">
      <c r="A387" s="85" t="str">
        <f t="shared" ca="1" si="20"/>
        <v>TotalCReq</v>
      </c>
      <c r="B387" s="68" t="s">
        <v>2041</v>
      </c>
      <c r="C387" s="68" t="s">
        <v>1779</v>
      </c>
      <c r="D387" s="68" t="s">
        <v>156</v>
      </c>
      <c r="E387" s="68"/>
      <c r="F387" s="68"/>
      <c r="G387" s="68"/>
      <c r="H387" s="82">
        <f t="shared" ca="1" si="18"/>
        <v>0.57613904170408703</v>
      </c>
      <c r="I387" s="82">
        <f t="shared" ca="1" si="19"/>
        <v>0.51053677945436304</v>
      </c>
      <c r="J387" s="31"/>
    </row>
    <row r="388" spans="1:10" x14ac:dyDescent="0.25">
      <c r="A388" s="85" t="str">
        <f t="shared" ca="1" si="20"/>
        <v>TotalNReq</v>
      </c>
      <c r="B388" s="68" t="s">
        <v>2042</v>
      </c>
      <c r="C388" s="68" t="s">
        <v>1779</v>
      </c>
      <c r="D388" s="68" t="s">
        <v>156</v>
      </c>
      <c r="E388" s="68"/>
      <c r="F388" s="68"/>
      <c r="G388" s="68"/>
      <c r="H388" s="82">
        <f t="shared" ca="1" si="18"/>
        <v>1.1364487415891E-2</v>
      </c>
      <c r="I388" s="82">
        <f t="shared" ca="1" si="19"/>
        <v>1.00555801297567E-2</v>
      </c>
      <c r="J388" s="31"/>
    </row>
    <row r="389" spans="1:10" x14ac:dyDescent="0.25">
      <c r="A389" s="85" t="str">
        <f t="shared" ca="1" si="20"/>
        <v>TotalPReq</v>
      </c>
      <c r="B389" s="68" t="s">
        <v>2043</v>
      </c>
      <c r="C389" s="68" t="s">
        <v>1779</v>
      </c>
      <c r="D389" s="68" t="s">
        <v>156</v>
      </c>
      <c r="E389" s="68"/>
      <c r="F389" s="68"/>
      <c r="G389" s="68"/>
      <c r="H389" s="82">
        <f t="shared" ca="1" si="18"/>
        <v>9.83921507922087E-4</v>
      </c>
      <c r="I389" s="82">
        <f t="shared" ca="1" si="19"/>
        <v>8.7355389862544403E-4</v>
      </c>
      <c r="J389" s="31"/>
    </row>
    <row r="390" spans="1:10" x14ac:dyDescent="0.25">
      <c r="A390" s="85" t="str">
        <f t="shared" ca="1" si="20"/>
        <v>MeanReq_uptake</v>
      </c>
      <c r="B390" s="68" t="s">
        <v>2044</v>
      </c>
      <c r="C390" s="68" t="s">
        <v>1779</v>
      </c>
      <c r="D390" s="68" t="s">
        <v>96</v>
      </c>
      <c r="E390" s="68"/>
      <c r="F390" s="68"/>
      <c r="G390" s="68"/>
      <c r="H390" s="82">
        <f t="shared" ca="1" si="18"/>
        <v>0.73929506243736098</v>
      </c>
      <c r="I390" s="82">
        <f t="shared" ca="1" si="19"/>
        <v>0.71137667084928102</v>
      </c>
      <c r="J390" s="31"/>
    </row>
    <row r="391" spans="1:10" ht="25" x14ac:dyDescent="0.25">
      <c r="A391" s="85" t="str">
        <f t="shared" ca="1" si="20"/>
        <v>mesophyllCO2</v>
      </c>
      <c r="B391" s="68" t="s">
        <v>2045</v>
      </c>
      <c r="C391" s="68" t="s">
        <v>1779</v>
      </c>
      <c r="D391" s="68" t="s">
        <v>96</v>
      </c>
      <c r="E391" s="68"/>
      <c r="F391" s="68"/>
      <c r="G391" s="68"/>
      <c r="H391" s="82">
        <f t="shared" ca="1" si="18"/>
        <v>-999</v>
      </c>
      <c r="I391" s="82">
        <f t="shared" ca="1" si="19"/>
        <v>-999</v>
      </c>
      <c r="J391" s="31"/>
    </row>
    <row r="392" spans="1:10" x14ac:dyDescent="0.25">
      <c r="A392" s="85" t="str">
        <f t="shared" ca="1" si="20"/>
        <v>TotalEffort</v>
      </c>
      <c r="B392" s="68" t="s">
        <v>2046</v>
      </c>
      <c r="C392" s="68" t="s">
        <v>1779</v>
      </c>
      <c r="D392" s="68" t="s">
        <v>96</v>
      </c>
      <c r="E392" s="68"/>
      <c r="F392" s="68"/>
      <c r="G392" s="68"/>
      <c r="H392" s="82">
        <f t="shared" ca="1" si="18"/>
        <v>1</v>
      </c>
      <c r="I392" s="82">
        <f t="shared" ca="1" si="19"/>
        <v>0.999999999999999</v>
      </c>
      <c r="J392" s="31"/>
    </row>
    <row r="393" spans="1:10" x14ac:dyDescent="0.25">
      <c r="A393" s="85" t="str">
        <f t="shared" ca="1" si="20"/>
        <v>TotalRootEffort</v>
      </c>
      <c r="B393" s="68" t="s">
        <v>2047</v>
      </c>
      <c r="C393" s="68" t="s">
        <v>1779</v>
      </c>
      <c r="D393" s="68" t="s">
        <v>96</v>
      </c>
      <c r="E393" s="68"/>
      <c r="F393" s="68"/>
      <c r="G393" s="68"/>
      <c r="H393" s="82">
        <f t="shared" ca="1" si="18"/>
        <v>0.81867699123792903</v>
      </c>
      <c r="I393" s="82">
        <f t="shared" ca="1" si="19"/>
        <v>0.75420414374580402</v>
      </c>
      <c r="J393" s="31"/>
    </row>
    <row r="394" spans="1:10" x14ac:dyDescent="0.25">
      <c r="A394" s="85" t="str">
        <f t="shared" ca="1" si="20"/>
        <v>TotalLeafEffort</v>
      </c>
      <c r="B394" s="68" t="s">
        <v>2048</v>
      </c>
      <c r="C394" s="68" t="s">
        <v>1779</v>
      </c>
      <c r="D394" s="68" t="s">
        <v>96</v>
      </c>
      <c r="E394" s="68"/>
      <c r="F394" s="68"/>
      <c r="G394" s="68"/>
      <c r="H394" s="82">
        <f t="shared" ca="1" si="18"/>
        <v>0.24627211822947001</v>
      </c>
      <c r="I394" s="82">
        <f t="shared" ca="1" si="19"/>
        <v>0.18132300876207</v>
      </c>
      <c r="J394" s="31"/>
    </row>
    <row r="395" spans="1:10" ht="25" x14ac:dyDescent="0.25">
      <c r="A395" s="85" t="str">
        <f t="shared" ca="1" si="20"/>
        <v>TotalSoilC</v>
      </c>
      <c r="B395" s="68" t="s">
        <v>2049</v>
      </c>
      <c r="C395" s="68" t="s">
        <v>1779</v>
      </c>
      <c r="D395" s="68" t="s">
        <v>155</v>
      </c>
      <c r="E395" s="68"/>
      <c r="F395" s="68"/>
      <c r="G395" s="68"/>
      <c r="H395" s="82">
        <f t="shared" ca="1" si="18"/>
        <v>12556.9097563501</v>
      </c>
      <c r="I395" s="82">
        <f t="shared" ca="1" si="19"/>
        <v>12486.624468922</v>
      </c>
      <c r="J395" s="31"/>
    </row>
    <row r="396" spans="1:10" ht="25" x14ac:dyDescent="0.25">
      <c r="A396" s="85" t="str">
        <f t="shared" ca="1" si="20"/>
        <v>TotalSoilN</v>
      </c>
      <c r="B396" s="68" t="s">
        <v>2050</v>
      </c>
      <c r="C396" s="68" t="s">
        <v>1779</v>
      </c>
      <c r="D396" s="68" t="s">
        <v>155</v>
      </c>
      <c r="E396" s="68"/>
      <c r="F396" s="68"/>
      <c r="G396" s="68"/>
      <c r="H396" s="82">
        <f t="shared" ca="1" si="18"/>
        <v>401.504496151561</v>
      </c>
      <c r="I396" s="82">
        <f t="shared" ca="1" si="19"/>
        <v>398.77365790822398</v>
      </c>
      <c r="J396" s="31"/>
    </row>
    <row r="397" spans="1:10" ht="25" x14ac:dyDescent="0.25">
      <c r="A397" s="85" t="str">
        <f t="shared" ca="1" si="20"/>
        <v>TotalSoilP</v>
      </c>
      <c r="B397" s="68" t="s">
        <v>2051</v>
      </c>
      <c r="C397" s="68" t="s">
        <v>1779</v>
      </c>
      <c r="D397" s="68" t="s">
        <v>155</v>
      </c>
      <c r="E397" s="68"/>
      <c r="F397" s="68"/>
      <c r="G397" s="68"/>
      <c r="H397" s="82">
        <f t="shared" ca="1" si="18"/>
        <v>40.282731423357497</v>
      </c>
      <c r="I397" s="82">
        <f t="shared" ca="1" si="19"/>
        <v>40.246768335430502</v>
      </c>
      <c r="J397" s="31"/>
    </row>
    <row r="398" spans="1:10" x14ac:dyDescent="0.25">
      <c r="A398" s="85" t="str">
        <f t="shared" ca="1" si="20"/>
        <v>CBalNPP</v>
      </c>
      <c r="B398" s="68" t="s">
        <v>2052</v>
      </c>
      <c r="C398" s="68" t="s">
        <v>1779</v>
      </c>
      <c r="D398" s="68" t="s">
        <v>155</v>
      </c>
      <c r="E398" s="68"/>
      <c r="F398" s="68"/>
      <c r="G398" s="68"/>
      <c r="H398" s="82">
        <f t="shared" ca="1" si="18"/>
        <v>-0.122168327988561</v>
      </c>
      <c r="I398" s="82">
        <f t="shared" ca="1" si="19"/>
        <v>-0.13855846302994601</v>
      </c>
      <c r="J398" s="31"/>
    </row>
    <row r="399" spans="1:10" x14ac:dyDescent="0.25">
      <c r="A399" s="85" t="str">
        <f t="shared" ca="1" si="20"/>
        <v>WBalRunoff</v>
      </c>
      <c r="B399" s="68" t="s">
        <v>2053</v>
      </c>
      <c r="C399" s="68" t="s">
        <v>1779</v>
      </c>
      <c r="D399" s="68" t="s">
        <v>715</v>
      </c>
      <c r="E399" s="68"/>
      <c r="F399" s="68"/>
      <c r="G399" s="68"/>
      <c r="H399" s="82">
        <f t="shared" ca="1" si="18"/>
        <v>0</v>
      </c>
      <c r="I399" s="82">
        <f t="shared" ca="1" si="19"/>
        <v>0</v>
      </c>
      <c r="J399" s="31"/>
    </row>
    <row r="400" spans="1:10" x14ac:dyDescent="0.25">
      <c r="A400" s="85" t="str">
        <f t="shared" ca="1" si="20"/>
        <v>NH4Leach</v>
      </c>
      <c r="B400" s="68" t="s">
        <v>2054</v>
      </c>
      <c r="C400" s="68" t="s">
        <v>1779</v>
      </c>
      <c r="D400" s="68" t="s">
        <v>156</v>
      </c>
      <c r="E400" s="68"/>
      <c r="F400" s="68"/>
      <c r="G400" s="68"/>
      <c r="H400" s="82">
        <f t="shared" ca="1" si="18"/>
        <v>0</v>
      </c>
      <c r="I400" s="82">
        <f t="shared" ca="1" si="19"/>
        <v>0</v>
      </c>
      <c r="J400" s="31"/>
    </row>
    <row r="401" spans="1:10" x14ac:dyDescent="0.25">
      <c r="A401" s="85" t="str">
        <f t="shared" ca="1" si="20"/>
        <v>NO3Leach</v>
      </c>
      <c r="B401" s="68" t="s">
        <v>2055</v>
      </c>
      <c r="C401" s="68" t="s">
        <v>1779</v>
      </c>
      <c r="D401" s="68" t="s">
        <v>156</v>
      </c>
      <c r="E401" s="68"/>
      <c r="F401" s="68"/>
      <c r="G401" s="68"/>
      <c r="H401" s="82">
        <f t="shared" ca="1" si="18"/>
        <v>0</v>
      </c>
      <c r="I401" s="82">
        <f t="shared" ca="1" si="19"/>
        <v>0</v>
      </c>
      <c r="J401" s="31"/>
    </row>
    <row r="402" spans="1:10" x14ac:dyDescent="0.25">
      <c r="A402" s="85" t="str">
        <f t="shared" ca="1" si="20"/>
        <v>CBalDoCLeach</v>
      </c>
      <c r="B402" s="68" t="s">
        <v>2056</v>
      </c>
      <c r="C402" s="68" t="s">
        <v>1779</v>
      </c>
      <c r="D402" s="68" t="s">
        <v>156</v>
      </c>
      <c r="E402" s="68"/>
      <c r="F402" s="68"/>
      <c r="G402" s="68"/>
      <c r="H402" s="82">
        <f t="shared" ca="1" si="18"/>
        <v>0</v>
      </c>
      <c r="I402" s="82">
        <f t="shared" ca="1" si="19"/>
        <v>0</v>
      </c>
      <c r="J402" s="31"/>
    </row>
    <row r="403" spans="1:10" x14ac:dyDescent="0.25">
      <c r="A403" s="85" t="str">
        <f t="shared" ca="1" si="20"/>
        <v>NBalDoNLeach</v>
      </c>
      <c r="B403" s="68" t="s">
        <v>2058</v>
      </c>
      <c r="C403" s="68" t="s">
        <v>1779</v>
      </c>
      <c r="D403" s="68" t="s">
        <v>156</v>
      </c>
      <c r="E403" s="68"/>
      <c r="F403" s="68"/>
      <c r="G403" s="68"/>
      <c r="H403" s="82">
        <f t="shared" ca="1" si="18"/>
        <v>0</v>
      </c>
      <c r="I403" s="82">
        <f t="shared" ca="1" si="19"/>
        <v>0</v>
      </c>
      <c r="J403" s="31"/>
    </row>
    <row r="404" spans="1:10" x14ac:dyDescent="0.25">
      <c r="A404" s="85" t="str">
        <f t="shared" ca="1" si="20"/>
        <v>NBalTotalNLeach</v>
      </c>
      <c r="B404" s="68" t="s">
        <v>2059</v>
      </c>
      <c r="C404" s="68" t="s">
        <v>1779</v>
      </c>
      <c r="D404" s="68" t="s">
        <v>156</v>
      </c>
      <c r="E404" s="68"/>
      <c r="F404" s="68"/>
      <c r="G404" s="68"/>
      <c r="H404" s="82">
        <f t="shared" ca="1" si="18"/>
        <v>0</v>
      </c>
      <c r="I404" s="82">
        <f t="shared" ca="1" si="19"/>
        <v>0</v>
      </c>
      <c r="J404" s="31"/>
    </row>
    <row r="405" spans="1:10" x14ac:dyDescent="0.25">
      <c r="A405" s="85" t="str">
        <f t="shared" ca="1" si="20"/>
        <v>PBalPO4Leach</v>
      </c>
      <c r="B405" s="68" t="s">
        <v>2057</v>
      </c>
      <c r="C405" s="68" t="s">
        <v>1779</v>
      </c>
      <c r="D405" s="68" t="s">
        <v>156</v>
      </c>
      <c r="E405" s="68"/>
      <c r="F405" s="68"/>
      <c r="G405" s="68"/>
      <c r="H405" s="82">
        <f t="shared" ca="1" si="18"/>
        <v>0</v>
      </c>
      <c r="I405" s="82">
        <f t="shared" ca="1" si="19"/>
        <v>0</v>
      </c>
      <c r="J405" s="31"/>
    </row>
    <row r="406" spans="1:10" x14ac:dyDescent="0.25">
      <c r="A406" s="85" t="str">
        <f t="shared" ca="1" si="20"/>
        <v>thetaN</v>
      </c>
      <c r="B406" s="68" t="s">
        <v>2060</v>
      </c>
      <c r="C406" s="68" t="s">
        <v>1779</v>
      </c>
      <c r="D406" s="68" t="s">
        <v>96</v>
      </c>
      <c r="E406" s="68"/>
      <c r="F406" s="68"/>
      <c r="G406" s="68"/>
      <c r="H406" s="82">
        <f t="shared" ca="1" si="18"/>
        <v>46.337800049999601</v>
      </c>
      <c r="I406" s="82">
        <f t="shared" ca="1" si="19"/>
        <v>46.337800049999601</v>
      </c>
      <c r="J406" s="31"/>
    </row>
    <row r="407" spans="1:10" x14ac:dyDescent="0.25">
      <c r="A407" s="85" t="str">
        <f t="shared" ca="1" si="20"/>
        <v>thetaP</v>
      </c>
      <c r="B407" s="68" t="s">
        <v>2061</v>
      </c>
      <c r="C407" s="68" t="s">
        <v>1779</v>
      </c>
      <c r="D407" s="68" t="s">
        <v>96</v>
      </c>
      <c r="E407" s="68"/>
      <c r="F407" s="68"/>
      <c r="G407" s="68"/>
      <c r="H407" s="82">
        <f t="shared" ca="1" si="18"/>
        <v>463.37800049999902</v>
      </c>
      <c r="I407" s="82">
        <f t="shared" ca="1" si="19"/>
        <v>463.37800049999902</v>
      </c>
      <c r="J407" s="31"/>
    </row>
    <row r="408" spans="1:10" x14ac:dyDescent="0.25">
      <c r="A408" s="85" t="str">
        <f t="shared" ca="1" si="20"/>
        <v>NBalMicrNH4Uptake</v>
      </c>
      <c r="B408" s="68" t="s">
        <v>2062</v>
      </c>
      <c r="C408" s="68" t="s">
        <v>1779</v>
      </c>
      <c r="D408" s="68" t="s">
        <v>155</v>
      </c>
      <c r="E408" s="68"/>
      <c r="F408" s="68"/>
      <c r="G408" s="68"/>
      <c r="H408" s="82">
        <f t="shared" ca="1" si="18"/>
        <v>1.11527005526311E-2</v>
      </c>
      <c r="I408" s="82">
        <f t="shared" ca="1" si="19"/>
        <v>9.6131233038932295E-3</v>
      </c>
      <c r="J408" s="31"/>
    </row>
    <row r="409" spans="1:10" x14ac:dyDescent="0.25">
      <c r="A409" s="85" t="str">
        <f t="shared" ca="1" si="20"/>
        <v>NBalMicrNO3Uptake</v>
      </c>
      <c r="B409" s="68" t="s">
        <v>2063</v>
      </c>
      <c r="C409" s="68" t="s">
        <v>1779</v>
      </c>
      <c r="D409" s="68" t="s">
        <v>155</v>
      </c>
      <c r="E409" s="68"/>
      <c r="F409" s="68"/>
      <c r="G409" s="68"/>
      <c r="H409" s="82">
        <f t="shared" ca="1" si="18"/>
        <v>2.46219155069496E-3</v>
      </c>
      <c r="I409" s="82">
        <f t="shared" ca="1" si="19"/>
        <v>2.06194174894812E-3</v>
      </c>
      <c r="J409" s="31"/>
    </row>
    <row r="410" spans="1:10" x14ac:dyDescent="0.25">
      <c r="A410" s="85" t="str">
        <f t="shared" ca="1" si="20"/>
        <v>NBalTotMicrNUptake</v>
      </c>
      <c r="B410" s="68" t="s">
        <v>2064</v>
      </c>
      <c r="C410" s="68" t="s">
        <v>1779</v>
      </c>
      <c r="D410" s="68" t="s">
        <v>155</v>
      </c>
      <c r="E410" s="68"/>
      <c r="F410" s="68"/>
      <c r="G410" s="68"/>
      <c r="H410" s="82">
        <f t="shared" ca="1" si="18"/>
        <v>1.3614892103326099E-2</v>
      </c>
      <c r="I410" s="82">
        <f t="shared" ca="1" si="19"/>
        <v>1.1675065052841299E-2</v>
      </c>
      <c r="J410" s="31"/>
    </row>
    <row r="411" spans="1:10" x14ac:dyDescent="0.25">
      <c r="A411" s="85" t="str">
        <f t="shared" ca="1" si="20"/>
        <v>PBalMicrPUptake</v>
      </c>
      <c r="B411" s="68" t="s">
        <v>2065</v>
      </c>
      <c r="C411" s="68" t="s">
        <v>1779</v>
      </c>
      <c r="D411" s="68" t="s">
        <v>155</v>
      </c>
      <c r="E411" s="68"/>
      <c r="F411" s="68"/>
      <c r="G411" s="68"/>
      <c r="H411" s="82">
        <f t="shared" ca="1" si="18"/>
        <v>1.3041644862956899E-3</v>
      </c>
      <c r="I411" s="82">
        <f t="shared" ca="1" si="19"/>
        <v>8.07874233018795E-4</v>
      </c>
      <c r="J411" s="31"/>
    </row>
    <row r="412" spans="1:10" x14ac:dyDescent="0.25">
      <c r="A412" s="85" t="str">
        <f t="shared" ca="1" si="20"/>
        <v>totalCConsump</v>
      </c>
      <c r="B412" s="68" t="s">
        <v>2066</v>
      </c>
      <c r="C412" s="68" t="s">
        <v>1779</v>
      </c>
      <c r="D412" s="68" t="s">
        <v>156</v>
      </c>
      <c r="E412" s="68"/>
      <c r="F412" s="68"/>
      <c r="G412" s="68"/>
      <c r="H412" s="82">
        <f t="shared" ca="1" si="18"/>
        <v>0.42775650234331303</v>
      </c>
      <c r="I412" s="82">
        <f t="shared" ca="1" si="19"/>
        <v>0.41966273127409698</v>
      </c>
      <c r="J412" s="31"/>
    </row>
    <row r="413" spans="1:10" x14ac:dyDescent="0.25">
      <c r="A413" s="85" t="str">
        <f t="shared" ca="1" si="20"/>
        <v>totalNConsump</v>
      </c>
      <c r="B413" s="68" t="s">
        <v>2067</v>
      </c>
      <c r="C413" s="68" t="s">
        <v>1779</v>
      </c>
      <c r="D413" s="68" t="s">
        <v>156</v>
      </c>
      <c r="E413" s="68"/>
      <c r="F413" s="68"/>
      <c r="G413" s="68"/>
      <c r="H413" s="82">
        <f t="shared" ca="1" si="18"/>
        <v>1.9450258321618102E-2</v>
      </c>
      <c r="I413" s="82">
        <f t="shared" ca="1" si="19"/>
        <v>1.7652468502631299E-2</v>
      </c>
      <c r="J413" s="31"/>
    </row>
    <row r="414" spans="1:10" x14ac:dyDescent="0.25">
      <c r="A414" s="85" t="str">
        <f t="shared" ca="1" si="20"/>
        <v>totalPConsump</v>
      </c>
      <c r="B414" s="68" t="s">
        <v>2068</v>
      </c>
      <c r="C414" s="68" t="s">
        <v>1779</v>
      </c>
      <c r="D414" s="68" t="s">
        <v>156</v>
      </c>
      <c r="E414" s="68"/>
      <c r="F414" s="68"/>
      <c r="G414" s="68"/>
      <c r="H414" s="82">
        <f t="shared" ca="1" si="18"/>
        <v>2.02461220986473E-3</v>
      </c>
      <c r="I414" s="82">
        <f t="shared" ca="1" si="19"/>
        <v>1.53080590591242E-3</v>
      </c>
      <c r="J414" s="31"/>
    </row>
    <row r="415" spans="1:10" x14ac:dyDescent="0.25">
      <c r="A415" s="85" t="str">
        <f t="shared" ca="1" si="20"/>
        <v>CEfficiency</v>
      </c>
      <c r="B415" s="68" t="s">
        <v>2069</v>
      </c>
      <c r="C415" s="68" t="s">
        <v>1779</v>
      </c>
      <c r="D415" s="68" t="s">
        <v>96</v>
      </c>
      <c r="E415" s="68"/>
      <c r="F415" s="68"/>
      <c r="G415" s="68"/>
      <c r="H415" s="82">
        <f t="shared" ca="1" si="18"/>
        <v>0.30628303331168799</v>
      </c>
      <c r="I415" s="82">
        <f t="shared" ca="1" si="19"/>
        <v>0.28878894538138</v>
      </c>
      <c r="J415" s="31"/>
    </row>
    <row r="416" spans="1:10" x14ac:dyDescent="0.25">
      <c r="A416" s="85" t="str">
        <f t="shared" ca="1" si="20"/>
        <v>NEfficiency</v>
      </c>
      <c r="B416" s="68" t="s">
        <v>2070</v>
      </c>
      <c r="C416" s="68" t="s">
        <v>1779</v>
      </c>
      <c r="D416" s="68" t="s">
        <v>96</v>
      </c>
      <c r="E416" s="68"/>
      <c r="F416" s="68"/>
      <c r="G416" s="68"/>
      <c r="H416" s="82">
        <f t="shared" ca="1" si="18"/>
        <v>0.26135422956238602</v>
      </c>
      <c r="I416" s="82">
        <f t="shared" ca="1" si="19"/>
        <v>0.228436316971702</v>
      </c>
      <c r="J416" s="31"/>
    </row>
    <row r="417" spans="1:10" x14ac:dyDescent="0.25">
      <c r="A417" s="85" t="str">
        <f t="shared" ca="1" si="20"/>
        <v>PEfficiency</v>
      </c>
      <c r="B417" s="68" t="s">
        <v>2071</v>
      </c>
      <c r="C417" s="68" t="s">
        <v>1779</v>
      </c>
      <c r="D417" s="68" t="s">
        <v>96</v>
      </c>
      <c r="E417" s="68"/>
      <c r="F417" s="68"/>
      <c r="G417" s="68"/>
      <c r="H417" s="82">
        <f t="shared" ca="1" si="18"/>
        <v>0.29024877405932897</v>
      </c>
      <c r="I417" s="82">
        <f t="shared" ca="1" si="19"/>
        <v>0.22847875867166001</v>
      </c>
      <c r="J417" s="31"/>
    </row>
    <row r="418" spans="1:10" x14ac:dyDescent="0.25">
      <c r="A418" s="85" t="str">
        <f t="shared" ca="1" si="20"/>
        <v>CBalMicrobialResp</v>
      </c>
      <c r="B418" s="68" t="s">
        <v>2077</v>
      </c>
      <c r="C418" s="68" t="s">
        <v>1779</v>
      </c>
      <c r="D418" s="68" t="s">
        <v>156</v>
      </c>
      <c r="E418" s="68"/>
      <c r="F418" s="68"/>
      <c r="G418" s="68"/>
      <c r="H418" s="82">
        <f t="shared" ca="1" si="18"/>
        <v>0.30422515315156001</v>
      </c>
      <c r="I418" s="82">
        <f t="shared" ca="1" si="19"/>
        <v>0.29118699642256801</v>
      </c>
      <c r="J418" s="31"/>
    </row>
    <row r="419" spans="1:10" x14ac:dyDescent="0.25">
      <c r="A419" s="85" t="str">
        <f t="shared" ca="1" si="20"/>
        <v>NBalGrossNMin</v>
      </c>
      <c r="B419" s="68" t="s">
        <v>2072</v>
      </c>
      <c r="C419" s="68" t="s">
        <v>1779</v>
      </c>
      <c r="D419" s="68" t="s">
        <v>156</v>
      </c>
      <c r="E419" s="68"/>
      <c r="F419" s="68"/>
      <c r="G419" s="68"/>
      <c r="H419" s="82">
        <f t="shared" ca="1" si="18"/>
        <v>1.50071129464794E-2</v>
      </c>
      <c r="I419" s="82">
        <f t="shared" ca="1" si="19"/>
        <v>1.30423088206751E-2</v>
      </c>
      <c r="J419" s="31"/>
    </row>
    <row r="420" spans="1:10" x14ac:dyDescent="0.25">
      <c r="A420" s="85" t="str">
        <f t="shared" ca="1" si="20"/>
        <v>PBalGrossPMin</v>
      </c>
      <c r="B420" s="68" t="s">
        <v>2073</v>
      </c>
      <c r="C420" s="68" t="s">
        <v>1779</v>
      </c>
      <c r="D420" s="68" t="s">
        <v>156</v>
      </c>
      <c r="E420" s="68"/>
      <c r="F420" s="68"/>
      <c r="G420" s="68"/>
      <c r="H420" s="82">
        <f t="shared" ca="1" si="18"/>
        <v>1.56230078766818E-3</v>
      </c>
      <c r="I420" s="82">
        <f t="shared" ca="1" si="19"/>
        <v>1.0864913683985599E-3</v>
      </c>
      <c r="J420" s="31"/>
    </row>
    <row r="421" spans="1:10" x14ac:dyDescent="0.25">
      <c r="A421" s="85" t="str">
        <f t="shared" ca="1" si="20"/>
        <v>CBalPhaseIITran</v>
      </c>
      <c r="B421" s="68" t="s">
        <v>2074</v>
      </c>
      <c r="C421" s="68" t="s">
        <v>1779</v>
      </c>
      <c r="D421" s="68" t="s">
        <v>156</v>
      </c>
      <c r="E421" s="68"/>
      <c r="F421" s="68"/>
      <c r="G421" s="68"/>
      <c r="H421" s="82">
        <f t="shared" ca="1" si="18"/>
        <v>7.5631295666993906E-2</v>
      </c>
      <c r="I421" s="82">
        <f t="shared" ca="1" si="19"/>
        <v>7.4914741545426197E-2</v>
      </c>
      <c r="J421" s="31"/>
    </row>
    <row r="422" spans="1:10" x14ac:dyDescent="0.25">
      <c r="A422" s="85" t="str">
        <f t="shared" ca="1" si="20"/>
        <v>NBalPhaseIITran</v>
      </c>
      <c r="B422" s="68" t="s">
        <v>2075</v>
      </c>
      <c r="C422" s="68" t="s">
        <v>1779</v>
      </c>
      <c r="D422" s="68" t="s">
        <v>156</v>
      </c>
      <c r="E422" s="68"/>
      <c r="F422" s="68"/>
      <c r="G422" s="68"/>
      <c r="H422" s="82">
        <f t="shared" ca="1" si="18"/>
        <v>2.7202879573259E-3</v>
      </c>
      <c r="I422" s="82">
        <f t="shared" ca="1" si="19"/>
        <v>2.6945151138160501E-3</v>
      </c>
      <c r="J422" s="31"/>
    </row>
    <row r="423" spans="1:10" x14ac:dyDescent="0.25">
      <c r="A423" s="85" t="str">
        <f t="shared" ca="1" si="20"/>
        <v>PBalPhaseIITran</v>
      </c>
      <c r="B423" s="68" t="s">
        <v>2076</v>
      </c>
      <c r="C423" s="68" t="s">
        <v>1779</v>
      </c>
      <c r="D423" s="68" t="s">
        <v>156</v>
      </c>
      <c r="E423" s="68"/>
      <c r="F423" s="68"/>
      <c r="G423" s="68"/>
      <c r="H423" s="82">
        <f t="shared" ca="1" si="18"/>
        <v>2.7202879573258801E-4</v>
      </c>
      <c r="I423" s="82">
        <f t="shared" ca="1" si="19"/>
        <v>2.69451511381603E-4</v>
      </c>
      <c r="J423" s="31"/>
    </row>
    <row r="424" spans="1:10" x14ac:dyDescent="0.25">
      <c r="A424" s="85" t="str">
        <f t="shared" ca="1" si="20"/>
        <v>CBalPhaseIIMin</v>
      </c>
      <c r="B424" s="68" t="s">
        <v>2080</v>
      </c>
      <c r="C424" s="68" t="s">
        <v>1779</v>
      </c>
      <c r="D424" s="68" t="s">
        <v>156</v>
      </c>
      <c r="E424" s="68"/>
      <c r="F424" s="68"/>
      <c r="G424" s="68"/>
      <c r="H424" s="82">
        <f t="shared" ca="1" si="18"/>
        <v>7.5137643962232395E-2</v>
      </c>
      <c r="I424" s="82">
        <f t="shared" ca="1" si="19"/>
        <v>7.4970021849102397E-2</v>
      </c>
      <c r="J424" s="31"/>
    </row>
    <row r="425" spans="1:10" x14ac:dyDescent="0.25">
      <c r="A425" s="85" t="str">
        <f t="shared" ca="1" si="20"/>
        <v>NBalPhaseIIMin</v>
      </c>
      <c r="B425" s="68" t="s">
        <v>2078</v>
      </c>
      <c r="C425" s="68" t="s">
        <v>1779</v>
      </c>
      <c r="D425" s="68" t="s">
        <v>156</v>
      </c>
      <c r="E425" s="68"/>
      <c r="F425" s="68"/>
      <c r="G425" s="68"/>
      <c r="H425" s="82">
        <f t="shared" ca="1" si="18"/>
        <v>2.7025324134636198E-3</v>
      </c>
      <c r="I425" s="82">
        <f t="shared" ca="1" si="19"/>
        <v>2.6965034222674799E-3</v>
      </c>
      <c r="J425" s="31"/>
    </row>
    <row r="426" spans="1:10" x14ac:dyDescent="0.25">
      <c r="A426" s="85" t="str">
        <f t="shared" ca="1" si="20"/>
        <v>PBalPhaseIIMin</v>
      </c>
      <c r="B426" s="68" t="s">
        <v>2079</v>
      </c>
      <c r="C426" s="68" t="s">
        <v>1779</v>
      </c>
      <c r="D426" s="68" t="s">
        <v>156</v>
      </c>
      <c r="E426" s="68"/>
      <c r="F426" s="68"/>
      <c r="G426" s="68"/>
      <c r="H426" s="82">
        <f t="shared" ca="1" si="18"/>
        <v>2.70253241346361E-4</v>
      </c>
      <c r="I426" s="82">
        <f t="shared" ca="1" si="19"/>
        <v>2.6965034222674599E-4</v>
      </c>
      <c r="J426" s="31"/>
    </row>
    <row r="427" spans="1:10" x14ac:dyDescent="0.25">
      <c r="A427" s="85" t="str">
        <f t="shared" ca="1" si="20"/>
        <v>NBalNonSymNFix</v>
      </c>
      <c r="B427" s="68" t="s">
        <v>2081</v>
      </c>
      <c r="C427" s="68" t="s">
        <v>1779</v>
      </c>
      <c r="D427" s="68" t="s">
        <v>156</v>
      </c>
      <c r="E427" s="68"/>
      <c r="F427" s="68"/>
      <c r="G427" s="68"/>
      <c r="H427" s="82">
        <f t="shared" ca="1" si="18"/>
        <v>1.8945003682621999E-4</v>
      </c>
      <c r="I427" s="82">
        <f t="shared" ca="1" si="19"/>
        <v>1.6159686869621299E-4</v>
      </c>
      <c r="J427" s="31"/>
    </row>
    <row r="428" spans="1:10" x14ac:dyDescent="0.25">
      <c r="A428" s="85" t="str">
        <f t="shared" ca="1" si="20"/>
        <v>NBalNitrification</v>
      </c>
      <c r="B428" s="68" t="s">
        <v>2082</v>
      </c>
      <c r="C428" s="68" t="s">
        <v>1779</v>
      </c>
      <c r="D428" s="68" t="s">
        <v>156</v>
      </c>
      <c r="E428" s="68"/>
      <c r="F428" s="68"/>
      <c r="G428" s="68"/>
      <c r="H428" s="82">
        <f t="shared" ca="1" si="18"/>
        <v>3.3069107122084E-3</v>
      </c>
      <c r="I428" s="82">
        <f t="shared" ca="1" si="19"/>
        <v>3.0477216839512101E-3</v>
      </c>
      <c r="J428" s="31"/>
    </row>
    <row r="429" spans="1:10" x14ac:dyDescent="0.25">
      <c r="A429" s="85" t="str">
        <f t="shared" ca="1" si="20"/>
        <v>deltaEffortTotal</v>
      </c>
      <c r="B429" s="68" t="s">
        <v>2084</v>
      </c>
      <c r="C429" s="68" t="s">
        <v>1779</v>
      </c>
      <c r="D429" s="68" t="s">
        <v>96</v>
      </c>
      <c r="E429" s="68"/>
      <c r="F429" s="68"/>
      <c r="G429" s="68"/>
      <c r="H429" s="82">
        <f t="shared" ca="1" si="18"/>
        <v>1.84991995680339E-18</v>
      </c>
      <c r="I429" s="82">
        <f t="shared" ca="1" si="19"/>
        <v>-1.6449379835678499E-18</v>
      </c>
      <c r="J429" s="31"/>
    </row>
    <row r="430" spans="1:10" x14ac:dyDescent="0.25">
      <c r="A430" s="85" t="str">
        <f t="shared" ca="1" si="20"/>
        <v>NBalTotalNdep</v>
      </c>
      <c r="B430" s="68" t="s">
        <v>2083</v>
      </c>
      <c r="C430" s="68" t="s">
        <v>1779</v>
      </c>
      <c r="D430" s="68" t="s">
        <v>156</v>
      </c>
      <c r="E430" s="68"/>
      <c r="F430" s="68"/>
      <c r="G430" s="68"/>
      <c r="H430" s="82">
        <f t="shared" ca="1" si="18"/>
        <v>0</v>
      </c>
      <c r="I430" s="82">
        <f t="shared" ca="1" si="19"/>
        <v>0</v>
      </c>
      <c r="J430" s="31"/>
    </row>
    <row r="431" spans="1:10" x14ac:dyDescent="0.25">
      <c r="A431" s="85" t="str">
        <f t="shared" ca="1" si="20"/>
        <v>NBalNetNMin</v>
      </c>
      <c r="B431" s="68" t="s">
        <v>2085</v>
      </c>
      <c r="C431" s="68" t="s">
        <v>1779</v>
      </c>
      <c r="D431" s="68" t="s">
        <v>156</v>
      </c>
      <c r="E431" s="68"/>
      <c r="F431" s="68"/>
      <c r="G431" s="68"/>
      <c r="H431" s="82">
        <f t="shared" ca="1" si="18"/>
        <v>4.1319971937836802E-3</v>
      </c>
      <c r="I431" s="82">
        <f t="shared" ca="1" si="19"/>
        <v>4.0609170911277102E-3</v>
      </c>
      <c r="J431" s="31"/>
    </row>
    <row r="432" spans="1:10" x14ac:dyDescent="0.25">
      <c r="A432" s="85" t="str">
        <f t="shared" ca="1" si="20"/>
        <v>PBalNetPMin</v>
      </c>
      <c r="B432" s="68" t="s">
        <v>2086</v>
      </c>
      <c r="C432" s="68" t="s">
        <v>1779</v>
      </c>
      <c r="D432" s="68" t="s">
        <v>156</v>
      </c>
      <c r="E432" s="68"/>
      <c r="F432" s="68"/>
      <c r="G432" s="68"/>
      <c r="H432" s="82">
        <f t="shared" ca="1" si="18"/>
        <v>5.4826747760651203E-4</v>
      </c>
      <c r="I432" s="82">
        <f t="shared" ca="1" si="19"/>
        <v>5.2858015161263495E-4</v>
      </c>
      <c r="J432" s="31"/>
    </row>
    <row r="433" spans="1:10" x14ac:dyDescent="0.25">
      <c r="A433" s="85" t="str">
        <f t="shared" ca="1" si="20"/>
        <v>CBalNEP</v>
      </c>
      <c r="B433" s="68" t="s">
        <v>2087</v>
      </c>
      <c r="C433" s="68" t="s">
        <v>1779</v>
      </c>
      <c r="D433" s="68" t="s">
        <v>156</v>
      </c>
      <c r="E433" s="68"/>
      <c r="F433" s="68"/>
      <c r="G433" s="68"/>
      <c r="H433" s="82">
        <f t="shared" ca="1" si="18"/>
        <v>-0.488429290072528</v>
      </c>
      <c r="I433" s="82">
        <f t="shared" ca="1" si="19"/>
        <v>-0.51775363803060903</v>
      </c>
      <c r="J433" s="31"/>
    </row>
    <row r="434" spans="1:10" x14ac:dyDescent="0.25">
      <c r="A434" s="85" t="str">
        <f t="shared" ca="1" si="20"/>
        <v>NBalNetEcos</v>
      </c>
      <c r="B434" s="68" t="s">
        <v>2088</v>
      </c>
      <c r="C434" s="68" t="s">
        <v>1779</v>
      </c>
      <c r="D434" s="68" t="s">
        <v>156</v>
      </c>
      <c r="E434" s="68"/>
      <c r="F434" s="68"/>
      <c r="G434" s="68"/>
      <c r="H434" s="82">
        <f t="shared" ca="1" si="18"/>
        <v>1.8945003682621999E-4</v>
      </c>
      <c r="I434" s="82">
        <f t="shared" ca="1" si="19"/>
        <v>1.6159686869621299E-4</v>
      </c>
      <c r="J434" s="31"/>
    </row>
    <row r="435" spans="1:10" x14ac:dyDescent="0.25">
      <c r="A435" s="85" t="str">
        <f t="shared" ca="1" si="20"/>
        <v>PBalNetEcos</v>
      </c>
      <c r="B435" s="68" t="s">
        <v>2089</v>
      </c>
      <c r="C435" s="68" t="s">
        <v>1779</v>
      </c>
      <c r="D435" s="68" t="s">
        <v>156</v>
      </c>
      <c r="E435" s="68"/>
      <c r="F435" s="68"/>
      <c r="G435" s="68"/>
      <c r="H435" s="82">
        <f t="shared" ca="1" si="18"/>
        <v>6.5753399999999896E-6</v>
      </c>
      <c r="I435" s="82">
        <f t="shared" ca="1" si="19"/>
        <v>6.5753399999999896E-6</v>
      </c>
      <c r="J435" s="31"/>
    </row>
    <row r="436" spans="1:10" x14ac:dyDescent="0.25">
      <c r="A436" s="85" t="str">
        <f t="shared" ca="1" si="20"/>
        <v>CBalNetEcos</v>
      </c>
      <c r="B436" s="68" t="s">
        <v>2090</v>
      </c>
      <c r="C436" s="68" t="s">
        <v>1779</v>
      </c>
      <c r="D436" s="68" t="s">
        <v>156</v>
      </c>
      <c r="E436" s="68"/>
      <c r="F436" s="68"/>
      <c r="G436" s="68"/>
      <c r="H436" s="82">
        <f t="shared" ca="1" si="18"/>
        <v>-0.488429290072528</v>
      </c>
      <c r="I436" s="82">
        <f t="shared" ca="1" si="19"/>
        <v>-0.51775363803060903</v>
      </c>
      <c r="J436" s="31"/>
    </row>
    <row r="437" spans="1:10" x14ac:dyDescent="0.25">
      <c r="A437" s="85" t="str">
        <f t="shared" ca="1" si="20"/>
        <v>WBalNetEcos</v>
      </c>
      <c r="B437" s="68" t="s">
        <v>2091</v>
      </c>
      <c r="C437" s="68" t="s">
        <v>1779</v>
      </c>
      <c r="D437" s="68" t="s">
        <v>156</v>
      </c>
      <c r="E437" s="68"/>
      <c r="F437" s="68"/>
      <c r="G437" s="68"/>
      <c r="H437" s="82">
        <f t="shared" ca="1" si="18"/>
        <v>0</v>
      </c>
      <c r="I437" s="82">
        <f t="shared" ca="1" si="19"/>
        <v>0</v>
      </c>
      <c r="J437" s="31"/>
    </row>
    <row r="438" spans="1:10" ht="25" x14ac:dyDescent="0.25">
      <c r="A438" s="85" t="str">
        <f t="shared" ca="1" si="20"/>
        <v>CumNetEcoCBal</v>
      </c>
      <c r="B438" s="68" t="s">
        <v>2092</v>
      </c>
      <c r="C438" s="68" t="s">
        <v>1779</v>
      </c>
      <c r="D438" s="68" t="s">
        <v>155</v>
      </c>
      <c r="E438" s="68"/>
      <c r="F438" s="68"/>
      <c r="G438" s="68"/>
      <c r="H438" s="82">
        <f t="shared" ca="1" si="18"/>
        <v>3.3364672767581398</v>
      </c>
      <c r="I438" s="82">
        <f t="shared" ca="1" si="19"/>
        <v>0.75023226880392302</v>
      </c>
      <c r="J438" s="31"/>
    </row>
    <row r="439" spans="1:10" ht="25" x14ac:dyDescent="0.25">
      <c r="A439" s="85" t="str">
        <f t="shared" ca="1" si="20"/>
        <v>CumNetEcoNBal</v>
      </c>
      <c r="B439" s="68" t="s">
        <v>2093</v>
      </c>
      <c r="C439" s="68" t="s">
        <v>1779</v>
      </c>
      <c r="D439" s="68" t="s">
        <v>155</v>
      </c>
      <c r="E439" s="68"/>
      <c r="F439" s="68"/>
      <c r="G439" s="68"/>
      <c r="H439" s="82">
        <f t="shared" ca="1" si="18"/>
        <v>2.7473514929176001E-8</v>
      </c>
      <c r="I439" s="82">
        <f t="shared" ca="1" si="19"/>
        <v>-1.7535557239246699E-2</v>
      </c>
      <c r="J439" s="31"/>
    </row>
    <row r="440" spans="1:10" ht="25" x14ac:dyDescent="0.25">
      <c r="A440" s="85" t="str">
        <f t="shared" ca="1" si="20"/>
        <v>CumNetEcoPBal</v>
      </c>
      <c r="B440" s="68" t="s">
        <v>2094</v>
      </c>
      <c r="C440" s="68" t="s">
        <v>1779</v>
      </c>
      <c r="D440" s="68" t="s">
        <v>155</v>
      </c>
      <c r="E440" s="68"/>
      <c r="F440" s="68"/>
      <c r="G440" s="68"/>
      <c r="H440" s="82">
        <f t="shared" ca="1" si="18"/>
        <v>1.26117990518859E-3</v>
      </c>
      <c r="I440" s="82">
        <f t="shared" ca="1" si="19"/>
        <v>-5.0357744389548204E-6</v>
      </c>
      <c r="J440" s="31"/>
    </row>
    <row r="441" spans="1:10" ht="25" x14ac:dyDescent="0.25">
      <c r="A441" s="85" t="str">
        <f t="shared" ca="1" si="20"/>
        <v>CumNetEcoWBal</v>
      </c>
      <c r="B441" s="68" t="s">
        <v>2095</v>
      </c>
      <c r="C441" s="68" t="s">
        <v>1779</v>
      </c>
      <c r="D441" s="68" t="s">
        <v>155</v>
      </c>
      <c r="E441" s="68"/>
      <c r="F441" s="68"/>
      <c r="G441" s="68"/>
      <c r="H441" s="82">
        <f t="shared" ca="1" si="18"/>
        <v>7.8316653241529297E-2</v>
      </c>
      <c r="I441" s="82">
        <f t="shared" ca="1" si="19"/>
        <v>1.38093391385289E-2</v>
      </c>
      <c r="J441" s="31"/>
    </row>
    <row r="442" spans="1:10" x14ac:dyDescent="0.25">
      <c r="A442" s="85" t="str">
        <f t="shared" ca="1" si="20"/>
        <v>biomassWFullCanopy</v>
      </c>
      <c r="B442" s="68" t="s">
        <v>2096</v>
      </c>
      <c r="C442" s="68" t="s">
        <v>1779</v>
      </c>
      <c r="D442" s="68" t="s">
        <v>155</v>
      </c>
      <c r="E442" s="68"/>
      <c r="F442" s="68"/>
      <c r="G442" s="68"/>
      <c r="H442" s="82">
        <f t="shared" ref="H442:H505" ca="1" si="21">IF(_xlfn.SINGLE(OFFSET(Data_Type,ROW()-_xlfn.SINGLE(ROW(Data_Type)),0))="numeric",_xlfn.AGGREGATE(4,6,(OFFSET(INDIRECT("'"&amp;OFFSET(Name_of_Data_Sheet,0,1)&amp;"'!A1"),1,ROW()-_xlfn.SINGLE(ROW(Data_Type))-1,OFFSET(Number_of_Data_Records,0,1)))),"")</f>
        <v>1617.7495217983601</v>
      </c>
      <c r="I442" s="82">
        <f t="shared" ref="I442:I505" ca="1" si="22">IF(_xlfn.SINGLE(OFFSET(Data_Type,ROW()-_xlfn.SINGLE(ROW(Data_Type)),0))="numeric",_xlfn.AGGREGATE(5,6,(OFFSET(INDIRECT("'"&amp;OFFSET(Name_of_Data_Sheet,0,1)&amp;"'!A2"),1,ROW()-_xlfn.SINGLE(ROW(Data_Type))-1,OFFSET(Number_of_Data_Records,0,1)))),"")</f>
        <v>1447.9205325591799</v>
      </c>
      <c r="J442" s="31"/>
    </row>
    <row r="443" spans="1:10" x14ac:dyDescent="0.25">
      <c r="A443" s="85" t="str">
        <f t="shared" ref="A443:A506" ca="1" si="23">IFERROR(IF(INDIRECT(ADDRESS(1,ROW()-ROW(Variable_Name),,,DataSheet1))=0,"",INDIRECT(ADDRESS(1,ROW()-ROW(Variable_Name),,,DataSheet1))),"")</f>
        <v>CanopyLitter</v>
      </c>
      <c r="B443" s="68" t="s">
        <v>2097</v>
      </c>
      <c r="C443" s="68" t="s">
        <v>1779</v>
      </c>
      <c r="D443" s="68" t="s">
        <v>156</v>
      </c>
      <c r="E443" s="68"/>
      <c r="F443" s="68"/>
      <c r="G443" s="68"/>
      <c r="H443" s="82">
        <f t="shared" ca="1" si="21"/>
        <v>5.3972231676939098E-2</v>
      </c>
      <c r="I443" s="82">
        <f t="shared" ca="1" si="22"/>
        <v>4.2519780777578203E-2</v>
      </c>
      <c r="J443" s="31"/>
    </row>
    <row r="444" spans="1:10" x14ac:dyDescent="0.25">
      <c r="A444" s="85" t="str">
        <f t="shared" ca="1" si="23"/>
        <v>SnowMelt</v>
      </c>
      <c r="B444" s="68" t="s">
        <v>2098</v>
      </c>
      <c r="C444" s="68" t="s">
        <v>1779</v>
      </c>
      <c r="D444" s="68" t="s">
        <v>715</v>
      </c>
      <c r="E444" s="68"/>
      <c r="F444" s="68"/>
      <c r="G444" s="68"/>
      <c r="H444" s="82">
        <f t="shared" ca="1" si="21"/>
        <v>0</v>
      </c>
      <c r="I444" s="82">
        <f t="shared" ca="1" si="22"/>
        <v>0</v>
      </c>
      <c r="J444" s="31"/>
    </row>
    <row r="445" spans="1:10" x14ac:dyDescent="0.25">
      <c r="A445" s="85" t="str">
        <f t="shared" ca="1" si="23"/>
        <v>DayOfYear</v>
      </c>
      <c r="B445" s="68" t="s">
        <v>2099</v>
      </c>
      <c r="C445" s="68" t="s">
        <v>1779</v>
      </c>
      <c r="D445" s="68" t="s">
        <v>96</v>
      </c>
      <c r="E445" s="68"/>
      <c r="F445" s="68"/>
      <c r="G445" s="68"/>
      <c r="H445" s="82">
        <f t="shared" ca="1" si="21"/>
        <v>365</v>
      </c>
      <c r="I445" s="82">
        <f t="shared" ca="1" si="22"/>
        <v>365</v>
      </c>
      <c r="J445" s="31"/>
    </row>
    <row r="446" spans="1:10" x14ac:dyDescent="0.25">
      <c r="A446" s="85" t="str">
        <f t="shared" ca="1" si="23"/>
        <v>DayLength</v>
      </c>
      <c r="B446" s="68" t="s">
        <v>2100</v>
      </c>
      <c r="C446" s="68" t="s">
        <v>1779</v>
      </c>
      <c r="D446" s="160" t="s">
        <v>52</v>
      </c>
      <c r="E446" s="68"/>
      <c r="F446" s="68"/>
      <c r="G446" s="68"/>
      <c r="H446" s="82">
        <f t="shared" ca="1" si="21"/>
        <v>0</v>
      </c>
      <c r="I446" s="82">
        <f t="shared" ca="1" si="22"/>
        <v>0</v>
      </c>
      <c r="J446" s="31"/>
    </row>
    <row r="447" spans="1:10" x14ac:dyDescent="0.25">
      <c r="A447" s="85" t="str">
        <f t="shared" ca="1" si="23"/>
        <v>declination</v>
      </c>
      <c r="B447" s="68" t="s">
        <v>1815</v>
      </c>
      <c r="C447" s="68" t="s">
        <v>1779</v>
      </c>
      <c r="D447" s="68" t="s">
        <v>106</v>
      </c>
      <c r="E447" s="68"/>
      <c r="F447" s="68"/>
      <c r="G447" s="68"/>
      <c r="H447" s="82">
        <f t="shared" ca="1" si="21"/>
        <v>-0.40268092994350901</v>
      </c>
      <c r="I447" s="82">
        <f t="shared" ca="1" si="22"/>
        <v>-0.40268092994350901</v>
      </c>
      <c r="J447" s="31"/>
    </row>
    <row r="448" spans="1:10" x14ac:dyDescent="0.25">
      <c r="A448" s="85" t="str">
        <f t="shared" ca="1" si="23"/>
        <v>Interception</v>
      </c>
      <c r="B448" s="68" t="s">
        <v>2101</v>
      </c>
      <c r="C448" s="68" t="s">
        <v>1779</v>
      </c>
      <c r="D448" s="68" t="s">
        <v>715</v>
      </c>
      <c r="E448" s="68"/>
      <c r="F448" s="68"/>
      <c r="G448" s="68"/>
      <c r="H448" s="82">
        <f t="shared" ca="1" si="21"/>
        <v>0</v>
      </c>
      <c r="I448" s="82">
        <f t="shared" ca="1" si="22"/>
        <v>0</v>
      </c>
      <c r="J448" s="31"/>
    </row>
    <row r="449" spans="1:10" x14ac:dyDescent="0.25">
      <c r="A449" s="85" t="str">
        <f t="shared" ca="1" si="23"/>
        <v>requirementRatioCA</v>
      </c>
      <c r="B449" s="68" t="s">
        <v>2102</v>
      </c>
      <c r="C449" s="68" t="s">
        <v>1779</v>
      </c>
      <c r="D449" s="68" t="s">
        <v>96</v>
      </c>
      <c r="E449" s="68"/>
      <c r="F449" s="68"/>
      <c r="G449" s="68"/>
      <c r="H449" s="82">
        <f t="shared" ca="1" si="21"/>
        <v>1.3350813511381701</v>
      </c>
      <c r="I449" s="82">
        <f t="shared" ca="1" si="22"/>
        <v>1.2944754239648699</v>
      </c>
      <c r="J449" s="31"/>
    </row>
    <row r="450" spans="1:10" x14ac:dyDescent="0.25">
      <c r="A450" s="85" t="str">
        <f t="shared" ca="1" si="23"/>
        <v>requirementRatioN</v>
      </c>
      <c r="B450" s="68" t="s">
        <v>2103</v>
      </c>
      <c r="C450" s="68" t="s">
        <v>1779</v>
      </c>
      <c r="D450" s="68" t="s">
        <v>96</v>
      </c>
      <c r="E450" s="68"/>
      <c r="F450" s="68"/>
      <c r="G450" s="68"/>
      <c r="H450" s="82">
        <f t="shared" ca="1" si="21"/>
        <v>1.4100675718072699</v>
      </c>
      <c r="I450" s="82">
        <f t="shared" ca="1" si="22"/>
        <v>1.3903141984044101</v>
      </c>
      <c r="J450" s="31"/>
    </row>
    <row r="451" spans="1:10" x14ac:dyDescent="0.25">
      <c r="A451" s="85" t="str">
        <f t="shared" ca="1" si="23"/>
        <v>requirementRatioPO4</v>
      </c>
      <c r="B451" s="68" t="s">
        <v>2104</v>
      </c>
      <c r="C451" s="68" t="s">
        <v>1779</v>
      </c>
      <c r="D451" s="68" t="s">
        <v>96</v>
      </c>
      <c r="E451" s="68"/>
      <c r="F451" s="68"/>
      <c r="G451" s="68"/>
      <c r="H451" s="82">
        <f t="shared" ca="1" si="21"/>
        <v>1.44670724515146</v>
      </c>
      <c r="I451" s="82">
        <f t="shared" ca="1" si="22"/>
        <v>1.3947371812432099</v>
      </c>
      <c r="J451" s="31"/>
    </row>
    <row r="452" spans="1:10" x14ac:dyDescent="0.25">
      <c r="A452" s="85" t="str">
        <f t="shared" ca="1" si="23"/>
        <v>dUCDvCO2</v>
      </c>
      <c r="B452" s="68" t="s">
        <v>2105</v>
      </c>
      <c r="C452" s="68" t="s">
        <v>1779</v>
      </c>
      <c r="D452" s="68" t="s">
        <v>156</v>
      </c>
      <c r="E452" s="68"/>
      <c r="F452" s="68"/>
      <c r="G452" s="68"/>
      <c r="H452" s="82">
        <f t="shared" ca="1" si="21"/>
        <v>0</v>
      </c>
      <c r="I452" s="82">
        <f t="shared" ca="1" si="22"/>
        <v>0</v>
      </c>
      <c r="J452" s="31"/>
    </row>
    <row r="453" spans="1:10" x14ac:dyDescent="0.25">
      <c r="A453" s="85" t="str">
        <f t="shared" ca="1" si="23"/>
        <v>dUCDvW</v>
      </c>
      <c r="B453" s="68" t="s">
        <v>2106</v>
      </c>
      <c r="C453" s="68" t="s">
        <v>1779</v>
      </c>
      <c r="D453" s="68" t="s">
        <v>156</v>
      </c>
      <c r="E453" s="68"/>
      <c r="F453" s="68"/>
      <c r="G453" s="68"/>
      <c r="H453" s="82">
        <f t="shared" ca="1" si="21"/>
        <v>0</v>
      </c>
      <c r="I453" s="82">
        <f t="shared" ca="1" si="22"/>
        <v>0</v>
      </c>
      <c r="J453" s="31"/>
    </row>
    <row r="454" spans="1:10" x14ac:dyDescent="0.25">
      <c r="A454" s="85" t="str">
        <f t="shared" ca="1" si="23"/>
        <v>dUCDvI</v>
      </c>
      <c r="B454" s="68" t="s">
        <v>2107</v>
      </c>
      <c r="C454" s="68" t="s">
        <v>1779</v>
      </c>
      <c r="D454" s="68" t="s">
        <v>156</v>
      </c>
      <c r="E454" s="68"/>
      <c r="F454" s="68"/>
      <c r="G454" s="68"/>
      <c r="H454" s="82">
        <f t="shared" ca="1" si="21"/>
        <v>0</v>
      </c>
      <c r="I454" s="82">
        <f t="shared" ca="1" si="22"/>
        <v>0</v>
      </c>
      <c r="J454" s="31"/>
    </row>
    <row r="455" spans="1:10" x14ac:dyDescent="0.25">
      <c r="A455" s="85" t="str">
        <f t="shared" ca="1" si="23"/>
        <v>dUCDvNH4</v>
      </c>
      <c r="B455" s="68" t="s">
        <v>2108</v>
      </c>
      <c r="C455" s="68" t="s">
        <v>1779</v>
      </c>
      <c r="D455" s="68" t="s">
        <v>156</v>
      </c>
      <c r="E455" s="68"/>
      <c r="F455" s="68"/>
      <c r="G455" s="68"/>
      <c r="H455" s="82">
        <f t="shared" ca="1" si="21"/>
        <v>3.6207311266958199E-3</v>
      </c>
      <c r="I455" s="82">
        <f t="shared" ca="1" si="22"/>
        <v>3.4211016371127599E-3</v>
      </c>
      <c r="J455" s="31"/>
    </row>
    <row r="456" spans="1:10" x14ac:dyDescent="0.25">
      <c r="A456" s="85" t="str">
        <f t="shared" ca="1" si="23"/>
        <v>dUCDvNO3</v>
      </c>
      <c r="B456" s="68" t="s">
        <v>2109</v>
      </c>
      <c r="C456" s="68" t="s">
        <v>1779</v>
      </c>
      <c r="D456" s="68" t="s">
        <v>156</v>
      </c>
      <c r="E456" s="68"/>
      <c r="F456" s="68"/>
      <c r="G456" s="68"/>
      <c r="H456" s="82">
        <f t="shared" ca="1" si="21"/>
        <v>2.3008316070948501E-2</v>
      </c>
      <c r="I456" s="82">
        <f t="shared" ca="1" si="22"/>
        <v>2.12463721698395E-2</v>
      </c>
      <c r="J456" s="31"/>
    </row>
    <row r="457" spans="1:10" x14ac:dyDescent="0.25">
      <c r="A457" s="85" t="str">
        <f t="shared" ca="1" si="23"/>
        <v>dUCDvdoN</v>
      </c>
      <c r="B457" s="68" t="s">
        <v>2110</v>
      </c>
      <c r="C457" s="68" t="s">
        <v>1779</v>
      </c>
      <c r="D457" s="68" t="s">
        <v>156</v>
      </c>
      <c r="E457" s="68"/>
      <c r="F457" s="68"/>
      <c r="G457" s="68"/>
      <c r="H457" s="82">
        <f t="shared" ca="1" si="21"/>
        <v>4.1438688110542E-2</v>
      </c>
      <c r="I457" s="82">
        <f t="shared" ca="1" si="22"/>
        <v>3.70994188877991E-2</v>
      </c>
      <c r="J457" s="31"/>
    </row>
    <row r="458" spans="1:10" x14ac:dyDescent="0.25">
      <c r="A458" s="85" t="str">
        <f t="shared" ca="1" si="23"/>
        <v>dUCDvNfix</v>
      </c>
      <c r="B458" s="68" t="s">
        <v>2111</v>
      </c>
      <c r="C458" s="68" t="s">
        <v>1779</v>
      </c>
      <c r="D458" s="68" t="s">
        <v>156</v>
      </c>
      <c r="E458" s="68"/>
      <c r="F458" s="68"/>
      <c r="G458" s="68"/>
      <c r="H458" s="82">
        <f t="shared" ca="1" si="21"/>
        <v>0</v>
      </c>
      <c r="I458" s="82">
        <f t="shared" ca="1" si="22"/>
        <v>0</v>
      </c>
      <c r="J458" s="31"/>
    </row>
    <row r="459" spans="1:10" x14ac:dyDescent="0.25">
      <c r="A459" s="85" t="str">
        <f t="shared" ca="1" si="23"/>
        <v>dUCDVC</v>
      </c>
      <c r="B459" s="68" t="s">
        <v>2112</v>
      </c>
      <c r="C459" s="68" t="s">
        <v>1779</v>
      </c>
      <c r="D459" s="68" t="s">
        <v>156</v>
      </c>
      <c r="E459" s="68"/>
      <c r="F459" s="68"/>
      <c r="G459" s="68"/>
      <c r="H459" s="82">
        <f t="shared" ca="1" si="21"/>
        <v>0</v>
      </c>
      <c r="I459" s="82">
        <f t="shared" ca="1" si="22"/>
        <v>0</v>
      </c>
      <c r="J459" s="31"/>
    </row>
    <row r="460" spans="1:10" x14ac:dyDescent="0.25">
      <c r="A460" s="85" t="str">
        <f t="shared" ca="1" si="23"/>
        <v>kickstarter_CEffort</v>
      </c>
      <c r="B460" s="68" t="s">
        <v>2113</v>
      </c>
      <c r="C460" s="68" t="s">
        <v>1779</v>
      </c>
      <c r="D460" s="68" t="s">
        <v>96</v>
      </c>
      <c r="E460" s="68"/>
      <c r="F460" s="68"/>
      <c r="G460" s="68"/>
      <c r="H460" s="82">
        <f t="shared" ca="1" si="21"/>
        <v>0</v>
      </c>
      <c r="I460" s="82">
        <f t="shared" ca="1" si="22"/>
        <v>0</v>
      </c>
      <c r="J460" s="31"/>
    </row>
    <row r="461" spans="1:10" x14ac:dyDescent="0.25">
      <c r="A461" s="85" t="str">
        <f t="shared" ca="1" si="23"/>
        <v>kickstarter_NEffort</v>
      </c>
      <c r="B461" s="68" t="s">
        <v>2114</v>
      </c>
      <c r="C461" s="68" t="s">
        <v>1779</v>
      </c>
      <c r="D461" s="68" t="s">
        <v>96</v>
      </c>
      <c r="E461" s="68"/>
      <c r="F461" s="68"/>
      <c r="G461" s="68"/>
      <c r="H461" s="82">
        <f t="shared" ca="1" si="21"/>
        <v>0</v>
      </c>
      <c r="I461" s="82">
        <f t="shared" ca="1" si="22"/>
        <v>0</v>
      </c>
      <c r="J461" s="31"/>
    </row>
    <row r="462" spans="1:10" x14ac:dyDescent="0.25">
      <c r="A462" s="85" t="str">
        <f t="shared" ca="1" si="23"/>
        <v>kickstarter_PEffort</v>
      </c>
      <c r="B462" s="68" t="s">
        <v>2115</v>
      </c>
      <c r="C462" s="68" t="s">
        <v>1779</v>
      </c>
      <c r="D462" s="68" t="s">
        <v>96</v>
      </c>
      <c r="E462" s="68"/>
      <c r="F462" s="68"/>
      <c r="G462" s="68"/>
      <c r="H462" s="82">
        <f t="shared" ca="1" si="21"/>
        <v>0</v>
      </c>
      <c r="I462" s="82">
        <f t="shared" ca="1" si="22"/>
        <v>0</v>
      </c>
      <c r="J462" s="31"/>
    </row>
    <row r="463" spans="1:10" x14ac:dyDescent="0.25">
      <c r="A463" s="85" t="str">
        <f t="shared" ca="1" si="23"/>
        <v>kickstarter_CO2Subeffort</v>
      </c>
      <c r="B463" s="68" t="s">
        <v>2116</v>
      </c>
      <c r="C463" s="68" t="s">
        <v>1779</v>
      </c>
      <c r="D463" s="68" t="s">
        <v>96</v>
      </c>
      <c r="E463" s="68"/>
      <c r="F463" s="68"/>
      <c r="G463" s="68"/>
      <c r="H463" s="82">
        <f t="shared" ca="1" si="21"/>
        <v>0</v>
      </c>
      <c r="I463" s="82">
        <f t="shared" ca="1" si="22"/>
        <v>0</v>
      </c>
      <c r="J463" s="31"/>
    </row>
    <row r="464" spans="1:10" x14ac:dyDescent="0.25">
      <c r="A464" s="85" t="str">
        <f t="shared" ca="1" si="23"/>
        <v>kickstarter_WSubeffort</v>
      </c>
      <c r="B464" s="68" t="s">
        <v>2117</v>
      </c>
      <c r="C464" s="68" t="s">
        <v>1779</v>
      </c>
      <c r="D464" s="68" t="s">
        <v>96</v>
      </c>
      <c r="E464" s="68"/>
      <c r="F464" s="68"/>
      <c r="G464" s="68"/>
      <c r="H464" s="82">
        <f t="shared" ca="1" si="21"/>
        <v>0</v>
      </c>
      <c r="I464" s="82">
        <f t="shared" ca="1" si="22"/>
        <v>0</v>
      </c>
      <c r="J464" s="31"/>
    </row>
    <row r="465" spans="1:10" x14ac:dyDescent="0.25">
      <c r="A465" s="85" t="str">
        <f t="shared" ca="1" si="23"/>
        <v>kickstarter_ISubeffort</v>
      </c>
      <c r="B465" s="68" t="s">
        <v>2118</v>
      </c>
      <c r="C465" s="68" t="s">
        <v>1779</v>
      </c>
      <c r="D465" s="68" t="s">
        <v>96</v>
      </c>
      <c r="E465" s="68"/>
      <c r="F465" s="68"/>
      <c r="G465" s="68"/>
      <c r="H465" s="82">
        <f t="shared" ca="1" si="21"/>
        <v>0</v>
      </c>
      <c r="I465" s="82">
        <f t="shared" ca="1" si="22"/>
        <v>0</v>
      </c>
      <c r="J465" s="31"/>
    </row>
    <row r="466" spans="1:10" x14ac:dyDescent="0.25">
      <c r="A466" s="85" t="str">
        <f t="shared" ca="1" si="23"/>
        <v>kickstarter_NH4Subeffort</v>
      </c>
      <c r="B466" s="68" t="s">
        <v>2119</v>
      </c>
      <c r="C466" s="68" t="s">
        <v>1779</v>
      </c>
      <c r="D466" s="68" t="s">
        <v>96</v>
      </c>
      <c r="E466" s="68"/>
      <c r="F466" s="68"/>
      <c r="G466" s="68"/>
      <c r="H466" s="82">
        <f t="shared" ca="1" si="21"/>
        <v>0</v>
      </c>
      <c r="I466" s="82">
        <f t="shared" ca="1" si="22"/>
        <v>0</v>
      </c>
      <c r="J466" s="31"/>
    </row>
    <row r="467" spans="1:10" x14ac:dyDescent="0.25">
      <c r="A467" s="85" t="str">
        <f t="shared" ca="1" si="23"/>
        <v>kickstarter_NO3Subeffort</v>
      </c>
      <c r="B467" s="68" t="s">
        <v>2120</v>
      </c>
      <c r="C467" s="68" t="s">
        <v>1779</v>
      </c>
      <c r="D467" s="68" t="s">
        <v>96</v>
      </c>
      <c r="E467" s="68"/>
      <c r="F467" s="68"/>
      <c r="G467" s="68"/>
      <c r="H467" s="82">
        <f t="shared" ca="1" si="21"/>
        <v>0</v>
      </c>
      <c r="I467" s="82">
        <f t="shared" ca="1" si="22"/>
        <v>0</v>
      </c>
      <c r="J467" s="31"/>
    </row>
    <row r="468" spans="1:10" x14ac:dyDescent="0.25">
      <c r="A468" s="85" t="str">
        <f t="shared" ca="1" si="23"/>
        <v>kickstarter_NfixSubeffort</v>
      </c>
      <c r="B468" s="68" t="s">
        <v>2121</v>
      </c>
      <c r="C468" s="68" t="s">
        <v>1779</v>
      </c>
      <c r="D468" s="68" t="s">
        <v>96</v>
      </c>
      <c r="E468" s="68"/>
      <c r="F468" s="68"/>
      <c r="G468" s="68"/>
      <c r="H468" s="82">
        <f t="shared" ca="1" si="21"/>
        <v>0</v>
      </c>
      <c r="I468" s="82">
        <f t="shared" ca="1" si="22"/>
        <v>0</v>
      </c>
      <c r="J468" s="31"/>
    </row>
    <row r="469" spans="1:10" x14ac:dyDescent="0.25">
      <c r="A469" s="85" t="str">
        <f t="shared" ca="1" si="23"/>
        <v>kickstarter_DoNSubeffort</v>
      </c>
      <c r="B469" s="68" t="s">
        <v>2122</v>
      </c>
      <c r="C469" s="68" t="s">
        <v>1779</v>
      </c>
      <c r="D469" s="68" t="s">
        <v>96</v>
      </c>
      <c r="E469" s="68"/>
      <c r="F469" s="68"/>
      <c r="G469" s="68"/>
      <c r="H469" s="82">
        <f t="shared" ca="1" si="21"/>
        <v>0</v>
      </c>
      <c r="I469" s="82">
        <f t="shared" ca="1" si="22"/>
        <v>0</v>
      </c>
      <c r="J469" s="31"/>
    </row>
    <row r="470" spans="1:10" x14ac:dyDescent="0.25">
      <c r="A470" s="85" t="str">
        <f t="shared" ca="1" si="23"/>
        <v>rootingDepth_Actual</v>
      </c>
      <c r="B470" s="68" t="s">
        <v>2123</v>
      </c>
      <c r="C470" s="68" t="s">
        <v>1779</v>
      </c>
      <c r="D470" s="68" t="s">
        <v>73</v>
      </c>
      <c r="E470" s="68"/>
      <c r="F470" s="68"/>
      <c r="G470" s="68"/>
      <c r="H470" s="82">
        <f t="shared" ca="1" si="21"/>
        <v>0.34999999999999898</v>
      </c>
      <c r="I470" s="82">
        <f t="shared" ca="1" si="22"/>
        <v>0.34999999999999898</v>
      </c>
      <c r="J470" s="31"/>
    </row>
    <row r="471" spans="1:10" x14ac:dyDescent="0.25">
      <c r="A471" s="85" t="str">
        <f t="shared" ca="1" si="23"/>
        <v>nearRootDepletionFactor</v>
      </c>
      <c r="B471" s="68" t="s">
        <v>2124</v>
      </c>
      <c r="C471" s="68" t="s">
        <v>1779</v>
      </c>
      <c r="D471" s="68" t="s">
        <v>96</v>
      </c>
      <c r="E471" s="68"/>
      <c r="F471" s="68"/>
      <c r="G471" s="68"/>
      <c r="H471" s="82">
        <f t="shared" ca="1" si="21"/>
        <v>-0.112136710697971</v>
      </c>
      <c r="I471" s="82">
        <f t="shared" ca="1" si="22"/>
        <v>-0.12125766683426401</v>
      </c>
      <c r="J471" s="31"/>
    </row>
    <row r="472" spans="1:10" x14ac:dyDescent="0.25">
      <c r="A472" s="85" t="str">
        <f t="shared" ca="1" si="23"/>
        <v>betweenRootHalfDistance</v>
      </c>
      <c r="B472" s="68" t="s">
        <v>2125</v>
      </c>
      <c r="C472" s="68" t="s">
        <v>1779</v>
      </c>
      <c r="D472" s="68" t="s">
        <v>73</v>
      </c>
      <c r="E472" s="68"/>
      <c r="F472" s="68"/>
      <c r="G472" s="68"/>
      <c r="H472" s="82">
        <f t="shared" ca="1" si="21"/>
        <v>1.9209221204586301E-3</v>
      </c>
      <c r="I472" s="82">
        <f t="shared" ca="1" si="22"/>
        <v>1.7818423255246E-3</v>
      </c>
      <c r="J472" s="31"/>
    </row>
    <row r="473" spans="1:10" x14ac:dyDescent="0.25">
      <c r="A473" s="85" t="str">
        <f t="shared" ca="1" si="23"/>
        <v>RootLength</v>
      </c>
      <c r="B473" s="68" t="s">
        <v>2126</v>
      </c>
      <c r="C473" s="68" t="s">
        <v>1779</v>
      </c>
      <c r="D473" s="68" t="s">
        <v>73</v>
      </c>
      <c r="E473" s="68"/>
      <c r="F473" s="68"/>
      <c r="G473" s="68"/>
      <c r="H473" s="82">
        <f t="shared" ca="1" si="21"/>
        <v>35089.697955973497</v>
      </c>
      <c r="I473" s="82">
        <f t="shared" ca="1" si="22"/>
        <v>30229.364773280598</v>
      </c>
      <c r="J473" s="31"/>
    </row>
    <row r="474" spans="1:10" x14ac:dyDescent="0.25">
      <c r="A474" s="85" t="str">
        <f t="shared" ca="1" si="23"/>
        <v>Denitrification</v>
      </c>
      <c r="B474" s="68" t="s">
        <v>2127</v>
      </c>
      <c r="C474" s="68" t="s">
        <v>1779</v>
      </c>
      <c r="D474" s="68" t="s">
        <v>156</v>
      </c>
      <c r="E474" s="68"/>
      <c r="F474" s="68"/>
      <c r="G474" s="68"/>
      <c r="H474" s="82">
        <f t="shared" ca="1" si="21"/>
        <v>0</v>
      </c>
      <c r="I474" s="82">
        <f t="shared" ca="1" si="22"/>
        <v>0</v>
      </c>
      <c r="J474" s="31"/>
    </row>
    <row r="475" spans="1:10" x14ac:dyDescent="0.25">
      <c r="A475" s="85" t="str">
        <f t="shared" ca="1" si="23"/>
        <v>DepthOfPeat</v>
      </c>
      <c r="B475" s="68" t="s">
        <v>2128</v>
      </c>
      <c r="C475" s="68" t="s">
        <v>1779</v>
      </c>
      <c r="D475" s="68" t="s">
        <v>73</v>
      </c>
      <c r="E475" s="68"/>
      <c r="F475" s="68"/>
      <c r="G475" s="68"/>
      <c r="H475" s="82">
        <f t="shared" ca="1" si="21"/>
        <v>0.21068310402304699</v>
      </c>
      <c r="I475" s="82">
        <f t="shared" ca="1" si="22"/>
        <v>0.21000050913077201</v>
      </c>
      <c r="J475" s="31"/>
    </row>
    <row r="476" spans="1:10" ht="25" x14ac:dyDescent="0.25">
      <c r="A476" s="85" t="str">
        <f t="shared" ca="1" si="23"/>
        <v>SoilVolumePerGC</v>
      </c>
      <c r="B476" s="68" t="s">
        <v>2129</v>
      </c>
      <c r="C476" s="68" t="s">
        <v>1779</v>
      </c>
      <c r="D476" s="68" t="s">
        <v>711</v>
      </c>
      <c r="E476" s="68"/>
      <c r="F476" s="68"/>
      <c r="G476" s="68"/>
      <c r="H476" s="82">
        <f t="shared" ca="1" si="21"/>
        <v>1.73602675993533E-5</v>
      </c>
      <c r="I476" s="82">
        <f t="shared" ca="1" si="22"/>
        <v>1.73602675993533E-5</v>
      </c>
      <c r="J476" s="31"/>
    </row>
    <row r="477" spans="1:10" x14ac:dyDescent="0.25">
      <c r="A477" s="85" t="str">
        <f t="shared" ca="1" si="23"/>
        <v>UnfrozenSoilFraction</v>
      </c>
      <c r="B477" s="68" t="s">
        <v>2130</v>
      </c>
      <c r="C477" s="68" t="s">
        <v>1779</v>
      </c>
      <c r="D477" s="68" t="s">
        <v>96</v>
      </c>
      <c r="E477" s="68"/>
      <c r="F477" s="68"/>
      <c r="G477" s="68"/>
      <c r="H477" s="82">
        <f t="shared" ca="1" si="21"/>
        <v>0</v>
      </c>
      <c r="I477" s="82">
        <f t="shared" ca="1" si="22"/>
        <v>0</v>
      </c>
      <c r="J477" s="31"/>
    </row>
    <row r="478" spans="1:10" x14ac:dyDescent="0.25">
      <c r="A478" s="85" t="str">
        <f t="shared" ca="1" si="23"/>
        <v>SoilTemperature</v>
      </c>
      <c r="B478" s="68" t="s">
        <v>2131</v>
      </c>
      <c r="C478" s="68" t="s">
        <v>1779</v>
      </c>
      <c r="D478" s="68" t="s">
        <v>39</v>
      </c>
      <c r="E478" s="68"/>
      <c r="F478" s="68"/>
      <c r="G478" s="68"/>
      <c r="H478" s="82">
        <f t="shared" ca="1" si="21"/>
        <v>-12.124836875981099</v>
      </c>
      <c r="I478" s="82">
        <f t="shared" ca="1" si="22"/>
        <v>-12.181560442776901</v>
      </c>
      <c r="J478" s="31"/>
    </row>
    <row r="479" spans="1:10" x14ac:dyDescent="0.25">
      <c r="A479" s="85" t="str">
        <f t="shared" ca="1" si="23"/>
        <v>UpwardCond</v>
      </c>
      <c r="B479" s="68" t="s">
        <v>2132</v>
      </c>
      <c r="C479" s="68" t="s">
        <v>1779</v>
      </c>
      <c r="D479" s="68" t="s">
        <v>96</v>
      </c>
      <c r="E479" s="68"/>
      <c r="F479" s="68"/>
      <c r="G479" s="68"/>
      <c r="H479" s="82">
        <f t="shared" ca="1" si="21"/>
        <v>1.57242466692065E-2</v>
      </c>
      <c r="I479" s="82">
        <f t="shared" ca="1" si="22"/>
        <v>1.56901539450559E-2</v>
      </c>
      <c r="J479" s="31"/>
    </row>
    <row r="480" spans="1:10" x14ac:dyDescent="0.25">
      <c r="A480" s="85" t="str">
        <f t="shared" ca="1" si="23"/>
        <v>UpwardThawCond</v>
      </c>
      <c r="B480" s="68" t="s">
        <v>2133</v>
      </c>
      <c r="C480" s="68" t="s">
        <v>1779</v>
      </c>
      <c r="D480" s="68" t="s">
        <v>96</v>
      </c>
      <c r="E480" s="68"/>
      <c r="F480" s="68"/>
      <c r="G480" s="68"/>
      <c r="H480" s="82">
        <f t="shared" ca="1" si="21"/>
        <v>3.4191006313269599E-3</v>
      </c>
      <c r="I480" s="82">
        <f t="shared" ca="1" si="22"/>
        <v>3.38693768401501E-3</v>
      </c>
      <c r="J480" s="31"/>
    </row>
    <row r="481" spans="1:10" x14ac:dyDescent="0.25">
      <c r="A481" s="85" t="str">
        <f t="shared" ca="1" si="23"/>
        <v>UpwardFrozenCond</v>
      </c>
      <c r="B481" s="68" t="s">
        <v>2134</v>
      </c>
      <c r="C481" s="68" t="s">
        <v>1779</v>
      </c>
      <c r="D481" s="68" t="s">
        <v>96</v>
      </c>
      <c r="E481" s="68"/>
      <c r="F481" s="68"/>
      <c r="G481" s="68"/>
      <c r="H481" s="82">
        <f t="shared" ca="1" si="21"/>
        <v>1.57242466692065E-2</v>
      </c>
      <c r="I481" s="82">
        <f t="shared" ca="1" si="22"/>
        <v>1.56901539450559E-2</v>
      </c>
      <c r="J481" s="31"/>
    </row>
    <row r="482" spans="1:10" x14ac:dyDescent="0.25">
      <c r="A482" s="85" t="str">
        <f t="shared" ca="1" si="23"/>
        <v>FrozenHeatCap</v>
      </c>
      <c r="B482" s="68" t="s">
        <v>2135</v>
      </c>
      <c r="C482" s="68" t="s">
        <v>1779</v>
      </c>
      <c r="D482" s="68" t="s">
        <v>96</v>
      </c>
      <c r="E482" s="68"/>
      <c r="F482" s="68"/>
      <c r="G482" s="68"/>
      <c r="H482" s="82">
        <f t="shared" ca="1" si="21"/>
        <v>0.95678210000674002</v>
      </c>
      <c r="I482" s="82">
        <f t="shared" ca="1" si="22"/>
        <v>0.93135056344982003</v>
      </c>
      <c r="J482" s="31"/>
    </row>
    <row r="483" spans="1:10" x14ac:dyDescent="0.25">
      <c r="A483" s="85" t="str">
        <f t="shared" ca="1" si="23"/>
        <v>ThawedHeatCap</v>
      </c>
      <c r="B483" s="68" t="s">
        <v>2136</v>
      </c>
      <c r="C483" s="68" t="s">
        <v>1779</v>
      </c>
      <c r="D483" s="68" t="s">
        <v>96</v>
      </c>
      <c r="E483" s="68"/>
      <c r="F483" s="68"/>
      <c r="G483" s="68"/>
      <c r="H483" s="82">
        <f t="shared" ca="1" si="21"/>
        <v>1.2452069318258401</v>
      </c>
      <c r="I483" s="82">
        <f t="shared" ca="1" si="22"/>
        <v>1.2163074584657001</v>
      </c>
      <c r="J483" s="31"/>
    </row>
    <row r="484" spans="1:10" x14ac:dyDescent="0.25">
      <c r="A484" s="85" t="str">
        <f t="shared" ca="1" si="23"/>
        <v>Snowfall</v>
      </c>
      <c r="B484" s="68" t="s">
        <v>2137</v>
      </c>
      <c r="C484" s="68" t="s">
        <v>1779</v>
      </c>
      <c r="D484" s="68" t="s">
        <v>715</v>
      </c>
      <c r="E484" s="68"/>
      <c r="F484" s="68"/>
      <c r="G484" s="68"/>
      <c r="H484" s="82">
        <f t="shared" ca="1" si="21"/>
        <v>0</v>
      </c>
      <c r="I484" s="82">
        <f t="shared" ca="1" si="22"/>
        <v>0</v>
      </c>
      <c r="J484" s="31"/>
    </row>
    <row r="485" spans="1:10" x14ac:dyDescent="0.25">
      <c r="A485" s="85" t="str">
        <f t="shared" ca="1" si="23"/>
        <v>Rainfall</v>
      </c>
      <c r="B485" s="68" t="s">
        <v>2138</v>
      </c>
      <c r="C485" s="68" t="s">
        <v>1779</v>
      </c>
      <c r="D485" s="68" t="s">
        <v>715</v>
      </c>
      <c r="E485" s="68"/>
      <c r="F485" s="68"/>
      <c r="G485" s="68"/>
      <c r="H485" s="82">
        <f t="shared" ca="1" si="21"/>
        <v>0</v>
      </c>
      <c r="I485" s="82">
        <f t="shared" ca="1" si="22"/>
        <v>0</v>
      </c>
      <c r="J485" s="31"/>
    </row>
    <row r="486" spans="1:10" x14ac:dyDescent="0.25">
      <c r="A486" s="85" t="str">
        <f t="shared" ca="1" si="23"/>
        <v>VolumetricWaterContent</v>
      </c>
      <c r="B486" s="68" t="s">
        <v>2139</v>
      </c>
      <c r="C486" s="68" t="s">
        <v>1779</v>
      </c>
      <c r="D486" s="68" t="s">
        <v>96</v>
      </c>
      <c r="E486" s="68"/>
      <c r="F486" s="68"/>
      <c r="G486" s="68"/>
      <c r="H486" s="82">
        <f t="shared" ca="1" si="21"/>
        <v>0.244944809683666</v>
      </c>
      <c r="I486" s="82">
        <f t="shared" ca="1" si="22"/>
        <v>0.23789999335360101</v>
      </c>
      <c r="J486" s="31"/>
    </row>
    <row r="487" spans="1:10" x14ac:dyDescent="0.25">
      <c r="A487" s="85" t="str">
        <f t="shared" ca="1" si="23"/>
        <v>OverlandFlow_Runin</v>
      </c>
      <c r="B487" s="68" t="s">
        <v>2140</v>
      </c>
      <c r="C487" s="68" t="s">
        <v>1779</v>
      </c>
      <c r="D487" s="68" t="s">
        <v>715</v>
      </c>
      <c r="E487" s="68"/>
      <c r="F487" s="68"/>
      <c r="G487" s="68"/>
      <c r="H487" s="82">
        <f t="shared" ca="1" si="21"/>
        <v>0</v>
      </c>
      <c r="I487" s="82">
        <f t="shared" ca="1" si="22"/>
        <v>0</v>
      </c>
      <c r="J487" s="31"/>
    </row>
    <row r="488" spans="1:10" ht="25" x14ac:dyDescent="0.25">
      <c r="A488" s="85" t="str">
        <f t="shared" ca="1" si="23"/>
        <v>OverlandDoC_Runin</v>
      </c>
      <c r="B488" s="68" t="s">
        <v>2141</v>
      </c>
      <c r="C488" s="68" t="s">
        <v>1779</v>
      </c>
      <c r="D488" s="68" t="s">
        <v>156</v>
      </c>
      <c r="E488" s="68"/>
      <c r="F488" s="68"/>
      <c r="G488" s="68"/>
      <c r="H488" s="82">
        <f t="shared" ca="1" si="21"/>
        <v>0</v>
      </c>
      <c r="I488" s="82">
        <f t="shared" ca="1" si="22"/>
        <v>0</v>
      </c>
      <c r="J488" s="31"/>
    </row>
    <row r="489" spans="1:10" ht="25" x14ac:dyDescent="0.25">
      <c r="A489" s="85" t="str">
        <f t="shared" ca="1" si="23"/>
        <v>OverlandDoN_Runin</v>
      </c>
      <c r="B489" s="68" t="s">
        <v>2142</v>
      </c>
      <c r="C489" s="68" t="s">
        <v>1779</v>
      </c>
      <c r="D489" s="68" t="s">
        <v>156</v>
      </c>
      <c r="E489" s="68"/>
      <c r="F489" s="68"/>
      <c r="G489" s="68"/>
      <c r="H489" s="82">
        <f t="shared" ca="1" si="21"/>
        <v>0</v>
      </c>
      <c r="I489" s="82">
        <f t="shared" ca="1" si="22"/>
        <v>0</v>
      </c>
      <c r="J489" s="31"/>
    </row>
    <row r="490" spans="1:10" x14ac:dyDescent="0.25">
      <c r="A490" s="85" t="str">
        <f t="shared" ca="1" si="23"/>
        <v>OverlandNH4_Runin</v>
      </c>
      <c r="B490" s="68" t="s">
        <v>2143</v>
      </c>
      <c r="C490" s="68" t="s">
        <v>1779</v>
      </c>
      <c r="D490" s="68" t="s">
        <v>156</v>
      </c>
      <c r="E490" s="68"/>
      <c r="F490" s="68"/>
      <c r="G490" s="68"/>
      <c r="H490" s="82">
        <f t="shared" ca="1" si="21"/>
        <v>0</v>
      </c>
      <c r="I490" s="82">
        <f t="shared" ca="1" si="22"/>
        <v>0</v>
      </c>
      <c r="J490" s="31"/>
    </row>
    <row r="491" spans="1:10" x14ac:dyDescent="0.25">
      <c r="A491" s="85" t="str">
        <f t="shared" ca="1" si="23"/>
        <v>OverlandNO3_Runin</v>
      </c>
      <c r="B491" s="68" t="s">
        <v>2144</v>
      </c>
      <c r="C491" s="68" t="s">
        <v>1779</v>
      </c>
      <c r="D491" s="68" t="s">
        <v>156</v>
      </c>
      <c r="E491" s="68"/>
      <c r="F491" s="68"/>
      <c r="G491" s="68"/>
      <c r="H491" s="82">
        <f t="shared" ca="1" si="21"/>
        <v>0</v>
      </c>
      <c r="I491" s="82">
        <f t="shared" ca="1" si="22"/>
        <v>0</v>
      </c>
      <c r="J491" s="31"/>
    </row>
    <row r="492" spans="1:10" x14ac:dyDescent="0.25">
      <c r="A492" s="85" t="str">
        <f t="shared" ca="1" si="23"/>
        <v>OverlandPO4_Runin</v>
      </c>
      <c r="B492" s="68" t="s">
        <v>2145</v>
      </c>
      <c r="C492" s="68" t="s">
        <v>1779</v>
      </c>
      <c r="D492" s="68" t="s">
        <v>156</v>
      </c>
      <c r="E492" s="68"/>
      <c r="F492" s="68"/>
      <c r="G492" s="68"/>
      <c r="H492" s="82">
        <f t="shared" ca="1" si="21"/>
        <v>0</v>
      </c>
      <c r="I492" s="82">
        <f t="shared" ca="1" si="22"/>
        <v>0</v>
      </c>
      <c r="J492" s="31"/>
    </row>
    <row r="493" spans="1:10" x14ac:dyDescent="0.25">
      <c r="A493" s="85" t="str">
        <f t="shared" ca="1" si="23"/>
        <v>OverlandFlow_Infil</v>
      </c>
      <c r="B493" s="68" t="s">
        <v>2146</v>
      </c>
      <c r="C493" s="68" t="s">
        <v>1779</v>
      </c>
      <c r="D493" s="68" t="s">
        <v>715</v>
      </c>
      <c r="E493" s="68"/>
      <c r="F493" s="68"/>
      <c r="G493" s="68"/>
      <c r="H493" s="82">
        <f t="shared" ca="1" si="21"/>
        <v>0</v>
      </c>
      <c r="I493" s="82">
        <f t="shared" ca="1" si="22"/>
        <v>0</v>
      </c>
      <c r="J493" s="31"/>
    </row>
    <row r="494" spans="1:10" ht="25" x14ac:dyDescent="0.25">
      <c r="A494" s="85" t="str">
        <f t="shared" ca="1" si="23"/>
        <v>DepthOfThaw</v>
      </c>
      <c r="B494" s="68" t="s">
        <v>2147</v>
      </c>
      <c r="C494" s="68" t="s">
        <v>1779</v>
      </c>
      <c r="D494" s="68" t="s">
        <v>73</v>
      </c>
      <c r="E494" s="68"/>
      <c r="F494" s="68"/>
      <c r="G494" s="68"/>
      <c r="H494" s="82">
        <f t="shared" ca="1" si="21"/>
        <v>0</v>
      </c>
      <c r="I494" s="82">
        <f t="shared" ca="1" si="22"/>
        <v>0</v>
      </c>
      <c r="J494" s="31"/>
    </row>
    <row r="495" spans="1:10" ht="25" x14ac:dyDescent="0.25">
      <c r="A495" s="85" t="str">
        <f t="shared" ca="1" si="23"/>
        <v>Calibration</v>
      </c>
      <c r="B495" s="68" t="s">
        <v>2148</v>
      </c>
      <c r="C495" s="68" t="s">
        <v>1779</v>
      </c>
      <c r="D495" s="68" t="s">
        <v>96</v>
      </c>
      <c r="E495" s="68"/>
      <c r="F495" s="68"/>
      <c r="G495" s="68"/>
      <c r="H495" s="82">
        <f t="shared" ca="1" si="21"/>
        <v>-999</v>
      </c>
      <c r="I495" s="82">
        <f t="shared" ca="1" si="22"/>
        <v>-999</v>
      </c>
      <c r="J495" s="31"/>
    </row>
    <row r="496" spans="1:10" x14ac:dyDescent="0.25">
      <c r="A496" s="85" t="str">
        <f t="shared" ca="1" si="23"/>
        <v>SoilTempWaterResponse</v>
      </c>
      <c r="B496" s="68" t="s">
        <v>2149</v>
      </c>
      <c r="C496" s="68" t="s">
        <v>1779</v>
      </c>
      <c r="D496" s="68" t="s">
        <v>96</v>
      </c>
      <c r="E496" s="68"/>
      <c r="F496" s="68"/>
      <c r="G496" s="68"/>
      <c r="H496" s="82">
        <f t="shared" ca="1" si="21"/>
        <v>0.42571487917613898</v>
      </c>
      <c r="I496" s="82">
        <f t="shared" ca="1" si="22"/>
        <v>0.425473126868606</v>
      </c>
      <c r="J496" s="31"/>
    </row>
    <row r="497" spans="1:10" x14ac:dyDescent="0.25">
      <c r="A497" s="85" t="str">
        <f t="shared" ca="1" si="23"/>
        <v>YearsSinceSimStart</v>
      </c>
      <c r="B497" s="68" t="s">
        <v>2150</v>
      </c>
      <c r="C497" s="68" t="s">
        <v>1779</v>
      </c>
      <c r="D497" s="160" t="s">
        <v>96</v>
      </c>
      <c r="E497" s="68"/>
      <c r="F497" s="68"/>
      <c r="G497" s="68"/>
      <c r="H497" s="82">
        <f t="shared" ca="1" si="21"/>
        <v>100</v>
      </c>
      <c r="I497" s="82">
        <f t="shared" ca="1" si="22"/>
        <v>2</v>
      </c>
      <c r="J497" s="31"/>
    </row>
    <row r="498" spans="1:10" ht="25" x14ac:dyDescent="0.25">
      <c r="A498" s="85" t="str">
        <f t="shared" ca="1" si="23"/>
        <v>CO2Deviation</v>
      </c>
      <c r="B498" s="68" t="s">
        <v>2151</v>
      </c>
      <c r="C498" s="68" t="s">
        <v>1779</v>
      </c>
      <c r="D498" s="68" t="s">
        <v>241</v>
      </c>
      <c r="E498" s="68"/>
      <c r="F498" s="68"/>
      <c r="G498" s="68"/>
      <c r="H498" s="82">
        <f t="shared" ca="1" si="21"/>
        <v>392.04</v>
      </c>
      <c r="I498" s="82">
        <f t="shared" ca="1" si="22"/>
        <v>3.96</v>
      </c>
      <c r="J498" s="31"/>
    </row>
    <row r="499" spans="1:10" ht="37.5" x14ac:dyDescent="0.25">
      <c r="A499" s="85" t="str">
        <f t="shared" ca="1" si="23"/>
        <v>TempSummerDev</v>
      </c>
      <c r="B499" s="68" t="s">
        <v>2155</v>
      </c>
      <c r="C499" s="68" t="s">
        <v>1779</v>
      </c>
      <c r="D499" s="68" t="s">
        <v>39</v>
      </c>
      <c r="E499" s="68"/>
      <c r="F499" s="68"/>
      <c r="G499" s="68"/>
      <c r="H499" s="82">
        <f t="shared" ca="1" si="21"/>
        <v>3.66299999999999</v>
      </c>
      <c r="I499" s="82">
        <f t="shared" ca="1" si="22"/>
        <v>3.6999999999999901E-2</v>
      </c>
      <c r="J499" s="31"/>
    </row>
    <row r="500" spans="1:10" ht="25" x14ac:dyDescent="0.25">
      <c r="A500" s="85" t="str">
        <f t="shared" ca="1" si="23"/>
        <v>TempWinterDev</v>
      </c>
      <c r="B500" s="68" t="s">
        <v>2156</v>
      </c>
      <c r="C500" s="68" t="s">
        <v>1779</v>
      </c>
      <c r="D500" s="68" t="s">
        <v>39</v>
      </c>
      <c r="E500" s="68"/>
      <c r="F500" s="68"/>
      <c r="G500" s="68"/>
      <c r="H500" s="82">
        <f t="shared" ca="1" si="21"/>
        <v>0</v>
      </c>
      <c r="I500" s="82">
        <f t="shared" ca="1" si="22"/>
        <v>0</v>
      </c>
      <c r="J500" s="31"/>
    </row>
    <row r="501" spans="1:10" x14ac:dyDescent="0.25">
      <c r="A501" s="85" t="str">
        <f t="shared" ca="1" si="23"/>
        <v>PptSimulated</v>
      </c>
      <c r="B501" s="68" t="s">
        <v>2152</v>
      </c>
      <c r="C501" s="68" t="s">
        <v>1779</v>
      </c>
      <c r="D501" s="68" t="s">
        <v>715</v>
      </c>
      <c r="E501" s="68"/>
      <c r="F501" s="68"/>
      <c r="G501" s="68"/>
      <c r="H501" s="82">
        <f t="shared" ca="1" si="21"/>
        <v>-999</v>
      </c>
      <c r="I501" s="82">
        <f t="shared" ca="1" si="22"/>
        <v>-999</v>
      </c>
      <c r="J501" s="31"/>
    </row>
    <row r="502" spans="1:10" ht="25" x14ac:dyDescent="0.25">
      <c r="A502" s="85" t="str">
        <f t="shared" ca="1" si="23"/>
        <v>PptSummerDev</v>
      </c>
      <c r="B502" s="68" t="s">
        <v>2153</v>
      </c>
      <c r="C502" s="68" t="s">
        <v>1779</v>
      </c>
      <c r="D502" s="68" t="s">
        <v>715</v>
      </c>
      <c r="E502" s="68"/>
      <c r="F502" s="68"/>
      <c r="G502" s="68"/>
      <c r="H502" s="82">
        <f t="shared" ca="1" si="21"/>
        <v>0</v>
      </c>
      <c r="I502" s="82">
        <f t="shared" ca="1" si="22"/>
        <v>0</v>
      </c>
      <c r="J502" s="31"/>
    </row>
    <row r="503" spans="1:10" ht="25" x14ac:dyDescent="0.25">
      <c r="A503" s="85" t="str">
        <f t="shared" ca="1" si="23"/>
        <v>PptWinterDev</v>
      </c>
      <c r="B503" s="68" t="s">
        <v>2154</v>
      </c>
      <c r="C503" s="68" t="s">
        <v>1779</v>
      </c>
      <c r="D503" s="68" t="s">
        <v>715</v>
      </c>
      <c r="E503" s="68"/>
      <c r="F503" s="68"/>
      <c r="G503" s="68"/>
      <c r="H503" s="82">
        <f t="shared" ca="1" si="21"/>
        <v>0</v>
      </c>
      <c r="I503" s="82">
        <f t="shared" ca="1" si="22"/>
        <v>0</v>
      </c>
      <c r="J503" s="31"/>
    </row>
    <row r="504" spans="1:10" ht="37.5" x14ac:dyDescent="0.25">
      <c r="A504" s="85" t="str">
        <f t="shared" ca="1" si="23"/>
        <v>ProjectedCO2</v>
      </c>
      <c r="B504" s="68" t="s">
        <v>2175</v>
      </c>
      <c r="C504" s="68" t="s">
        <v>1779</v>
      </c>
      <c r="D504" s="68" t="s">
        <v>241</v>
      </c>
      <c r="E504" s="68"/>
      <c r="F504" s="68"/>
      <c r="G504" s="68"/>
      <c r="H504" s="82">
        <f t="shared" ca="1" si="21"/>
        <v>792.03999999999905</v>
      </c>
      <c r="I504" s="82">
        <f t="shared" ca="1" si="22"/>
        <v>403.95999999999901</v>
      </c>
      <c r="J504" s="31"/>
    </row>
    <row r="505" spans="1:10" ht="37.5" x14ac:dyDescent="0.25">
      <c r="A505" s="85" t="str">
        <f t="shared" ca="1" si="23"/>
        <v>ProjectedTmax</v>
      </c>
      <c r="B505" s="68" t="s">
        <v>2174</v>
      </c>
      <c r="C505" s="68" t="s">
        <v>1779</v>
      </c>
      <c r="D505" s="68" t="s">
        <v>39</v>
      </c>
      <c r="E505" s="68"/>
      <c r="F505" s="68"/>
      <c r="G505" s="68"/>
      <c r="H505" s="82">
        <f t="shared" ca="1" si="21"/>
        <v>-23.6999999999999</v>
      </c>
      <c r="I505" s="82">
        <f t="shared" ca="1" si="22"/>
        <v>-23.6999999999999</v>
      </c>
      <c r="J505" s="31"/>
    </row>
    <row r="506" spans="1:10" ht="37.5" x14ac:dyDescent="0.25">
      <c r="A506" s="85" t="str">
        <f t="shared" ca="1" si="23"/>
        <v>ProjectedTmin</v>
      </c>
      <c r="B506" s="68" t="s">
        <v>2173</v>
      </c>
      <c r="C506" s="68" t="s">
        <v>1779</v>
      </c>
      <c r="D506" s="68" t="s">
        <v>39</v>
      </c>
      <c r="E506" s="68"/>
      <c r="F506" s="68"/>
      <c r="G506" s="68"/>
      <c r="H506" s="82">
        <f t="shared" ref="H506:H523" ca="1" si="24">IF(_xlfn.SINGLE(OFFSET(Data_Type,ROW()-_xlfn.SINGLE(ROW(Data_Type)),0))="numeric",_xlfn.AGGREGATE(4,6,(OFFSET(INDIRECT("'"&amp;OFFSET(Name_of_Data_Sheet,0,1)&amp;"'!A1"),1,ROW()-_xlfn.SINGLE(ROW(Data_Type))-1,OFFSET(Number_of_Data_Records,0,1)))),"")</f>
        <v>-33.6</v>
      </c>
      <c r="I506" s="82">
        <f t="shared" ref="I506:I523" ca="1" si="25">IF(_xlfn.SINGLE(OFFSET(Data_Type,ROW()-_xlfn.SINGLE(ROW(Data_Type)),0))="numeric",_xlfn.AGGREGATE(5,6,(OFFSET(INDIRECT("'"&amp;OFFSET(Name_of_Data_Sheet,0,1)&amp;"'!A2"),1,ROW()-_xlfn.SINGLE(ROW(Data_Type))-1,OFFSET(Number_of_Data_Records,0,1)))),"")</f>
        <v>-33.6</v>
      </c>
      <c r="J506" s="31"/>
    </row>
    <row r="507" spans="1:10" ht="37.5" x14ac:dyDescent="0.25">
      <c r="A507" s="85" t="str">
        <f t="shared" ref="A507:A523" ca="1" si="26">IFERROR(IF(INDIRECT(ADDRESS(1,ROW()-ROW(Variable_Name),,,DataSheet1))=0,"",INDIRECT(ADDRESS(1,ROW()-ROW(Variable_Name),,,DataSheet1))),"")</f>
        <v>ProjectedPrecip</v>
      </c>
      <c r="B507" s="68" t="s">
        <v>2172</v>
      </c>
      <c r="C507" s="68" t="s">
        <v>1779</v>
      </c>
      <c r="D507" s="68" t="s">
        <v>715</v>
      </c>
      <c r="E507" s="68"/>
      <c r="F507" s="68"/>
      <c r="G507" s="68"/>
      <c r="H507" s="82">
        <f t="shared" ca="1" si="24"/>
        <v>0</v>
      </c>
      <c r="I507" s="82">
        <f t="shared" ca="1" si="25"/>
        <v>0</v>
      </c>
      <c r="J507" s="31"/>
    </row>
    <row r="508" spans="1:10" x14ac:dyDescent="0.25">
      <c r="A508" s="85" t="str">
        <f t="shared" ca="1" si="26"/>
        <v>AveGrowSeasonTemp</v>
      </c>
      <c r="B508" s="68" t="s">
        <v>2178</v>
      </c>
      <c r="C508" s="68" t="s">
        <v>1779</v>
      </c>
      <c r="D508" s="68" t="s">
        <v>39</v>
      </c>
      <c r="E508" s="68"/>
      <c r="F508" s="68"/>
      <c r="G508" s="68"/>
      <c r="H508" s="82">
        <f t="shared" ca="1" si="24"/>
        <v>8.0706896550000007</v>
      </c>
      <c r="I508" s="82">
        <f t="shared" ca="1" si="25"/>
        <v>8.0706896550000007</v>
      </c>
      <c r="J508" s="31"/>
    </row>
    <row r="509" spans="1:10" x14ac:dyDescent="0.25">
      <c r="A509" s="85" t="str">
        <f t="shared" ca="1" si="26"/>
        <v>BiomassCFireLoss</v>
      </c>
      <c r="B509" s="68" t="s">
        <v>2157</v>
      </c>
      <c r="C509" s="68" t="s">
        <v>1779</v>
      </c>
      <c r="D509" s="68" t="s">
        <v>156</v>
      </c>
      <c r="E509" s="68"/>
      <c r="F509" s="68"/>
      <c r="G509" s="68"/>
      <c r="H509" s="82">
        <f t="shared" ca="1" si="24"/>
        <v>0</v>
      </c>
      <c r="I509" s="82">
        <f t="shared" ca="1" si="25"/>
        <v>0</v>
      </c>
      <c r="J509" s="31"/>
    </row>
    <row r="510" spans="1:10" x14ac:dyDescent="0.25">
      <c r="A510" s="85" t="str">
        <f t="shared" ca="1" si="26"/>
        <v>BiomassNFireLoss</v>
      </c>
      <c r="B510" s="68" t="s">
        <v>2158</v>
      </c>
      <c r="C510" s="68" t="s">
        <v>1779</v>
      </c>
      <c r="D510" s="68" t="s">
        <v>156</v>
      </c>
      <c r="E510" s="68"/>
      <c r="F510" s="68"/>
      <c r="G510" s="68"/>
      <c r="H510" s="82">
        <f t="shared" ca="1" si="24"/>
        <v>0</v>
      </c>
      <c r="I510" s="82">
        <f t="shared" ca="1" si="25"/>
        <v>0</v>
      </c>
      <c r="J510" s="31"/>
    </row>
    <row r="511" spans="1:10" x14ac:dyDescent="0.25">
      <c r="A511" s="85" t="str">
        <f t="shared" ca="1" si="26"/>
        <v>BiomassPFireLoss</v>
      </c>
      <c r="B511" s="68" t="s">
        <v>2159</v>
      </c>
      <c r="C511" s="68" t="s">
        <v>1779</v>
      </c>
      <c r="D511" s="68" t="s">
        <v>156</v>
      </c>
      <c r="E511" s="68"/>
      <c r="F511" s="68"/>
      <c r="G511" s="68"/>
      <c r="H511" s="82">
        <f t="shared" ca="1" si="24"/>
        <v>0</v>
      </c>
      <c r="I511" s="82">
        <f t="shared" ca="1" si="25"/>
        <v>0</v>
      </c>
      <c r="J511" s="31"/>
    </row>
    <row r="512" spans="1:10" x14ac:dyDescent="0.25">
      <c r="A512" s="85" t="str">
        <f t="shared" ca="1" si="26"/>
        <v>DebrisCFireLoss</v>
      </c>
      <c r="B512" s="68" t="s">
        <v>2160</v>
      </c>
      <c r="C512" s="68" t="s">
        <v>1779</v>
      </c>
      <c r="D512" s="68" t="s">
        <v>156</v>
      </c>
      <c r="E512" s="68"/>
      <c r="F512" s="68"/>
      <c r="G512" s="68"/>
      <c r="H512" s="82">
        <f t="shared" ca="1" si="24"/>
        <v>0</v>
      </c>
      <c r="I512" s="82">
        <f t="shared" ca="1" si="25"/>
        <v>0</v>
      </c>
      <c r="J512" s="31"/>
    </row>
    <row r="513" spans="1:10" x14ac:dyDescent="0.25">
      <c r="A513" s="85" t="str">
        <f t="shared" ca="1" si="26"/>
        <v>DebrisNFireLoss</v>
      </c>
      <c r="B513" s="68" t="s">
        <v>2161</v>
      </c>
      <c r="C513" s="68" t="s">
        <v>1779</v>
      </c>
      <c r="D513" s="68" t="s">
        <v>156</v>
      </c>
      <c r="E513" s="68"/>
      <c r="F513" s="68"/>
      <c r="G513" s="68"/>
      <c r="H513" s="82">
        <f t="shared" ca="1" si="24"/>
        <v>0</v>
      </c>
      <c r="I513" s="82">
        <f t="shared" ca="1" si="25"/>
        <v>0</v>
      </c>
      <c r="J513" s="31"/>
    </row>
    <row r="514" spans="1:10" x14ac:dyDescent="0.25">
      <c r="A514" s="85" t="str">
        <f t="shared" ca="1" si="26"/>
        <v>DebrisPFireLoss</v>
      </c>
      <c r="B514" s="68" t="s">
        <v>2162</v>
      </c>
      <c r="C514" s="68" t="s">
        <v>1779</v>
      </c>
      <c r="D514" s="68" t="s">
        <v>156</v>
      </c>
      <c r="E514" s="68"/>
      <c r="F514" s="68"/>
      <c r="G514" s="68"/>
      <c r="H514" s="82">
        <f t="shared" ca="1" si="24"/>
        <v>0</v>
      </c>
      <c r="I514" s="82">
        <f t="shared" ca="1" si="25"/>
        <v>0</v>
      </c>
      <c r="J514" s="31"/>
    </row>
    <row r="515" spans="1:10" x14ac:dyDescent="0.25">
      <c r="A515" s="85" t="str">
        <f t="shared" ca="1" si="26"/>
        <v>PhaseICFireLoss</v>
      </c>
      <c r="B515" s="68" t="s">
        <v>2163</v>
      </c>
      <c r="C515" s="68" t="s">
        <v>1779</v>
      </c>
      <c r="D515" s="68" t="s">
        <v>156</v>
      </c>
      <c r="E515" s="68"/>
      <c r="F515" s="68"/>
      <c r="G515" s="68"/>
      <c r="H515" s="82">
        <f t="shared" ca="1" si="24"/>
        <v>0</v>
      </c>
      <c r="I515" s="82">
        <f t="shared" ca="1" si="25"/>
        <v>0</v>
      </c>
      <c r="J515" s="31"/>
    </row>
    <row r="516" spans="1:10" x14ac:dyDescent="0.25">
      <c r="A516" s="85" t="str">
        <f t="shared" ca="1" si="26"/>
        <v>PhaseINFireLoss</v>
      </c>
      <c r="B516" s="68" t="s">
        <v>2164</v>
      </c>
      <c r="C516" s="68" t="s">
        <v>1779</v>
      </c>
      <c r="D516" s="68" t="s">
        <v>156</v>
      </c>
      <c r="E516" s="68"/>
      <c r="F516" s="68"/>
      <c r="G516" s="68"/>
      <c r="H516" s="82">
        <f t="shared" ca="1" si="24"/>
        <v>0</v>
      </c>
      <c r="I516" s="82">
        <f t="shared" ca="1" si="25"/>
        <v>0</v>
      </c>
      <c r="J516" s="31"/>
    </row>
    <row r="517" spans="1:10" x14ac:dyDescent="0.25">
      <c r="A517" s="85" t="str">
        <f t="shared" ca="1" si="26"/>
        <v>PhaseIPFireLoss</v>
      </c>
      <c r="B517" s="68" t="s">
        <v>2165</v>
      </c>
      <c r="C517" s="68" t="s">
        <v>1779</v>
      </c>
      <c r="D517" s="68" t="s">
        <v>156</v>
      </c>
      <c r="E517" s="68"/>
      <c r="F517" s="68"/>
      <c r="G517" s="68"/>
      <c r="H517" s="82">
        <f t="shared" ca="1" si="24"/>
        <v>0</v>
      </c>
      <c r="I517" s="82">
        <f t="shared" ca="1" si="25"/>
        <v>0</v>
      </c>
      <c r="J517" s="31"/>
    </row>
    <row r="518" spans="1:10" x14ac:dyDescent="0.25">
      <c r="A518" s="85" t="str">
        <f t="shared" ca="1" si="26"/>
        <v>FireNO3Deposition</v>
      </c>
      <c r="B518" s="68" t="s">
        <v>2167</v>
      </c>
      <c r="C518" s="68" t="s">
        <v>1779</v>
      </c>
      <c r="D518" s="68" t="s">
        <v>156</v>
      </c>
      <c r="E518" s="68"/>
      <c r="F518" s="68"/>
      <c r="G518" s="68"/>
      <c r="H518" s="82">
        <f t="shared" ca="1" si="24"/>
        <v>0</v>
      </c>
      <c r="I518" s="82">
        <f t="shared" ca="1" si="25"/>
        <v>0</v>
      </c>
      <c r="J518" s="31"/>
    </row>
    <row r="519" spans="1:10" x14ac:dyDescent="0.25">
      <c r="A519" s="85" t="str">
        <f t="shared" ca="1" si="26"/>
        <v>FirePO4Deposition</v>
      </c>
      <c r="B519" s="68" t="s">
        <v>2166</v>
      </c>
      <c r="C519" s="68" t="s">
        <v>1779</v>
      </c>
      <c r="D519" s="68" t="s">
        <v>156</v>
      </c>
      <c r="E519" s="68"/>
      <c r="F519" s="68"/>
      <c r="G519" s="68"/>
      <c r="H519" s="82">
        <f t="shared" ca="1" si="24"/>
        <v>0</v>
      </c>
      <c r="I519" s="82">
        <f t="shared" ca="1" si="25"/>
        <v>0</v>
      </c>
      <c r="J519" s="31"/>
    </row>
    <row r="520" spans="1:10" x14ac:dyDescent="0.25">
      <c r="A520" s="85" t="str">
        <f t="shared" ca="1" si="26"/>
        <v>FireNVolatilized</v>
      </c>
      <c r="B520" s="68" t="s">
        <v>2168</v>
      </c>
      <c r="C520" s="68" t="s">
        <v>1779</v>
      </c>
      <c r="D520" s="68" t="s">
        <v>156</v>
      </c>
      <c r="E520" s="68"/>
      <c r="F520" s="68"/>
      <c r="G520" s="68"/>
      <c r="H520" s="82">
        <f t="shared" ca="1" si="24"/>
        <v>0</v>
      </c>
      <c r="I520" s="82">
        <f t="shared" ca="1" si="25"/>
        <v>0</v>
      </c>
      <c r="J520" s="31"/>
    </row>
    <row r="521" spans="1:10" x14ac:dyDescent="0.25">
      <c r="A521" s="85" t="str">
        <f t="shared" ca="1" si="26"/>
        <v>FirePVolatilized</v>
      </c>
      <c r="B521" s="68" t="s">
        <v>2169</v>
      </c>
      <c r="C521" s="68" t="s">
        <v>1779</v>
      </c>
      <c r="D521" s="68" t="s">
        <v>156</v>
      </c>
      <c r="E521" s="68"/>
      <c r="F521" s="68"/>
      <c r="G521" s="68"/>
      <c r="H521" s="82">
        <f t="shared" ca="1" si="24"/>
        <v>0</v>
      </c>
      <c r="I521" s="82">
        <f t="shared" ca="1" si="25"/>
        <v>0</v>
      </c>
      <c r="J521" s="31"/>
    </row>
    <row r="522" spans="1:10" x14ac:dyDescent="0.25">
      <c r="A522" s="85" t="str">
        <f t="shared" ca="1" si="26"/>
        <v>StandingDeadLAIEquiv</v>
      </c>
      <c r="B522" s="68" t="s">
        <v>2170</v>
      </c>
      <c r="C522" s="68" t="s">
        <v>1779</v>
      </c>
      <c r="D522" s="160" t="s">
        <v>189</v>
      </c>
      <c r="E522" s="68"/>
      <c r="F522" s="68"/>
      <c r="G522" s="68"/>
      <c r="H522" s="82">
        <f t="shared" ca="1" si="24"/>
        <v>0</v>
      </c>
      <c r="I522" s="82">
        <f t="shared" ca="1" si="25"/>
        <v>0</v>
      </c>
      <c r="J522" s="31"/>
    </row>
    <row r="523" spans="1:10" ht="37.5" x14ac:dyDescent="0.25">
      <c r="A523" s="85" t="str">
        <f t="shared" ca="1" si="26"/>
        <v>ProjectedRunin</v>
      </c>
      <c r="B523" s="68" t="s">
        <v>2171</v>
      </c>
      <c r="C523" s="68" t="s">
        <v>1779</v>
      </c>
      <c r="D523" s="68" t="s">
        <v>715</v>
      </c>
      <c r="E523" s="68"/>
      <c r="F523" s="68"/>
      <c r="G523" s="68"/>
      <c r="H523" s="82">
        <f t="shared" ca="1" si="24"/>
        <v>0</v>
      </c>
      <c r="I523" s="82">
        <f t="shared" ca="1" si="25"/>
        <v>0</v>
      </c>
      <c r="J523" s="31"/>
    </row>
    <row r="524" spans="1:10" x14ac:dyDescent="0.25">
      <c r="A524" s="85"/>
    </row>
    <row r="525" spans="1:10" x14ac:dyDescent="0.25">
      <c r="A525" s="85"/>
    </row>
    <row r="526" spans="1:10" x14ac:dyDescent="0.25">
      <c r="A526" s="85"/>
    </row>
    <row r="527" spans="1:10" x14ac:dyDescent="0.25">
      <c r="A527" s="85"/>
    </row>
    <row r="528" spans="1:10" x14ac:dyDescent="0.25">
      <c r="A528" s="85"/>
    </row>
    <row r="529" spans="1:1" x14ac:dyDescent="0.25">
      <c r="A529" s="85"/>
    </row>
    <row r="530" spans="1:1" x14ac:dyDescent="0.25">
      <c r="A530" s="85"/>
    </row>
    <row r="531" spans="1:1" x14ac:dyDescent="0.25">
      <c r="A531" s="85"/>
    </row>
    <row r="532" spans="1:1" x14ac:dyDescent="0.25">
      <c r="A532" s="85"/>
    </row>
    <row r="533" spans="1:1" x14ac:dyDescent="0.25">
      <c r="A533" s="85"/>
    </row>
    <row r="534" spans="1:1" x14ac:dyDescent="0.25">
      <c r="A534" s="85"/>
    </row>
    <row r="535" spans="1:1" x14ac:dyDescent="0.25">
      <c r="A535" s="85"/>
    </row>
    <row r="536" spans="1:1" x14ac:dyDescent="0.25">
      <c r="A536" s="85"/>
    </row>
    <row r="537" spans="1:1" x14ac:dyDescent="0.25">
      <c r="A537" s="85"/>
    </row>
  </sheetData>
  <sheetProtection insertRows="0"/>
  <mergeCells count="2">
    <mergeCell ref="B5:C5"/>
    <mergeCell ref="B7:D7"/>
  </mergeCells>
  <phoneticPr fontId="0" type="noConversion"/>
  <conditionalFormatting sqref="B243 B164:B241 B245:B412">
    <cfRule type="expression" dxfId="65" priority="91" stopIfTrue="1">
      <formula>A164&lt;&gt;""</formula>
    </cfRule>
  </conditionalFormatting>
  <conditionalFormatting sqref="C164:C314">
    <cfRule type="expression" dxfId="64" priority="90" stopIfTrue="1">
      <formula>A164&lt;&gt;""</formula>
    </cfRule>
  </conditionalFormatting>
  <conditionalFormatting sqref="D164:D329 D353:D356 D351 D346 D344 D340:D342 D335">
    <cfRule type="expression" dxfId="63" priority="92" stopIfTrue="1">
      <formula>OR(C164="date",C164="text")</formula>
    </cfRule>
    <cfRule type="expression" dxfId="62" priority="93" stopIfTrue="1">
      <formula>OR(C164="numeric")</formula>
    </cfRule>
  </conditionalFormatting>
  <conditionalFormatting sqref="E164:E412">
    <cfRule type="expression" dxfId="61" priority="88" stopIfTrue="1">
      <formula>OR(C164="numeric",C164="text")</formula>
    </cfRule>
    <cfRule type="expression" dxfId="60" priority="89" stopIfTrue="1">
      <formula>OR(C164="datetime")</formula>
    </cfRule>
  </conditionalFormatting>
  <conditionalFormatting sqref="J60 B59:I59 E49:I49 E56:I58">
    <cfRule type="expression" dxfId="59" priority="85" stopIfTrue="1">
      <formula>NOT(ISBLANK($B$51:$B$58))</formula>
    </cfRule>
  </conditionalFormatting>
  <conditionalFormatting sqref="F164:I268 F280:I412 F269:J279">
    <cfRule type="expression" dxfId="58" priority="86" stopIfTrue="1">
      <formula>OR($C164="numeric", $C164="text")</formula>
    </cfRule>
    <cfRule type="expression" dxfId="57" priority="87" stopIfTrue="1">
      <formula>OR($C164="date")</formula>
    </cfRule>
  </conditionalFormatting>
  <conditionalFormatting sqref="J164:J268 J280:J412">
    <cfRule type="expression" dxfId="56" priority="94" stopIfTrue="1">
      <formula>OR($C164="numeric", $C164="text")</formula>
    </cfRule>
    <cfRule type="expression" dxfId="55" priority="95" stopIfTrue="1">
      <formula>OR($C164="date")</formula>
    </cfRule>
  </conditionalFormatting>
  <conditionalFormatting sqref="B44:I44">
    <cfRule type="expression" dxfId="54" priority="78" stopIfTrue="1">
      <formula>NOT(ISBLANK($B$54:$B$61))</formula>
    </cfRule>
  </conditionalFormatting>
  <conditionalFormatting sqref="J44:P44">
    <cfRule type="expression" dxfId="53" priority="60" stopIfTrue="1">
      <formula>NOT(ISBLANK($B$54:$B$61))</formula>
    </cfRule>
  </conditionalFormatting>
  <conditionalFormatting sqref="J49 J56:J59">
    <cfRule type="expression" dxfId="52" priority="59" stopIfTrue="1">
      <formula>NOT(ISBLANK($B$51:$B$58))</formula>
    </cfRule>
  </conditionalFormatting>
  <conditionalFormatting sqref="K49 K56:K59">
    <cfRule type="expression" dxfId="51" priority="58" stopIfTrue="1">
      <formula>NOT(ISBLANK($B$51:$B$58))</formula>
    </cfRule>
  </conditionalFormatting>
  <conditionalFormatting sqref="L49 L56:L59">
    <cfRule type="expression" dxfId="50" priority="57" stopIfTrue="1">
      <formula>NOT(ISBLANK($B$51:$B$58))</formula>
    </cfRule>
  </conditionalFormatting>
  <conditionalFormatting sqref="M49 M56:M59">
    <cfRule type="expression" dxfId="49" priority="56" stopIfTrue="1">
      <formula>NOT(ISBLANK($B$51:$B$58))</formula>
    </cfRule>
  </conditionalFormatting>
  <conditionalFormatting sqref="B244">
    <cfRule type="expression" dxfId="48" priority="97" stopIfTrue="1">
      <formula>A242&lt;&gt;""</formula>
    </cfRule>
  </conditionalFormatting>
  <conditionalFormatting sqref="B242">
    <cfRule type="expression" dxfId="47" priority="55" stopIfTrue="1">
      <formula>A242&lt;&gt;""</formula>
    </cfRule>
  </conditionalFormatting>
  <conditionalFormatting sqref="C315:C412">
    <cfRule type="expression" dxfId="46" priority="54" stopIfTrue="1">
      <formula>A315&lt;&gt;""</formula>
    </cfRule>
  </conditionalFormatting>
  <conditionalFormatting sqref="B413:B415">
    <cfRule type="expression" dxfId="45" priority="49" stopIfTrue="1">
      <formula>A413&lt;&gt;""</formula>
    </cfRule>
  </conditionalFormatting>
  <conditionalFormatting sqref="E413:E415">
    <cfRule type="expression" dxfId="44" priority="47" stopIfTrue="1">
      <formula>OR(C413="numeric",C413="text")</formula>
    </cfRule>
    <cfRule type="expression" dxfId="43" priority="48" stopIfTrue="1">
      <formula>OR(C413="datetime")</formula>
    </cfRule>
  </conditionalFormatting>
  <conditionalFormatting sqref="F413:I415">
    <cfRule type="expression" dxfId="42" priority="45" stopIfTrue="1">
      <formula>OR($C413="numeric", $C413="text")</formula>
    </cfRule>
    <cfRule type="expression" dxfId="41" priority="46" stopIfTrue="1">
      <formula>OR($C413="date")</formula>
    </cfRule>
  </conditionalFormatting>
  <conditionalFormatting sqref="J413:J415">
    <cfRule type="expression" dxfId="40" priority="52" stopIfTrue="1">
      <formula>OR($C413="numeric", $C413="text")</formula>
    </cfRule>
    <cfRule type="expression" dxfId="39" priority="53" stopIfTrue="1">
      <formula>OR($C413="date")</formula>
    </cfRule>
  </conditionalFormatting>
  <conditionalFormatting sqref="C413:C415">
    <cfRule type="expression" dxfId="38" priority="44" stopIfTrue="1">
      <formula>A413&lt;&gt;""</formula>
    </cfRule>
  </conditionalFormatting>
  <conditionalFormatting sqref="D406:D411 D415 D369:D399">
    <cfRule type="expression" dxfId="37" priority="42" stopIfTrue="1">
      <formula>OR(C369="date",C369="text")</formula>
    </cfRule>
    <cfRule type="expression" dxfId="36" priority="43" stopIfTrue="1">
      <formula>OR(C369="numeric")</formula>
    </cfRule>
  </conditionalFormatting>
  <conditionalFormatting sqref="D357:D368">
    <cfRule type="expression" dxfId="35" priority="40" stopIfTrue="1">
      <formula>OR(C357="date",C357="text")</formula>
    </cfRule>
    <cfRule type="expression" dxfId="34" priority="41" stopIfTrue="1">
      <formula>OR(C357="numeric")</formula>
    </cfRule>
  </conditionalFormatting>
  <conditionalFormatting sqref="D352">
    <cfRule type="expression" dxfId="33" priority="38" stopIfTrue="1">
      <formula>OR(C352="date",C352="text")</formula>
    </cfRule>
    <cfRule type="expression" dxfId="32" priority="39" stopIfTrue="1">
      <formula>OR(C352="numeric")</formula>
    </cfRule>
  </conditionalFormatting>
  <conditionalFormatting sqref="D347:D350">
    <cfRule type="expression" dxfId="31" priority="36" stopIfTrue="1">
      <formula>OR(C347="date",C347="text")</formula>
    </cfRule>
    <cfRule type="expression" dxfId="30" priority="37" stopIfTrue="1">
      <formula>OR(C347="numeric")</formula>
    </cfRule>
  </conditionalFormatting>
  <conditionalFormatting sqref="D345">
    <cfRule type="expression" dxfId="29" priority="34" stopIfTrue="1">
      <formula>OR(C345="date",C345="text")</formula>
    </cfRule>
    <cfRule type="expression" dxfId="28" priority="35" stopIfTrue="1">
      <formula>OR(C345="numeric")</formula>
    </cfRule>
  </conditionalFormatting>
  <conditionalFormatting sqref="D343">
    <cfRule type="expression" dxfId="27" priority="32" stopIfTrue="1">
      <formula>OR(C343="date",C343="text")</formula>
    </cfRule>
    <cfRule type="expression" dxfId="26" priority="33" stopIfTrue="1">
      <formula>OR(C343="numeric")</formula>
    </cfRule>
  </conditionalFormatting>
  <conditionalFormatting sqref="D336:D339">
    <cfRule type="expression" dxfId="25" priority="30" stopIfTrue="1">
      <formula>OR(C336="date",C336="text")</formula>
    </cfRule>
    <cfRule type="expression" dxfId="24" priority="31" stopIfTrue="1">
      <formula>OR(C336="numeric")</formula>
    </cfRule>
  </conditionalFormatting>
  <conditionalFormatting sqref="D330:D334">
    <cfRule type="expression" dxfId="23" priority="28" stopIfTrue="1">
      <formula>OR(C330="date",C330="text")</formula>
    </cfRule>
    <cfRule type="expression" dxfId="22" priority="29" stopIfTrue="1">
      <formula>OR(C330="numeric")</formula>
    </cfRule>
  </conditionalFormatting>
  <conditionalFormatting sqref="D400:D405">
    <cfRule type="expression" dxfId="21" priority="26" stopIfTrue="1">
      <formula>OR(C400="date",C400="text")</formula>
    </cfRule>
    <cfRule type="expression" dxfId="20" priority="27" stopIfTrue="1">
      <formula>OR(C400="numeric")</formula>
    </cfRule>
  </conditionalFormatting>
  <conditionalFormatting sqref="D412:D414">
    <cfRule type="expression" dxfId="19" priority="24" stopIfTrue="1">
      <formula>OR(C412="date",C412="text")</formula>
    </cfRule>
    <cfRule type="expression" dxfId="18" priority="25" stopIfTrue="1">
      <formula>OR(C412="numeric")</formula>
    </cfRule>
  </conditionalFormatting>
  <conditionalFormatting sqref="D418:D523">
    <cfRule type="expression" dxfId="17" priority="2" stopIfTrue="1">
      <formula>OR(C418="date",C418="text")</formula>
    </cfRule>
    <cfRule type="expression" dxfId="16" priority="3" stopIfTrue="1">
      <formula>OR(C418="numeric")</formula>
    </cfRule>
  </conditionalFormatting>
  <conditionalFormatting sqref="B416:B523">
    <cfRule type="expression" dxfId="15" priority="11" stopIfTrue="1">
      <formula>A416&lt;&gt;""</formula>
    </cfRule>
  </conditionalFormatting>
  <conditionalFormatting sqref="E416:E523">
    <cfRule type="expression" dxfId="14" priority="9" stopIfTrue="1">
      <formula>OR(C416="numeric",C416="text")</formula>
    </cfRule>
    <cfRule type="expression" dxfId="13" priority="10" stopIfTrue="1">
      <formula>OR(C416="datetime")</formula>
    </cfRule>
  </conditionalFormatting>
  <conditionalFormatting sqref="F416:I523">
    <cfRule type="expression" dxfId="12" priority="7" stopIfTrue="1">
      <formula>OR($C416="numeric", $C416="text")</formula>
    </cfRule>
    <cfRule type="expression" dxfId="11" priority="8" stopIfTrue="1">
      <formula>OR($C416="date")</formula>
    </cfRule>
  </conditionalFormatting>
  <conditionalFormatting sqref="J416:J523">
    <cfRule type="expression" dxfId="10" priority="12" stopIfTrue="1">
      <formula>OR($C416="numeric", $C416="text")</formula>
    </cfRule>
    <cfRule type="expression" dxfId="9" priority="13" stopIfTrue="1">
      <formula>OR($C416="date")</formula>
    </cfRule>
  </conditionalFormatting>
  <conditionalFormatting sqref="C416:C523">
    <cfRule type="expression" dxfId="8" priority="6" stopIfTrue="1">
      <formula>A416&lt;&gt;""</formula>
    </cfRule>
  </conditionalFormatting>
  <conditionalFormatting sqref="D416:D417">
    <cfRule type="expression" dxfId="7" priority="4" stopIfTrue="1">
      <formula>OR(C416="date",C416="text")</formula>
    </cfRule>
    <cfRule type="expression" dxfId="6" priority="5" stopIfTrue="1">
      <formula>OR(C416="numeric")</formula>
    </cfRule>
  </conditionalFormatting>
  <conditionalFormatting sqref="B49:D49 B56:D58">
    <cfRule type="expression" dxfId="5" priority="1" stopIfTrue="1">
      <formula>NOT(ISBLANK($B$51:$B$58))</formula>
    </cfRule>
  </conditionalFormatting>
  <dataValidations xWindow="1131" yWindow="1935" count="8">
    <dataValidation type="custom" allowBlank="1" showInputMessage="1" showErrorMessage="1" sqref="B31:P32" xr:uid="{00000000-0002-0000-0000-000000000000}">
      <formula1>NOT(ISERR(AND(FIND(".",B31),FIND("@",B31))))</formula1>
    </dataValidation>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328:D329 D335 D351 D340:D342 D344 D346" xr:uid="{00000000-0002-0000-0000-000004000000}">
      <formula1>#REF!</formula1>
    </dataValidation>
    <dataValidation type="list" allowBlank="1" showInputMessage="1" showErrorMessage="1" error="Only use the listed terms" promptTitle="Select a Keyword" prompt="Select a LTER Network Core Area that the data set applies to." sqref="D65" xr:uid="{00000000-0002-0000-0000-000005000000}">
      <formula1>"distrubance,inorganic nutrients,organic nutrients,populations,primary production"</formula1>
    </dataValidation>
    <dataValidation type="list" allowBlank="1" showInputMessage="1" showErrorMessage="1" promptTitle="Arctic LTER Funding" prompt="If the data sets had Arctic LTER support enter Yes and the funding metadata will be filled in by the Arctic information manager. Add any funding information not cover under the Arctic LTER grants." sqref="B38" xr:uid="{79EFE34E-65FA-42A0-8BE2-AB634922F63E}">
      <formula1>"Yes, No"</formula1>
    </dataValidation>
    <dataValidation type="list" errorStyle="warning" allowBlank="1" showInputMessage="1" showErrorMessage="1" error="Location not listed?" sqref="B48:M48" xr:uid="{FE131CF9-29CE-4DE7-9850-C49CC1623B34}">
      <formula1>OFFSET(Site_name_list,MATCH(INDIRECT(ADDRESS(ROW(),COLUMN(),4))&amp;"*",Site_name_list,0)-1,0,COUNTIF(Site_name_list,INDIRECT(ADDRESS(ROW(),COLUMN(),4))&amp;"*"),1)</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30:P30" xr:uid="{86599D22-541A-4F9E-A752-FF559EA2A04F}">
      <formula1>"Owner,Associated Researcher"</formula1>
    </dataValidation>
    <dataValidation type="list" allowBlank="1" showInputMessage="1" showErrorMessage="1" error="Please Select from the drop-down list." promptTitle="Data Type" prompt="Please select DateTime, Numeric or Text from the drop-down list." sqref="C164:C523" xr:uid="{34FE9E97-3C10-4952-9153-69A2A26D9B79}">
      <formula1>"text,numeric,datetime"</formula1>
    </dataValidation>
    <dataValidation type="list" allowBlank="1" showInputMessage="1" showErrorMessage="1" sqref="B153" xr:uid="{035FF57F-C56F-47A3-BB4F-B6C7A572D656}">
      <formula1>"CCBY,CC0"</formula1>
    </dataValidation>
  </dataValidations>
  <hyperlinks>
    <hyperlink ref="B31" r:id="rId1" xr:uid="{582A9ADD-12A4-4521-84A5-D082FA4FF4B4}"/>
    <hyperlink ref="C31" r:id="rId2" xr:uid="{0A56DAD2-9B34-49ED-AF9B-54546B84F6D3}"/>
    <hyperlink ref="D31" r:id="rId3" xr:uid="{AF6F248E-C05B-4F58-81E6-E28B9520DB78}"/>
  </hyperlinks>
  <printOptions gridLines="1"/>
  <pageMargins left="0.53" right="0.38" top="0.5" bottom="0.5" header="0.5" footer="0.5"/>
  <pageSetup scale="99" fitToHeight="10" orientation="landscape" cellComments="atEnd" r:id="rId4"/>
  <headerFooter alignWithMargins="0"/>
  <rowBreaks count="1" manualBreakCount="1">
    <brk id="62" max="5" man="1"/>
  </rowBreaks>
  <drawing r:id="rId5"/>
  <legacyDrawing r:id="rId6"/>
  <extLst>
    <ext xmlns:x14="http://schemas.microsoft.com/office/spreadsheetml/2009/9/main" uri="{CCE6A557-97BC-4b89-ADB6-D9C93CAAB3DF}">
      <x14:dataValidations xmlns:xm="http://schemas.microsoft.com/office/excel/2006/main" xWindow="1131" yWindow="1935" count="1">
        <x14:dataValidation type="list" errorStyle="warning" allowBlank="1" showInputMessage="1" error="If unit is not in the list, enter it in a similar style" promptTitle="Numeric Unit" prompt="Start entering a unit and then select from list.  If it is not in the list then enter it using a format similar to other units in the list." xr:uid="{1638D0FE-EA98-4160-BE08-692969276EF8}">
          <x14:formula1>
            <xm:f>OFFSET('DropDownLists(Do NOT Edit)'!$R$4:$R$259,MATCH(INDIRECT(ADDRESS(ROW(),COLUMN(),4))&amp;"*",'DropDownLists(Do NOT Edit)'!$R$4:$R$259,0)-1,0,COUNTIF('DropDownLists(Do NOT Edit)'!$R$4:$R$259,INDIRECT(ADDRESS(ROW(),COLUMN(),4))&amp;"*"),1)</xm:f>
          </x14:formula1>
          <xm:sqref>D164:D327 D336:D339 D343 D345 D347:D350 D330:D334 D352:D523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V101"/>
  <sheetViews>
    <sheetView workbookViewId="0"/>
  </sheetViews>
  <sheetFormatPr defaultColWidth="9.1796875" defaultRowHeight="12.5" x14ac:dyDescent="0.25"/>
  <cols>
    <col min="1" max="360" width="8.7265625" customWidth="1"/>
    <col min="361" max="16384" width="9.1796875" style="157"/>
  </cols>
  <sheetData>
    <row r="1" spans="1:360" customFormat="1" x14ac:dyDescent="0.25">
      <c r="A1" t="s">
        <v>1806</v>
      </c>
      <c r="B1" t="s">
        <v>2179</v>
      </c>
      <c r="C1" t="s">
        <v>2180</v>
      </c>
      <c r="D1" t="s">
        <v>2181</v>
      </c>
      <c r="E1" t="s">
        <v>2182</v>
      </c>
      <c r="F1" t="s">
        <v>2183</v>
      </c>
      <c r="G1" t="s">
        <v>2184</v>
      </c>
      <c r="H1" t="s">
        <v>2185</v>
      </c>
      <c r="I1" t="s">
        <v>2186</v>
      </c>
      <c r="J1" t="s">
        <v>2187</v>
      </c>
      <c r="K1" t="s">
        <v>2188</v>
      </c>
      <c r="L1" t="s">
        <v>2189</v>
      </c>
      <c r="M1" t="s">
        <v>2190</v>
      </c>
      <c r="N1" t="s">
        <v>2191</v>
      </c>
      <c r="O1" t="s">
        <v>2192</v>
      </c>
      <c r="P1" t="s">
        <v>2193</v>
      </c>
      <c r="Q1" t="s">
        <v>2194</v>
      </c>
      <c r="R1" t="s">
        <v>2195</v>
      </c>
      <c r="S1" t="s">
        <v>2196</v>
      </c>
      <c r="T1" t="s">
        <v>2197</v>
      </c>
      <c r="U1" t="s">
        <v>2198</v>
      </c>
      <c r="V1" t="s">
        <v>2199</v>
      </c>
      <c r="W1" t="s">
        <v>2200</v>
      </c>
      <c r="X1" t="s">
        <v>2201</v>
      </c>
      <c r="Y1" t="s">
        <v>2202</v>
      </c>
      <c r="Z1" t="s">
        <v>2203</v>
      </c>
      <c r="AA1" t="s">
        <v>2204</v>
      </c>
      <c r="AB1" t="s">
        <v>2205</v>
      </c>
      <c r="AC1" t="s">
        <v>2206</v>
      </c>
      <c r="AD1" t="s">
        <v>2207</v>
      </c>
      <c r="AE1" t="s">
        <v>2208</v>
      </c>
      <c r="AF1" t="s">
        <v>2209</v>
      </c>
      <c r="AG1" t="s">
        <v>2210</v>
      </c>
      <c r="AH1" t="s">
        <v>2211</v>
      </c>
      <c r="AI1" t="s">
        <v>2212</v>
      </c>
      <c r="AJ1" t="s">
        <v>2213</v>
      </c>
      <c r="AK1" t="s">
        <v>2214</v>
      </c>
      <c r="AL1" t="s">
        <v>2215</v>
      </c>
      <c r="AM1" t="s">
        <v>2216</v>
      </c>
      <c r="AN1" t="s">
        <v>2217</v>
      </c>
      <c r="AO1" t="s">
        <v>2218</v>
      </c>
      <c r="AP1" t="s">
        <v>2219</v>
      </c>
      <c r="AQ1" t="s">
        <v>1807</v>
      </c>
      <c r="AR1" t="s">
        <v>1808</v>
      </c>
      <c r="AS1" t="s">
        <v>1809</v>
      </c>
      <c r="AT1" t="s">
        <v>2220</v>
      </c>
      <c r="AU1" t="s">
        <v>2221</v>
      </c>
      <c r="AV1" t="s">
        <v>2222</v>
      </c>
      <c r="AW1" t="s">
        <v>1810</v>
      </c>
      <c r="AX1" t="s">
        <v>2223</v>
      </c>
      <c r="AY1" t="s">
        <v>2224</v>
      </c>
      <c r="AZ1" t="s">
        <v>2225</v>
      </c>
      <c r="BA1" t="s">
        <v>2226</v>
      </c>
      <c r="BB1" t="s">
        <v>2227</v>
      </c>
      <c r="BC1" t="s">
        <v>2228</v>
      </c>
      <c r="BD1" t="s">
        <v>2229</v>
      </c>
      <c r="BE1" t="s">
        <v>2230</v>
      </c>
      <c r="BF1" t="s">
        <v>2231</v>
      </c>
      <c r="BG1" t="s">
        <v>2232</v>
      </c>
      <c r="BH1" t="s">
        <v>2233</v>
      </c>
      <c r="BI1" t="s">
        <v>2234</v>
      </c>
      <c r="BJ1" t="s">
        <v>2235</v>
      </c>
      <c r="BK1" t="s">
        <v>2236</v>
      </c>
      <c r="BL1" t="s">
        <v>2237</v>
      </c>
      <c r="BM1" t="s">
        <v>2238</v>
      </c>
      <c r="BN1" t="s">
        <v>2239</v>
      </c>
      <c r="BO1" t="s">
        <v>2240</v>
      </c>
      <c r="BP1" t="s">
        <v>2241</v>
      </c>
      <c r="BQ1" t="s">
        <v>2242</v>
      </c>
      <c r="BR1" t="s">
        <v>2243</v>
      </c>
      <c r="BS1" t="s">
        <v>2244</v>
      </c>
      <c r="BT1" t="s">
        <v>2245</v>
      </c>
      <c r="BU1" t="s">
        <v>2246</v>
      </c>
      <c r="BV1" t="s">
        <v>2247</v>
      </c>
      <c r="BW1" t="s">
        <v>2248</v>
      </c>
      <c r="BX1" t="s">
        <v>2249</v>
      </c>
      <c r="BY1" t="s">
        <v>2250</v>
      </c>
      <c r="BZ1" t="s">
        <v>2251</v>
      </c>
      <c r="CA1" t="s">
        <v>2252</v>
      </c>
      <c r="CB1" t="s">
        <v>2253</v>
      </c>
      <c r="CC1" t="s">
        <v>2254</v>
      </c>
      <c r="CD1" t="s">
        <v>2255</v>
      </c>
      <c r="CE1" t="s">
        <v>2256</v>
      </c>
      <c r="CF1" t="s">
        <v>2257</v>
      </c>
      <c r="CG1" t="s">
        <v>2258</v>
      </c>
      <c r="CH1" t="s">
        <v>2259</v>
      </c>
      <c r="CI1" t="s">
        <v>2260</v>
      </c>
      <c r="CJ1" t="s">
        <v>2261</v>
      </c>
      <c r="CK1" t="s">
        <v>2262</v>
      </c>
      <c r="CL1" t="s">
        <v>2263</v>
      </c>
      <c r="CM1" t="s">
        <v>2264</v>
      </c>
      <c r="CN1" t="s">
        <v>2265</v>
      </c>
      <c r="CO1" t="s">
        <v>2266</v>
      </c>
      <c r="CP1" t="s">
        <v>2267</v>
      </c>
      <c r="CQ1" t="s">
        <v>2268</v>
      </c>
      <c r="CR1" t="s">
        <v>2269</v>
      </c>
      <c r="CS1" t="s">
        <v>2270</v>
      </c>
      <c r="CT1" t="s">
        <v>2271</v>
      </c>
      <c r="CU1" t="s">
        <v>2272</v>
      </c>
      <c r="CV1" t="s">
        <v>2273</v>
      </c>
      <c r="CW1" t="s">
        <v>2274</v>
      </c>
      <c r="CX1" t="s">
        <v>2275</v>
      </c>
      <c r="CY1" t="s">
        <v>2276</v>
      </c>
      <c r="CZ1" t="s">
        <v>2277</v>
      </c>
      <c r="DA1" t="s">
        <v>2278</v>
      </c>
      <c r="DB1" t="s">
        <v>2279</v>
      </c>
      <c r="DC1" t="s">
        <v>2280</v>
      </c>
      <c r="DD1" t="s">
        <v>2281</v>
      </c>
      <c r="DE1" t="s">
        <v>2282</v>
      </c>
      <c r="DF1" t="s">
        <v>2283</v>
      </c>
      <c r="DG1" t="s">
        <v>2284</v>
      </c>
      <c r="DH1" t="s">
        <v>2285</v>
      </c>
      <c r="DI1" t="s">
        <v>2286</v>
      </c>
      <c r="DJ1" t="s">
        <v>2287</v>
      </c>
      <c r="DK1" t="s">
        <v>2288</v>
      </c>
      <c r="DL1" t="s">
        <v>2289</v>
      </c>
      <c r="DM1" t="s">
        <v>2290</v>
      </c>
      <c r="DN1" t="s">
        <v>2291</v>
      </c>
      <c r="DO1" t="s">
        <v>2292</v>
      </c>
      <c r="DP1" t="s">
        <v>2293</v>
      </c>
      <c r="DQ1" t="s">
        <v>2294</v>
      </c>
      <c r="DR1" t="s">
        <v>2295</v>
      </c>
      <c r="DS1" t="s">
        <v>2296</v>
      </c>
      <c r="DT1" t="s">
        <v>2297</v>
      </c>
      <c r="DU1" t="s">
        <v>2298</v>
      </c>
      <c r="DV1" t="s">
        <v>2299</v>
      </c>
      <c r="DW1" t="s">
        <v>2300</v>
      </c>
      <c r="DX1" t="s">
        <v>2301</v>
      </c>
      <c r="DY1" t="s">
        <v>2302</v>
      </c>
      <c r="DZ1" t="s">
        <v>2303</v>
      </c>
      <c r="EA1" t="s">
        <v>2304</v>
      </c>
      <c r="EB1" t="s">
        <v>2305</v>
      </c>
      <c r="EC1" t="s">
        <v>2306</v>
      </c>
      <c r="ED1" t="s">
        <v>2307</v>
      </c>
      <c r="EE1" t="s">
        <v>2308</v>
      </c>
      <c r="EF1" t="s">
        <v>2309</v>
      </c>
      <c r="EG1" t="s">
        <v>2310</v>
      </c>
      <c r="EH1" t="s">
        <v>2311</v>
      </c>
      <c r="EI1" t="s">
        <v>2312</v>
      </c>
      <c r="EJ1" t="s">
        <v>2313</v>
      </c>
      <c r="EK1" t="s">
        <v>2314</v>
      </c>
      <c r="EL1" t="s">
        <v>2315</v>
      </c>
      <c r="EM1" t="s">
        <v>2316</v>
      </c>
      <c r="EN1" t="s">
        <v>2317</v>
      </c>
      <c r="EO1" t="s">
        <v>2318</v>
      </c>
      <c r="EP1" t="s">
        <v>2319</v>
      </c>
      <c r="EQ1" t="s">
        <v>2320</v>
      </c>
      <c r="ER1" t="s">
        <v>2321</v>
      </c>
      <c r="ES1" t="s">
        <v>2322</v>
      </c>
      <c r="ET1" t="s">
        <v>2323</v>
      </c>
      <c r="EU1" t="s">
        <v>2324</v>
      </c>
      <c r="EV1" t="s">
        <v>2325</v>
      </c>
      <c r="EW1" t="s">
        <v>2326</v>
      </c>
      <c r="EX1" t="s">
        <v>1811</v>
      </c>
      <c r="EY1" t="s">
        <v>2327</v>
      </c>
      <c r="EZ1" t="s">
        <v>2328</v>
      </c>
      <c r="FA1" t="s">
        <v>2329</v>
      </c>
      <c r="FB1" t="s">
        <v>2330</v>
      </c>
      <c r="FC1" t="s">
        <v>2331</v>
      </c>
      <c r="FD1" t="s">
        <v>2332</v>
      </c>
      <c r="FE1" t="s">
        <v>2333</v>
      </c>
      <c r="FF1" t="s">
        <v>2334</v>
      </c>
      <c r="FG1" t="s">
        <v>2335</v>
      </c>
      <c r="FH1" t="s">
        <v>2336</v>
      </c>
      <c r="FI1" t="s">
        <v>1812</v>
      </c>
      <c r="FJ1" t="s">
        <v>2337</v>
      </c>
      <c r="FK1" t="s">
        <v>2338</v>
      </c>
      <c r="FL1" t="s">
        <v>2339</v>
      </c>
      <c r="FM1" t="s">
        <v>2340</v>
      </c>
      <c r="FN1" t="s">
        <v>2341</v>
      </c>
      <c r="FO1" t="s">
        <v>2342</v>
      </c>
      <c r="FP1" t="s">
        <v>2343</v>
      </c>
      <c r="FQ1" t="s">
        <v>2344</v>
      </c>
      <c r="FR1" t="s">
        <v>2345</v>
      </c>
      <c r="FS1" t="s">
        <v>2346</v>
      </c>
      <c r="FT1" t="s">
        <v>2347</v>
      </c>
      <c r="FU1" t="s">
        <v>2348</v>
      </c>
      <c r="FV1" t="s">
        <v>2349</v>
      </c>
      <c r="FW1" t="s">
        <v>2350</v>
      </c>
      <c r="FX1" t="s">
        <v>2351</v>
      </c>
      <c r="FY1" t="s">
        <v>2352</v>
      </c>
      <c r="FZ1" t="s">
        <v>2353</v>
      </c>
      <c r="GA1" t="s">
        <v>2354</v>
      </c>
      <c r="GB1" t="s">
        <v>2355</v>
      </c>
      <c r="GC1" t="s">
        <v>2356</v>
      </c>
      <c r="GD1" t="s">
        <v>2357</v>
      </c>
      <c r="GE1" t="s">
        <v>2358</v>
      </c>
      <c r="GF1" t="s">
        <v>2359</v>
      </c>
      <c r="GG1" t="s">
        <v>2360</v>
      </c>
      <c r="GH1" t="s">
        <v>2361</v>
      </c>
      <c r="GI1" t="s">
        <v>2362</v>
      </c>
      <c r="GJ1" t="s">
        <v>2363</v>
      </c>
      <c r="GK1" t="s">
        <v>2364</v>
      </c>
      <c r="GL1" t="s">
        <v>2365</v>
      </c>
      <c r="GM1" t="s">
        <v>2366</v>
      </c>
      <c r="GN1" t="s">
        <v>2367</v>
      </c>
      <c r="GO1" t="s">
        <v>2368</v>
      </c>
      <c r="GP1" t="s">
        <v>2369</v>
      </c>
      <c r="GQ1" t="s">
        <v>2370</v>
      </c>
      <c r="GR1" t="s">
        <v>2371</v>
      </c>
      <c r="GS1" t="s">
        <v>2372</v>
      </c>
      <c r="GT1" t="s">
        <v>2373</v>
      </c>
      <c r="GU1" t="s">
        <v>2374</v>
      </c>
      <c r="GV1" t="s">
        <v>2375</v>
      </c>
      <c r="GW1" t="s">
        <v>2376</v>
      </c>
      <c r="GX1" t="s">
        <v>2377</v>
      </c>
      <c r="GY1" t="s">
        <v>2378</v>
      </c>
      <c r="GZ1" t="s">
        <v>2379</v>
      </c>
      <c r="HA1" t="s">
        <v>2380</v>
      </c>
      <c r="HB1" t="s">
        <v>2381</v>
      </c>
      <c r="HC1" t="s">
        <v>2382</v>
      </c>
      <c r="HD1" t="s">
        <v>2383</v>
      </c>
      <c r="HE1" t="s">
        <v>2384</v>
      </c>
      <c r="HF1" t="s">
        <v>2385</v>
      </c>
      <c r="HG1" t="s">
        <v>2386</v>
      </c>
      <c r="HH1" t="s">
        <v>2387</v>
      </c>
      <c r="HI1" t="s">
        <v>2388</v>
      </c>
      <c r="HJ1" t="s">
        <v>2389</v>
      </c>
      <c r="HK1" t="s">
        <v>2390</v>
      </c>
      <c r="HL1" t="s">
        <v>2391</v>
      </c>
      <c r="HM1" t="s">
        <v>2392</v>
      </c>
      <c r="HN1" t="s">
        <v>2393</v>
      </c>
      <c r="HO1" t="s">
        <v>2394</v>
      </c>
      <c r="HP1" t="s">
        <v>2395</v>
      </c>
      <c r="HQ1" t="s">
        <v>2396</v>
      </c>
      <c r="HR1" t="s">
        <v>2397</v>
      </c>
      <c r="HS1" t="s">
        <v>2398</v>
      </c>
      <c r="HT1" t="s">
        <v>2399</v>
      </c>
      <c r="HU1" t="s">
        <v>2400</v>
      </c>
      <c r="HV1" t="s">
        <v>2401</v>
      </c>
      <c r="HW1" t="s">
        <v>2402</v>
      </c>
      <c r="HX1" t="s">
        <v>2403</v>
      </c>
      <c r="HY1" t="s">
        <v>2404</v>
      </c>
      <c r="HZ1" t="s">
        <v>2405</v>
      </c>
      <c r="IA1" t="s">
        <v>2406</v>
      </c>
      <c r="IB1" t="s">
        <v>2407</v>
      </c>
      <c r="IC1" t="s">
        <v>2408</v>
      </c>
      <c r="ID1" t="s">
        <v>2409</v>
      </c>
      <c r="IE1" t="s">
        <v>2410</v>
      </c>
      <c r="IF1" t="s">
        <v>2411</v>
      </c>
      <c r="IG1" t="s">
        <v>2412</v>
      </c>
      <c r="IH1" t="s">
        <v>2413</v>
      </c>
      <c r="II1" t="s">
        <v>1813</v>
      </c>
      <c r="IJ1" t="s">
        <v>1814</v>
      </c>
      <c r="IK1" t="s">
        <v>2414</v>
      </c>
      <c r="IL1" t="s">
        <v>2415</v>
      </c>
      <c r="IM1" t="s">
        <v>2416</v>
      </c>
      <c r="IN1" t="s">
        <v>2417</v>
      </c>
      <c r="IO1" t="s">
        <v>2418</v>
      </c>
      <c r="IP1" t="s">
        <v>2419</v>
      </c>
      <c r="IQ1" t="s">
        <v>2420</v>
      </c>
      <c r="IR1" t="s">
        <v>2421</v>
      </c>
      <c r="IS1" t="s">
        <v>2422</v>
      </c>
      <c r="IT1" t="s">
        <v>2423</v>
      </c>
      <c r="IU1" t="s">
        <v>2424</v>
      </c>
      <c r="IV1" t="s">
        <v>2425</v>
      </c>
      <c r="IW1" t="s">
        <v>2426</v>
      </c>
      <c r="IX1" t="s">
        <v>2427</v>
      </c>
      <c r="IY1" t="s">
        <v>2428</v>
      </c>
      <c r="IZ1" t="s">
        <v>2429</v>
      </c>
      <c r="JA1" t="s">
        <v>2430</v>
      </c>
      <c r="JB1" t="s">
        <v>2431</v>
      </c>
      <c r="JC1" t="s">
        <v>2432</v>
      </c>
      <c r="JD1" t="s">
        <v>2433</v>
      </c>
      <c r="JE1" t="s">
        <v>2434</v>
      </c>
      <c r="JF1" t="s">
        <v>2435</v>
      </c>
      <c r="JG1" t="s">
        <v>2436</v>
      </c>
      <c r="JH1" t="s">
        <v>2437</v>
      </c>
      <c r="JI1" t="s">
        <v>2438</v>
      </c>
      <c r="JJ1" t="s">
        <v>2439</v>
      </c>
      <c r="JK1" t="s">
        <v>2440</v>
      </c>
      <c r="JL1" t="s">
        <v>2441</v>
      </c>
      <c r="JM1" t="s">
        <v>2442</v>
      </c>
      <c r="JN1" t="s">
        <v>2443</v>
      </c>
      <c r="JO1" t="s">
        <v>2444</v>
      </c>
      <c r="JP1" t="s">
        <v>2445</v>
      </c>
      <c r="JQ1" t="s">
        <v>2446</v>
      </c>
      <c r="JR1" t="s">
        <v>2447</v>
      </c>
      <c r="JS1" t="s">
        <v>2448</v>
      </c>
      <c r="JT1" t="s">
        <v>2449</v>
      </c>
      <c r="JU1" t="s">
        <v>2450</v>
      </c>
      <c r="JV1" t="s">
        <v>2451</v>
      </c>
      <c r="JW1" t="s">
        <v>2452</v>
      </c>
      <c r="JX1" t="s">
        <v>1815</v>
      </c>
      <c r="JY1" t="s">
        <v>1816</v>
      </c>
      <c r="JZ1" t="s">
        <v>2453</v>
      </c>
      <c r="KA1" t="s">
        <v>2454</v>
      </c>
      <c r="KB1" t="s">
        <v>2455</v>
      </c>
      <c r="KC1" t="s">
        <v>2456</v>
      </c>
      <c r="KD1" t="s">
        <v>2457</v>
      </c>
      <c r="KE1" t="s">
        <v>2458</v>
      </c>
      <c r="KF1" t="s">
        <v>2459</v>
      </c>
      <c r="KG1" t="s">
        <v>2460</v>
      </c>
      <c r="KH1" t="s">
        <v>2461</v>
      </c>
      <c r="KI1" t="s">
        <v>2462</v>
      </c>
      <c r="KJ1" t="s">
        <v>2463</v>
      </c>
      <c r="KK1" t="s">
        <v>2464</v>
      </c>
      <c r="KL1" t="s">
        <v>2465</v>
      </c>
      <c r="KM1" t="s">
        <v>2466</v>
      </c>
      <c r="KN1" t="s">
        <v>2467</v>
      </c>
      <c r="KO1" t="s">
        <v>2468</v>
      </c>
      <c r="KP1" t="s">
        <v>2469</v>
      </c>
      <c r="KQ1" t="s">
        <v>2470</v>
      </c>
      <c r="KR1" t="s">
        <v>2471</v>
      </c>
      <c r="KS1" t="s">
        <v>2472</v>
      </c>
      <c r="KT1" t="s">
        <v>2473</v>
      </c>
      <c r="KU1" t="s">
        <v>2474</v>
      </c>
      <c r="KV1" t="s">
        <v>2475</v>
      </c>
      <c r="KW1" t="s">
        <v>2476</v>
      </c>
      <c r="KX1" t="s">
        <v>2477</v>
      </c>
      <c r="KY1" t="s">
        <v>1817</v>
      </c>
      <c r="KZ1" t="s">
        <v>2478</v>
      </c>
      <c r="LA1" t="s">
        <v>2479</v>
      </c>
      <c r="LB1" t="s">
        <v>2480</v>
      </c>
      <c r="LC1" t="s">
        <v>2481</v>
      </c>
      <c r="LD1" t="s">
        <v>2482</v>
      </c>
      <c r="LE1" t="s">
        <v>2483</v>
      </c>
      <c r="LF1" t="s">
        <v>2484</v>
      </c>
      <c r="LG1" t="s">
        <v>2485</v>
      </c>
      <c r="LH1" t="s">
        <v>2486</v>
      </c>
      <c r="LI1" t="s">
        <v>1818</v>
      </c>
      <c r="LJ1" t="s">
        <v>1819</v>
      </c>
      <c r="LK1" t="s">
        <v>2487</v>
      </c>
      <c r="LL1" t="s">
        <v>2488</v>
      </c>
      <c r="LM1" t="s">
        <v>2489</v>
      </c>
      <c r="LN1" t="s">
        <v>2490</v>
      </c>
      <c r="LO1" t="s">
        <v>2491</v>
      </c>
      <c r="LP1" t="s">
        <v>2492</v>
      </c>
      <c r="LQ1" t="s">
        <v>2493</v>
      </c>
      <c r="LR1" t="s">
        <v>2494</v>
      </c>
      <c r="LS1" t="s">
        <v>2495</v>
      </c>
      <c r="LT1" t="s">
        <v>1820</v>
      </c>
      <c r="LU1" t="s">
        <v>2496</v>
      </c>
      <c r="LV1" t="s">
        <v>2497</v>
      </c>
      <c r="LW1" t="s">
        <v>2498</v>
      </c>
      <c r="LX1" t="s">
        <v>2499</v>
      </c>
      <c r="LY1" t="s">
        <v>2500</v>
      </c>
      <c r="LZ1" t="s">
        <v>2501</v>
      </c>
      <c r="MA1" t="s">
        <v>2502</v>
      </c>
      <c r="MB1" t="s">
        <v>2503</v>
      </c>
      <c r="MC1" t="s">
        <v>2504</v>
      </c>
      <c r="MD1" t="s">
        <v>2505</v>
      </c>
      <c r="ME1" t="s">
        <v>2506</v>
      </c>
      <c r="MF1" t="s">
        <v>2507</v>
      </c>
      <c r="MG1" t="s">
        <v>2508</v>
      </c>
      <c r="MH1" t="s">
        <v>2509</v>
      </c>
      <c r="MI1" t="s">
        <v>2510</v>
      </c>
      <c r="MJ1" t="s">
        <v>2511</v>
      </c>
      <c r="MK1" t="s">
        <v>2512</v>
      </c>
      <c r="ML1" t="s">
        <v>2513</v>
      </c>
      <c r="MM1" t="s">
        <v>2514</v>
      </c>
      <c r="MN1" t="s">
        <v>2515</v>
      </c>
      <c r="MO1" t="s">
        <v>2516</v>
      </c>
      <c r="MP1" t="s">
        <v>2517</v>
      </c>
      <c r="MQ1" t="s">
        <v>2518</v>
      </c>
      <c r="MR1" t="s">
        <v>2519</v>
      </c>
      <c r="MS1" t="s">
        <v>2520</v>
      </c>
      <c r="MT1" t="s">
        <v>2521</v>
      </c>
      <c r="MU1" t="s">
        <v>2522</v>
      </c>
      <c r="MV1" t="s">
        <v>2523</v>
      </c>
    </row>
    <row r="2" spans="1:360" x14ac:dyDescent="0.25">
      <c r="A2">
        <v>365</v>
      </c>
      <c r="B2">
        <v>0</v>
      </c>
      <c r="C2">
        <v>-33.6</v>
      </c>
      <c r="D2">
        <v>-23.6999999999999</v>
      </c>
      <c r="E2">
        <v>400</v>
      </c>
      <c r="F2">
        <v>0</v>
      </c>
      <c r="G2">
        <v>0</v>
      </c>
      <c r="H2">
        <v>0</v>
      </c>
      <c r="I2">
        <v>0</v>
      </c>
      <c r="J2">
        <v>0</v>
      </c>
      <c r="K2">
        <v>0</v>
      </c>
      <c r="L2" s="159">
        <v>6.5753399999999896E-6</v>
      </c>
      <c r="M2">
        <v>0</v>
      </c>
      <c r="N2">
        <v>0</v>
      </c>
      <c r="O2">
        <v>0</v>
      </c>
      <c r="P2">
        <v>0</v>
      </c>
      <c r="Q2">
        <v>0</v>
      </c>
      <c r="R2">
        <v>0</v>
      </c>
      <c r="S2">
        <v>0</v>
      </c>
      <c r="T2">
        <v>0</v>
      </c>
      <c r="U2">
        <v>644.77648122376297</v>
      </c>
      <c r="V2">
        <v>12.9652297018529</v>
      </c>
      <c r="W2">
        <v>1.26631750378394</v>
      </c>
      <c r="X2">
        <v>0.41279728480931199</v>
      </c>
      <c r="Y2">
        <v>0.29360160003491398</v>
      </c>
      <c r="Z2">
        <v>0.29360111515577197</v>
      </c>
      <c r="AA2">
        <v>0.113303601963683</v>
      </c>
      <c r="AB2">
        <v>0.48328975582265199</v>
      </c>
      <c r="AC2">
        <v>0.40340664221366401</v>
      </c>
      <c r="AD2">
        <v>0.88422684609206503</v>
      </c>
      <c r="AE2">
        <v>4.6285776131415102E-2</v>
      </c>
      <c r="AF2">
        <v>6.9487377776519005E-2</v>
      </c>
      <c r="AG2">
        <v>0</v>
      </c>
      <c r="AH2">
        <v>3387.04451558443</v>
      </c>
      <c r="AI2">
        <v>81.000001764030998</v>
      </c>
      <c r="AJ2">
        <v>8.1425840570529804</v>
      </c>
      <c r="AK2">
        <v>390.00000154641202</v>
      </c>
      <c r="AL2">
        <v>7.2417764398749798</v>
      </c>
      <c r="AM2">
        <v>0.81237461439671999</v>
      </c>
      <c r="AN2">
        <v>8709.5431124267307</v>
      </c>
      <c r="AO2">
        <v>313.26271794765501</v>
      </c>
      <c r="AP2">
        <v>31.326271794765201</v>
      </c>
      <c r="AQ2">
        <v>2.8448355251059699E-2</v>
      </c>
      <c r="AR2">
        <v>5.7582183328459303E-3</v>
      </c>
      <c r="AS2">
        <v>3.0113291429396401E-2</v>
      </c>
      <c r="AT2">
        <v>9.48</v>
      </c>
      <c r="AU2">
        <v>6.0000000610200104</v>
      </c>
      <c r="AV2">
        <v>0</v>
      </c>
      <c r="AW2">
        <v>83.241520400697098</v>
      </c>
      <c r="AX2">
        <v>65.847404285985803</v>
      </c>
      <c r="AY2">
        <v>361.67382307893502</v>
      </c>
      <c r="AZ2">
        <v>0.54833294000258204</v>
      </c>
      <c r="BA2">
        <v>0.80195201387770498</v>
      </c>
      <c r="BB2">
        <v>1.35637086615558E-2</v>
      </c>
      <c r="BC2">
        <v>1.1312869943221201E-3</v>
      </c>
      <c r="BD2">
        <v>0.58087406201264702</v>
      </c>
      <c r="BE2">
        <v>8.9876168766592993E-3</v>
      </c>
      <c r="BF2">
        <v>7.5173099874307103E-4</v>
      </c>
      <c r="BG2">
        <v>766.29999847710098</v>
      </c>
      <c r="BH2">
        <v>-1626.59999865293</v>
      </c>
      <c r="BI2">
        <v>408.60015144230698</v>
      </c>
      <c r="BJ2">
        <v>204.30013212742901</v>
      </c>
      <c r="BK2">
        <v>1.8720316166856601</v>
      </c>
      <c r="BL2">
        <v>4.4155744489854003</v>
      </c>
      <c r="BM2">
        <v>187.81558295120001</v>
      </c>
      <c r="BN2">
        <v>20.900002043474601</v>
      </c>
      <c r="BO2">
        <v>208.715584994675</v>
      </c>
      <c r="BP2">
        <v>3.3543992876889699</v>
      </c>
      <c r="BQ2">
        <v>0.28289999192437898</v>
      </c>
      <c r="BR2">
        <v>202.428100510745</v>
      </c>
      <c r="BS2">
        <v>2.1332277520908902</v>
      </c>
      <c r="BT2">
        <v>0.28290006348723301</v>
      </c>
      <c r="BU2">
        <v>3.3543990002141602</v>
      </c>
      <c r="BV2">
        <v>1.6040002469624299</v>
      </c>
      <c r="BW2">
        <v>0.55700025352594196</v>
      </c>
      <c r="BX2">
        <v>1.19339849972578</v>
      </c>
      <c r="BY2">
        <v>0</v>
      </c>
      <c r="BZ2">
        <v>2.9663143087360599</v>
      </c>
      <c r="CA2">
        <v>0.388084978952907</v>
      </c>
      <c r="CB2">
        <v>0.28290006500069098</v>
      </c>
      <c r="CC2">
        <v>0.23936504055608299</v>
      </c>
      <c r="CD2">
        <v>4.3534951368295702E-2</v>
      </c>
      <c r="CE2">
        <v>20.900000488035602</v>
      </c>
      <c r="CF2">
        <v>159.7636994126</v>
      </c>
      <c r="CG2">
        <v>42.664402104749698</v>
      </c>
      <c r="CH2">
        <v>0.38808495007049199</v>
      </c>
      <c r="CI2">
        <v>6.9579931327288698</v>
      </c>
      <c r="CJ2">
        <v>1.6831976576705201</v>
      </c>
      <c r="CK2">
        <v>9.2398757914998004</v>
      </c>
      <c r="CL2">
        <v>1.5345427871958199</v>
      </c>
      <c r="CM2">
        <v>9.0699992985133898E-2</v>
      </c>
      <c r="CN2">
        <v>4.3534948128297897E-2</v>
      </c>
      <c r="CO2">
        <v>0.86411991292505896</v>
      </c>
      <c r="CP2">
        <v>0.99356570131324395</v>
      </c>
      <c r="CQ2">
        <v>0.15345427871958101</v>
      </c>
      <c r="CR2">
        <v>42.664401098144303</v>
      </c>
      <c r="CS2">
        <v>1.5345427509904901</v>
      </c>
      <c r="CT2">
        <v>0.15345427509904699</v>
      </c>
      <c r="CU2">
        <v>1.4699999999999901E-2</v>
      </c>
      <c r="CV2">
        <v>1.8273040779668501E-3</v>
      </c>
      <c r="CW2">
        <v>2.2252978865203601</v>
      </c>
      <c r="CX2">
        <v>2.0299999999999901E-2</v>
      </c>
      <c r="CY2">
        <v>5.3999842735310199E-3</v>
      </c>
      <c r="CZ2">
        <v>0</v>
      </c>
      <c r="DA2">
        <v>2.39999910000286E-3</v>
      </c>
      <c r="DB2">
        <v>1.5000000152683201E-3</v>
      </c>
      <c r="DC2">
        <v>1.9999999999999901E-3</v>
      </c>
      <c r="DD2">
        <v>4.3999969738516996E-3</v>
      </c>
      <c r="DE2">
        <v>1.4999999193523099E-3</v>
      </c>
      <c r="DF2">
        <v>2.3999991000000099E-3</v>
      </c>
      <c r="DG2">
        <v>0</v>
      </c>
      <c r="DH2">
        <v>0</v>
      </c>
      <c r="DI2">
        <v>0.23180769399999901</v>
      </c>
      <c r="DJ2">
        <v>1.8846155199999898E-2</v>
      </c>
      <c r="DK2">
        <v>2.1037245117570502</v>
      </c>
      <c r="DL2">
        <v>0.13731883236012099</v>
      </c>
      <c r="DM2">
        <v>98.300019027637603</v>
      </c>
      <c r="DN2">
        <v>196.59399063106801</v>
      </c>
      <c r="DO2">
        <v>327.66000000000003</v>
      </c>
      <c r="DP2">
        <v>32.765990367042903</v>
      </c>
      <c r="DQ2">
        <v>157.94999999999899</v>
      </c>
      <c r="DR2">
        <v>169.71</v>
      </c>
      <c r="DS2">
        <v>154.35965338400101</v>
      </c>
      <c r="DT2">
        <v>0</v>
      </c>
      <c r="DU2">
        <v>0</v>
      </c>
      <c r="DV2">
        <v>0</v>
      </c>
      <c r="DW2">
        <v>0</v>
      </c>
      <c r="DX2">
        <v>0</v>
      </c>
      <c r="DY2">
        <v>0</v>
      </c>
      <c r="DZ2">
        <v>0</v>
      </c>
      <c r="EA2">
        <v>0</v>
      </c>
      <c r="EB2">
        <v>0</v>
      </c>
      <c r="EC2">
        <v>0</v>
      </c>
      <c r="ED2">
        <v>0</v>
      </c>
      <c r="EE2">
        <v>0</v>
      </c>
      <c r="EF2">
        <v>1.3633331697820501</v>
      </c>
      <c r="EG2">
        <v>0</v>
      </c>
      <c r="EH2">
        <v>0</v>
      </c>
      <c r="EI2">
        <v>0</v>
      </c>
      <c r="EJ2">
        <v>0</v>
      </c>
      <c r="EK2">
        <v>0</v>
      </c>
      <c r="EL2">
        <v>0</v>
      </c>
      <c r="EM2">
        <v>0</v>
      </c>
      <c r="EN2">
        <v>0</v>
      </c>
      <c r="EO2">
        <v>0</v>
      </c>
      <c r="EP2">
        <v>0</v>
      </c>
      <c r="EQ2">
        <v>0</v>
      </c>
      <c r="ER2">
        <v>0</v>
      </c>
      <c r="ES2">
        <v>0</v>
      </c>
      <c r="ET2">
        <v>0</v>
      </c>
      <c r="EU2">
        <v>0</v>
      </c>
      <c r="EV2">
        <v>759.40017792666197</v>
      </c>
      <c r="EW2">
        <v>-28.649999999999899</v>
      </c>
      <c r="EX2">
        <v>1357.4241709973901</v>
      </c>
      <c r="EY2">
        <v>801.15043159524998</v>
      </c>
      <c r="EZ2">
        <v>108.18664496760699</v>
      </c>
      <c r="FA2">
        <v>603.84941778583402</v>
      </c>
      <c r="FB2">
        <v>645.38812255859295</v>
      </c>
      <c r="FC2">
        <v>0.46660899974529102</v>
      </c>
      <c r="FD2">
        <v>0.85095927256001302</v>
      </c>
      <c r="FE2">
        <v>0</v>
      </c>
      <c r="FF2">
        <v>1</v>
      </c>
      <c r="FG2" s="159">
        <v>5.9039461149554304E-13</v>
      </c>
      <c r="FH2">
        <v>0</v>
      </c>
      <c r="FI2">
        <v>5.4512674794765098E-5</v>
      </c>
      <c r="FJ2">
        <v>-6.2322891440726499E-3</v>
      </c>
      <c r="FK2" s="159">
        <v>6.57534000000779E-6</v>
      </c>
      <c r="FL2" s="159">
        <v>3.6294462468238799E-6</v>
      </c>
      <c r="FM2" s="159">
        <v>4.1096002053486203E-6</v>
      </c>
      <c r="FN2">
        <v>0</v>
      </c>
      <c r="FO2">
        <v>0</v>
      </c>
      <c r="FP2">
        <v>0</v>
      </c>
      <c r="FQ2">
        <v>0</v>
      </c>
      <c r="FR2">
        <v>0</v>
      </c>
      <c r="FS2">
        <v>0</v>
      </c>
      <c r="FT2">
        <v>0</v>
      </c>
      <c r="FU2">
        <v>0</v>
      </c>
      <c r="FV2">
        <v>-999</v>
      </c>
      <c r="FW2">
        <v>0.45890022353017501</v>
      </c>
      <c r="FX2">
        <v>3.0920027584331201E-3</v>
      </c>
      <c r="FY2">
        <v>1.12526188187747</v>
      </c>
      <c r="FZ2">
        <v>9.896257319288791E-4</v>
      </c>
      <c r="GA2">
        <v>44.290909874522598</v>
      </c>
      <c r="GB2">
        <v>1.0618618315953199E-2</v>
      </c>
      <c r="GC2">
        <v>2.8698968421495301E-3</v>
      </c>
      <c r="GD2">
        <v>0</v>
      </c>
      <c r="GE2">
        <v>6.9515253325115297E-3</v>
      </c>
      <c r="GF2">
        <v>0.58385747084468598</v>
      </c>
      <c r="GG2">
        <v>5.6033121295098796E-4</v>
      </c>
      <c r="GH2">
        <v>9.5513473082820492E-3</v>
      </c>
      <c r="GI2">
        <v>1.8775006026822999E-2</v>
      </c>
      <c r="GJ2">
        <v>9.3288268386549104E-4</v>
      </c>
      <c r="GK2">
        <v>1.790416630085E-3</v>
      </c>
      <c r="GL2">
        <v>0.36479318886597301</v>
      </c>
      <c r="GM2">
        <v>6.0945015555457704E-3</v>
      </c>
      <c r="GN2">
        <v>5.0979324461057803E-4</v>
      </c>
      <c r="GO2">
        <v>0</v>
      </c>
      <c r="GP2">
        <v>0</v>
      </c>
      <c r="GQ2">
        <v>0</v>
      </c>
      <c r="GR2">
        <v>5.7748222173153299E-2</v>
      </c>
      <c r="GS2">
        <v>1.0723069567178901E-3</v>
      </c>
      <c r="GT2">
        <v>1.20290229574341E-4</v>
      </c>
      <c r="GU2">
        <v>3.6789907308401801E-2</v>
      </c>
      <c r="GV2">
        <v>6.8313918696090697E-4</v>
      </c>
      <c r="GW2">
        <v>7.6633811909862905E-5</v>
      </c>
      <c r="GX2">
        <v>0.11148042342506199</v>
      </c>
      <c r="GY2">
        <v>0.122168327988561</v>
      </c>
      <c r="GZ2">
        <v>58.958099733805298</v>
      </c>
      <c r="HA2">
        <v>670.61179724754504</v>
      </c>
      <c r="HB2">
        <v>0</v>
      </c>
      <c r="HC2">
        <v>0.99981311192010203</v>
      </c>
      <c r="HD2">
        <v>0.38807763782309501</v>
      </c>
      <c r="HE2">
        <v>1.0048090194342199E-2</v>
      </c>
      <c r="HF2">
        <v>8.7289423406077102E-4</v>
      </c>
      <c r="HG2">
        <v>1.1644423590670999E-2</v>
      </c>
      <c r="HH2" s="159">
        <v>4.7618734253929902E-7</v>
      </c>
      <c r="HI2" s="159">
        <v>3.3333254089796402E-7</v>
      </c>
      <c r="HJ2">
        <v>0</v>
      </c>
      <c r="HK2">
        <v>0</v>
      </c>
      <c r="HL2">
        <v>0</v>
      </c>
      <c r="HM2">
        <v>0</v>
      </c>
      <c r="HN2">
        <v>0</v>
      </c>
      <c r="HO2">
        <v>1.0296357149244E-2</v>
      </c>
      <c r="HP2">
        <v>0.51024596581165704</v>
      </c>
      <c r="HQ2">
        <v>1.0048090194342199E-2</v>
      </c>
      <c r="HR2">
        <v>8.7289423406077102E-4</v>
      </c>
      <c r="HS2">
        <v>0.73730797071927401</v>
      </c>
      <c r="HT2">
        <v>-999</v>
      </c>
      <c r="HU2">
        <v>1</v>
      </c>
      <c r="HV2">
        <v>0.75372788177052896</v>
      </c>
      <c r="HW2">
        <v>0.24627211822947001</v>
      </c>
      <c r="HX2">
        <v>12486.5876295575</v>
      </c>
      <c r="HY2">
        <v>401.504496151561</v>
      </c>
      <c r="HZ2">
        <v>40.2812304662149</v>
      </c>
      <c r="IA2">
        <v>-0.122168327988561</v>
      </c>
      <c r="IB2">
        <v>0</v>
      </c>
      <c r="IC2">
        <v>0</v>
      </c>
      <c r="ID2">
        <v>0</v>
      </c>
      <c r="IE2">
        <v>0</v>
      </c>
      <c r="IF2">
        <v>0</v>
      </c>
      <c r="IG2">
        <v>0</v>
      </c>
      <c r="IH2">
        <v>0</v>
      </c>
      <c r="II2">
        <v>46.337800049999601</v>
      </c>
      <c r="IJ2">
        <v>463.37800049999902</v>
      </c>
      <c r="IK2">
        <v>9.6475256341068995E-3</v>
      </c>
      <c r="IL2">
        <v>2.0735194570100099E-3</v>
      </c>
      <c r="IM2">
        <v>1.17210450911169E-2</v>
      </c>
      <c r="IN2">
        <v>1.3041644862956899E-3</v>
      </c>
      <c r="IO2">
        <v>0.41966074341651299</v>
      </c>
      <c r="IP2">
        <v>1.7700696761057601E-2</v>
      </c>
      <c r="IQ2">
        <v>2.02461220986473E-3</v>
      </c>
      <c r="IR2">
        <v>0.30628303331168799</v>
      </c>
      <c r="IS2">
        <v>0.26118261243458701</v>
      </c>
      <c r="IT2">
        <v>0.22834566537926401</v>
      </c>
      <c r="IU2">
        <v>0.29112577796106498</v>
      </c>
      <c r="IV2">
        <v>1.30775825390921E-2</v>
      </c>
      <c r="IW2">
        <v>1.56230078766818E-3</v>
      </c>
      <c r="IX2">
        <v>7.5631295666993906E-2</v>
      </c>
      <c r="IY2">
        <v>2.7202879573259E-3</v>
      </c>
      <c r="IZ2">
        <v>2.7202879573258801E-4</v>
      </c>
      <c r="JA2">
        <v>7.51351841229011E-2</v>
      </c>
      <c r="JB2">
        <v>2.7024439385637698E-3</v>
      </c>
      <c r="JC2">
        <v>2.7024439385637497E-4</v>
      </c>
      <c r="JD2">
        <v>1.61576960316222E-4</v>
      </c>
      <c r="JE2">
        <v>3.0603043815416201E-3</v>
      </c>
      <c r="JF2" s="159">
        <v>-8.4025668367626497E-19</v>
      </c>
      <c r="JG2">
        <v>0</v>
      </c>
      <c r="JH2">
        <v>4.0589813865390496E-3</v>
      </c>
      <c r="JI2">
        <v>5.2838069522887204E-4</v>
      </c>
      <c r="JJ2">
        <v>-0.488429290072528</v>
      </c>
      <c r="JK2">
        <v>1.61576960316222E-4</v>
      </c>
      <c r="JL2" s="159">
        <v>6.5753399999999896E-6</v>
      </c>
      <c r="JM2">
        <v>-0.488429290072528</v>
      </c>
      <c r="JN2">
        <v>0</v>
      </c>
      <c r="JO2">
        <v>1.1479892820837E-4</v>
      </c>
      <c r="JP2" s="159">
        <v>2.7473514929176001E-8</v>
      </c>
      <c r="JQ2" s="159">
        <v>2.1261483073263499E-9</v>
      </c>
      <c r="JR2" s="159">
        <v>-2.5749187670953599E-8</v>
      </c>
      <c r="JS2">
        <v>1446.53853983882</v>
      </c>
      <c r="JT2">
        <v>5.3972231676939098E-2</v>
      </c>
      <c r="JU2">
        <v>0</v>
      </c>
      <c r="JV2">
        <v>365</v>
      </c>
      <c r="JW2">
        <v>0</v>
      </c>
      <c r="JX2">
        <v>-0.40268092994350901</v>
      </c>
      <c r="JY2">
        <v>0</v>
      </c>
      <c r="JZ2">
        <v>1.30098231409986</v>
      </c>
      <c r="KA2">
        <v>1.39815230922597</v>
      </c>
      <c r="KB2">
        <v>1.39497781749094</v>
      </c>
      <c r="KC2">
        <v>0</v>
      </c>
      <c r="KD2">
        <v>0</v>
      </c>
      <c r="KE2">
        <v>0</v>
      </c>
      <c r="KF2">
        <v>3.4188213977053099E-3</v>
      </c>
      <c r="KG2">
        <v>2.1245468837141599E-2</v>
      </c>
      <c r="KH2">
        <v>4.1167171125868603E-2</v>
      </c>
      <c r="KI2">
        <v>0</v>
      </c>
      <c r="KJ2">
        <v>0</v>
      </c>
      <c r="KK2">
        <v>0</v>
      </c>
      <c r="KL2">
        <v>0</v>
      </c>
      <c r="KM2">
        <v>0</v>
      </c>
      <c r="KN2">
        <v>0</v>
      </c>
      <c r="KO2">
        <v>0</v>
      </c>
      <c r="KP2">
        <v>0</v>
      </c>
      <c r="KQ2">
        <v>0</v>
      </c>
      <c r="KR2">
        <v>0</v>
      </c>
      <c r="KS2">
        <v>0</v>
      </c>
      <c r="KT2">
        <v>0</v>
      </c>
      <c r="KU2">
        <v>0.34999999999999898</v>
      </c>
      <c r="KV2">
        <v>-0.12133330307003901</v>
      </c>
      <c r="KW2">
        <v>1.9209221204586301E-3</v>
      </c>
      <c r="KX2">
        <v>30192.470889291701</v>
      </c>
      <c r="KY2">
        <v>0</v>
      </c>
      <c r="KZ2">
        <v>0.2099999982613</v>
      </c>
      <c r="LA2">
        <v>1.73602675993533E-5</v>
      </c>
      <c r="LB2">
        <v>0</v>
      </c>
      <c r="LC2">
        <v>-12.181934952951799</v>
      </c>
      <c r="LD2">
        <v>1.56898008121144E-2</v>
      </c>
      <c r="LE2">
        <v>3.3866045397306301E-3</v>
      </c>
      <c r="LF2">
        <v>1.56898008121144E-2</v>
      </c>
      <c r="LG2">
        <v>0.93110308802177</v>
      </c>
      <c r="LH2">
        <v>1.21602623638837</v>
      </c>
      <c r="LI2">
        <v>0</v>
      </c>
      <c r="LJ2">
        <v>0</v>
      </c>
      <c r="LK2">
        <v>0.23783291543056301</v>
      </c>
      <c r="LL2">
        <v>0</v>
      </c>
      <c r="LM2">
        <v>0</v>
      </c>
      <c r="LN2">
        <v>0</v>
      </c>
      <c r="LO2">
        <v>0</v>
      </c>
      <c r="LP2">
        <v>0</v>
      </c>
      <c r="LQ2">
        <v>0</v>
      </c>
      <c r="LR2">
        <v>0</v>
      </c>
      <c r="LS2">
        <v>0</v>
      </c>
      <c r="LT2">
        <v>-999</v>
      </c>
      <c r="LU2">
        <v>0.42547486411479601</v>
      </c>
      <c r="LV2">
        <v>1</v>
      </c>
      <c r="LW2">
        <v>0</v>
      </c>
      <c r="LX2">
        <v>0</v>
      </c>
      <c r="LY2">
        <v>0</v>
      </c>
      <c r="LZ2">
        <v>-999</v>
      </c>
      <c r="MA2">
        <v>0</v>
      </c>
      <c r="MB2">
        <v>0</v>
      </c>
      <c r="MC2">
        <v>400</v>
      </c>
      <c r="MD2">
        <v>-23.6999999999999</v>
      </c>
      <c r="ME2">
        <v>-33.6</v>
      </c>
      <c r="MF2">
        <v>0</v>
      </c>
      <c r="MG2">
        <v>8.0706896550000007</v>
      </c>
      <c r="MH2">
        <v>0</v>
      </c>
      <c r="MI2">
        <v>0</v>
      </c>
      <c r="MJ2">
        <v>0</v>
      </c>
      <c r="MK2">
        <v>0</v>
      </c>
      <c r="ML2">
        <v>0</v>
      </c>
      <c r="MM2">
        <v>0</v>
      </c>
      <c r="MN2">
        <v>0</v>
      </c>
      <c r="MO2">
        <v>0</v>
      </c>
      <c r="MP2">
        <v>0</v>
      </c>
      <c r="MQ2">
        <v>0</v>
      </c>
      <c r="MR2">
        <v>0</v>
      </c>
      <c r="MS2">
        <v>0</v>
      </c>
      <c r="MT2">
        <v>0</v>
      </c>
      <c r="MU2">
        <v>0</v>
      </c>
      <c r="MV2">
        <v>0</v>
      </c>
    </row>
    <row r="3" spans="1:360" x14ac:dyDescent="0.25">
      <c r="A3">
        <v>730</v>
      </c>
      <c r="B3">
        <v>0</v>
      </c>
      <c r="C3">
        <v>-33.6</v>
      </c>
      <c r="D3">
        <v>-23.6999999999999</v>
      </c>
      <c r="E3">
        <v>400</v>
      </c>
      <c r="F3">
        <v>0</v>
      </c>
      <c r="G3">
        <v>0</v>
      </c>
      <c r="H3">
        <v>0</v>
      </c>
      <c r="I3">
        <v>0</v>
      </c>
      <c r="J3">
        <v>0</v>
      </c>
      <c r="K3">
        <v>0</v>
      </c>
      <c r="L3" s="159">
        <v>6.5753399999999896E-6</v>
      </c>
      <c r="M3">
        <v>0</v>
      </c>
      <c r="N3">
        <v>0</v>
      </c>
      <c r="O3">
        <v>0</v>
      </c>
      <c r="P3">
        <v>0</v>
      </c>
      <c r="Q3">
        <v>0</v>
      </c>
      <c r="R3">
        <v>0</v>
      </c>
      <c r="S3">
        <v>0</v>
      </c>
      <c r="T3">
        <v>0</v>
      </c>
      <c r="U3">
        <v>645.489874128108</v>
      </c>
      <c r="V3">
        <v>12.9674737723489</v>
      </c>
      <c r="W3">
        <v>1.2664572624130199</v>
      </c>
      <c r="X3">
        <v>0.41197087193259602</v>
      </c>
      <c r="Y3">
        <v>0.29397773385884801</v>
      </c>
      <c r="Z3">
        <v>0.29405139420855497</v>
      </c>
      <c r="AA3">
        <v>0.11330593604505999</v>
      </c>
      <c r="AB3">
        <v>0.48332812961385901</v>
      </c>
      <c r="AC3">
        <v>0.40336593434107898</v>
      </c>
      <c r="AD3">
        <v>0.88421273280434098</v>
      </c>
      <c r="AE3">
        <v>4.6281757785836798E-2</v>
      </c>
      <c r="AF3">
        <v>6.9505509409822003E-2</v>
      </c>
      <c r="AG3">
        <v>0</v>
      </c>
      <c r="AH3">
        <v>3387.0743890881099</v>
      </c>
      <c r="AI3">
        <v>80.997500401087805</v>
      </c>
      <c r="AJ3">
        <v>8.1424764164416903</v>
      </c>
      <c r="AK3">
        <v>390.00741339953902</v>
      </c>
      <c r="AL3">
        <v>7.2419140680368796</v>
      </c>
      <c r="AM3">
        <v>0.81239005337441705</v>
      </c>
      <c r="AN3">
        <v>8709.5426664343704</v>
      </c>
      <c r="AO3">
        <v>313.26270190631101</v>
      </c>
      <c r="AP3">
        <v>31.326270190630801</v>
      </c>
      <c r="AQ3">
        <v>2.84134820123867E-2</v>
      </c>
      <c r="AR3">
        <v>5.7478376934128701E-3</v>
      </c>
      <c r="AS3">
        <v>3.0063187093939001E-2</v>
      </c>
      <c r="AT3">
        <v>9.48</v>
      </c>
      <c r="AU3">
        <v>5.9999991767198999</v>
      </c>
      <c r="AV3">
        <v>0</v>
      </c>
      <c r="AW3">
        <v>83.264997673760604</v>
      </c>
      <c r="AX3">
        <v>65.850927625845102</v>
      </c>
      <c r="AY3">
        <v>361.67111915513902</v>
      </c>
      <c r="AZ3">
        <v>0.54833294000258204</v>
      </c>
      <c r="BA3">
        <v>0.80210590825489503</v>
      </c>
      <c r="BB3">
        <v>1.3567816377476401E-2</v>
      </c>
      <c r="BC3">
        <v>1.1316864213380901E-3</v>
      </c>
      <c r="BD3">
        <v>0.58219057804652097</v>
      </c>
      <c r="BE3">
        <v>8.9953383657061202E-3</v>
      </c>
      <c r="BF3">
        <v>7.5205196200124602E-4</v>
      </c>
      <c r="BG3">
        <v>766.29999847710098</v>
      </c>
      <c r="BH3">
        <v>-1626.59999865293</v>
      </c>
      <c r="BI3">
        <v>409.59026991119703</v>
      </c>
      <c r="BJ3">
        <v>205.065770510833</v>
      </c>
      <c r="BK3">
        <v>2.6248581782603702</v>
      </c>
      <c r="BL3">
        <v>4.4196865618695496</v>
      </c>
      <c r="BM3">
        <v>187.86473761605001</v>
      </c>
      <c r="BN3">
        <v>20.907326552308199</v>
      </c>
      <c r="BO3">
        <v>208.77206416835901</v>
      </c>
      <c r="BP3">
        <v>3.3537740912090399</v>
      </c>
      <c r="BQ3">
        <v>0.28285347223968599</v>
      </c>
      <c r="BR3">
        <v>202.44091233257299</v>
      </c>
      <c r="BS3">
        <v>2.1336963780502298</v>
      </c>
      <c r="BT3">
        <v>0.28294727800766001</v>
      </c>
      <c r="BU3">
        <v>3.3560181617049798</v>
      </c>
      <c r="BV3">
        <v>1.60447851866265</v>
      </c>
      <c r="BW3">
        <v>0.55702976145596295</v>
      </c>
      <c r="BX3">
        <v>1.19450988158636</v>
      </c>
      <c r="BY3">
        <v>0</v>
      </c>
      <c r="BZ3">
        <v>2.9655531059604998</v>
      </c>
      <c r="CA3">
        <v>0.38822098524853399</v>
      </c>
      <c r="CB3">
        <v>0.28299323086877298</v>
      </c>
      <c r="CC3">
        <v>0.239303263832888</v>
      </c>
      <c r="CD3">
        <v>4.35502084067977E-2</v>
      </c>
      <c r="CE3">
        <v>20.899914699181</v>
      </c>
      <c r="CF3">
        <v>159.776864086166</v>
      </c>
      <c r="CG3">
        <v>42.663602254055498</v>
      </c>
      <c r="CH3">
        <v>0.38808335708663999</v>
      </c>
      <c r="CI3">
        <v>6.95409720315235</v>
      </c>
      <c r="CJ3">
        <v>1.6819006620369199</v>
      </c>
      <c r="CK3">
        <v>9.2351641835340903</v>
      </c>
      <c r="CL3">
        <v>1.53451401836155</v>
      </c>
      <c r="CM3">
        <v>9.0701903124356206E-2</v>
      </c>
      <c r="CN3">
        <v>4.3534769429099597E-2</v>
      </c>
      <c r="CO3">
        <v>0.86362923846295003</v>
      </c>
      <c r="CP3">
        <v>0.99312351050006997</v>
      </c>
      <c r="CQ3">
        <v>0.15345140183615399</v>
      </c>
      <c r="CR3">
        <v>42.664048246406402</v>
      </c>
      <c r="CS3">
        <v>1.5345300597054199</v>
      </c>
      <c r="CT3">
        <v>0.15345300597054101</v>
      </c>
      <c r="CU3">
        <v>1.47E-2</v>
      </c>
      <c r="CV3">
        <v>1.82905329900455E-3</v>
      </c>
      <c r="CW3">
        <v>2.2240243413641601</v>
      </c>
      <c r="CX3">
        <v>2.0299999999999999E-2</v>
      </c>
      <c r="CY3">
        <v>5.4042985107165802E-3</v>
      </c>
      <c r="CZ3">
        <v>0</v>
      </c>
      <c r="DA3">
        <v>2.39999910000286E-3</v>
      </c>
      <c r="DB3">
        <v>1.4999999682497999E-3</v>
      </c>
      <c r="DC3">
        <v>2E-3</v>
      </c>
      <c r="DD3">
        <v>4.4050348744389704E-3</v>
      </c>
      <c r="DE3">
        <v>1.49911566815746E-3</v>
      </c>
      <c r="DF3">
        <v>2.3999991000000099E-3</v>
      </c>
      <c r="DG3">
        <v>0</v>
      </c>
      <c r="DH3">
        <v>0</v>
      </c>
      <c r="DI3">
        <v>0.23180769400000001</v>
      </c>
      <c r="DJ3">
        <v>1.8846155199999999E-2</v>
      </c>
      <c r="DK3">
        <v>2.1064336034561801</v>
      </c>
      <c r="DL3">
        <v>0.13749566602194399</v>
      </c>
      <c r="DM3">
        <v>98.021081015653706</v>
      </c>
      <c r="DN3">
        <v>196.84904326494399</v>
      </c>
      <c r="DO3">
        <v>327.66000000000003</v>
      </c>
      <c r="DP3">
        <v>32.762880237432</v>
      </c>
      <c r="DQ3">
        <v>157.94999999999899</v>
      </c>
      <c r="DR3">
        <v>169.71</v>
      </c>
      <c r="DS3">
        <v>154.360020303493</v>
      </c>
      <c r="DT3">
        <v>0</v>
      </c>
      <c r="DU3">
        <v>0</v>
      </c>
      <c r="DV3">
        <v>0</v>
      </c>
      <c r="DW3">
        <v>0</v>
      </c>
      <c r="DX3">
        <v>0</v>
      </c>
      <c r="DY3">
        <v>0</v>
      </c>
      <c r="DZ3">
        <v>0</v>
      </c>
      <c r="EA3">
        <v>0</v>
      </c>
      <c r="EB3">
        <v>0</v>
      </c>
      <c r="EC3">
        <v>0</v>
      </c>
      <c r="ED3">
        <v>0</v>
      </c>
      <c r="EE3">
        <v>0</v>
      </c>
      <c r="EF3">
        <v>1.3634144954482299</v>
      </c>
      <c r="EG3">
        <v>0</v>
      </c>
      <c r="EH3">
        <v>0</v>
      </c>
      <c r="EI3">
        <v>0</v>
      </c>
      <c r="EJ3">
        <v>0</v>
      </c>
      <c r="EK3">
        <v>0</v>
      </c>
      <c r="EL3">
        <v>0</v>
      </c>
      <c r="EM3">
        <v>0</v>
      </c>
      <c r="EN3">
        <v>0</v>
      </c>
      <c r="EO3">
        <v>0</v>
      </c>
      <c r="EP3">
        <v>0</v>
      </c>
      <c r="EQ3">
        <v>0</v>
      </c>
      <c r="ER3">
        <v>0</v>
      </c>
      <c r="ES3">
        <v>0</v>
      </c>
      <c r="ET3">
        <v>0</v>
      </c>
      <c r="EU3">
        <v>0</v>
      </c>
      <c r="EV3">
        <v>760.06296868178595</v>
      </c>
      <c r="EW3">
        <v>-28.649999999999899</v>
      </c>
      <c r="EX3">
        <v>1358.92605079601</v>
      </c>
      <c r="EY3">
        <v>801.62287688170204</v>
      </c>
      <c r="EZ3">
        <v>108.041099643002</v>
      </c>
      <c r="FA3">
        <v>604.58729546561301</v>
      </c>
      <c r="FB3">
        <v>646.29766845703102</v>
      </c>
      <c r="FC3">
        <v>0.46598126276027002</v>
      </c>
      <c r="FD3">
        <v>0.84981446264759397</v>
      </c>
      <c r="FE3">
        <v>0</v>
      </c>
      <c r="FF3">
        <v>1</v>
      </c>
      <c r="FG3" s="159">
        <v>5.9039461149554304E-13</v>
      </c>
      <c r="FH3">
        <v>0</v>
      </c>
      <c r="FI3">
        <v>5.4512674794765098E-5</v>
      </c>
      <c r="FJ3">
        <v>-6.2173252312469098E-3</v>
      </c>
      <c r="FK3" s="159">
        <v>6.57534000000779E-6</v>
      </c>
      <c r="FL3" s="159">
        <v>3.6233337469560401E-6</v>
      </c>
      <c r="FM3" s="159">
        <v>4.1095995996619803E-6</v>
      </c>
      <c r="FN3">
        <v>0</v>
      </c>
      <c r="FO3">
        <v>0</v>
      </c>
      <c r="FP3">
        <v>0</v>
      </c>
      <c r="FQ3">
        <v>0</v>
      </c>
      <c r="FR3">
        <v>0</v>
      </c>
      <c r="FS3">
        <v>0</v>
      </c>
      <c r="FT3">
        <v>0</v>
      </c>
      <c r="FU3">
        <v>0</v>
      </c>
      <c r="FV3">
        <v>-999</v>
      </c>
      <c r="FW3">
        <v>0.458334930230334</v>
      </c>
      <c r="FX3">
        <v>3.0940188159541298E-3</v>
      </c>
      <c r="FY3">
        <v>1.12315510454017</v>
      </c>
      <c r="FZ3">
        <v>9.8958193712180898E-4</v>
      </c>
      <c r="GA3">
        <v>44.276663796273297</v>
      </c>
      <c r="GB3">
        <v>1.0638278914368899E-2</v>
      </c>
      <c r="GC3">
        <v>2.8752105173969998E-3</v>
      </c>
      <c r="GD3">
        <v>0</v>
      </c>
      <c r="GE3">
        <v>6.9588112704729501E-3</v>
      </c>
      <c r="GF3">
        <v>0.58287417243752604</v>
      </c>
      <c r="GG3">
        <v>5.6060734237115798E-4</v>
      </c>
      <c r="GH3">
        <v>9.5424425521557898E-3</v>
      </c>
      <c r="GI3">
        <v>1.8772041103370399E-2</v>
      </c>
      <c r="GJ3">
        <v>9.3195451045417505E-4</v>
      </c>
      <c r="GK3">
        <v>1.79019071895552E-3</v>
      </c>
      <c r="GL3">
        <v>0.36518196299297401</v>
      </c>
      <c r="GM3">
        <v>6.0963104430013003E-3</v>
      </c>
      <c r="GN3">
        <v>5.0991067827040602E-4</v>
      </c>
      <c r="GO3">
        <v>0</v>
      </c>
      <c r="GP3">
        <v>0</v>
      </c>
      <c r="GQ3">
        <v>0</v>
      </c>
      <c r="GR3">
        <v>5.7788900149749203E-2</v>
      </c>
      <c r="GS3">
        <v>1.0730622921316501E-3</v>
      </c>
      <c r="GT3">
        <v>1.2037496228054801E-4</v>
      </c>
      <c r="GU3">
        <v>3.6790456272608102E-2</v>
      </c>
      <c r="GV3">
        <v>6.8314938048921595E-4</v>
      </c>
      <c r="GW3">
        <v>7.6634955408795303E-5</v>
      </c>
      <c r="GX3">
        <v>0.111520599218895</v>
      </c>
      <c r="GY3">
        <v>0.122224352839041</v>
      </c>
      <c r="GZ3">
        <v>58.996913505415598</v>
      </c>
      <c r="HA3">
        <v>671.07805720116096</v>
      </c>
      <c r="HB3">
        <v>0</v>
      </c>
      <c r="HC3">
        <v>0.99981311373001203</v>
      </c>
      <c r="HD3">
        <v>0.388312426615321</v>
      </c>
      <c r="HE3">
        <v>1.00555801297567E-2</v>
      </c>
      <c r="HF3">
        <v>8.7355389862544403E-4</v>
      </c>
      <c r="HG3">
        <v>1.1637281477771299E-2</v>
      </c>
      <c r="HH3" s="159">
        <v>4.7618733865819998E-7</v>
      </c>
      <c r="HI3" s="159">
        <v>3.3333254114161903E-7</v>
      </c>
      <c r="HJ3">
        <v>0</v>
      </c>
      <c r="HK3">
        <v>0</v>
      </c>
      <c r="HL3">
        <v>0</v>
      </c>
      <c r="HM3">
        <v>0</v>
      </c>
      <c r="HN3">
        <v>0</v>
      </c>
      <c r="HO3">
        <v>1.0289877665108599E-2</v>
      </c>
      <c r="HP3">
        <v>0.51053677945436304</v>
      </c>
      <c r="HQ3">
        <v>1.00555801297567E-2</v>
      </c>
      <c r="HR3">
        <v>8.7355389862544403E-4</v>
      </c>
      <c r="HS3">
        <v>0.73788573738524899</v>
      </c>
      <c r="HT3">
        <v>-999</v>
      </c>
      <c r="HU3">
        <v>1</v>
      </c>
      <c r="HV3">
        <v>0.75420414374580402</v>
      </c>
      <c r="HW3">
        <v>0.24579585625419501</v>
      </c>
      <c r="HX3">
        <v>12486.624468922</v>
      </c>
      <c r="HY3">
        <v>401.50211637543498</v>
      </c>
      <c r="HZ3">
        <v>40.281136660446897</v>
      </c>
      <c r="IA3">
        <v>-0.122224352839041</v>
      </c>
      <c r="IB3">
        <v>0</v>
      </c>
      <c r="IC3">
        <v>0</v>
      </c>
      <c r="ID3">
        <v>0</v>
      </c>
      <c r="IE3">
        <v>0</v>
      </c>
      <c r="IF3">
        <v>0</v>
      </c>
      <c r="IG3">
        <v>0</v>
      </c>
      <c r="IH3">
        <v>0</v>
      </c>
      <c r="II3">
        <v>46.337800049999601</v>
      </c>
      <c r="IJ3">
        <v>463.37800049999902</v>
      </c>
      <c r="IK3">
        <v>9.6361775460993993E-3</v>
      </c>
      <c r="IL3">
        <v>2.0698145657875901E-3</v>
      </c>
      <c r="IM3">
        <v>1.1705992111887E-2</v>
      </c>
      <c r="IN3">
        <v>1.30206515161136E-3</v>
      </c>
      <c r="IO3">
        <v>0.41966273127409698</v>
      </c>
      <c r="IP3">
        <v>1.7685460267199499E-2</v>
      </c>
      <c r="IQ3">
        <v>2.0225004096424801E-3</v>
      </c>
      <c r="IR3">
        <v>0.306140443926189</v>
      </c>
      <c r="IS3">
        <v>0.26128716811802399</v>
      </c>
      <c r="IT3">
        <v>0.22847875867166001</v>
      </c>
      <c r="IU3">
        <v>0.29118699642256801</v>
      </c>
      <c r="IV3">
        <v>1.30644764371191E-2</v>
      </c>
      <c r="IW3">
        <v>1.5604020266344399E-3</v>
      </c>
      <c r="IX3">
        <v>7.5628318556806698E-2</v>
      </c>
      <c r="IY3">
        <v>2.7201808773543298E-3</v>
      </c>
      <c r="IZ3">
        <v>2.7201808773543102E-4</v>
      </c>
      <c r="JA3">
        <v>7.5134873492781196E-2</v>
      </c>
      <c r="JB3">
        <v>2.70243276589554E-3</v>
      </c>
      <c r="JC3">
        <v>2.7024327658955202E-4</v>
      </c>
      <c r="JD3">
        <v>1.6159686869621299E-4</v>
      </c>
      <c r="JE3">
        <v>3.05654660787643E-3</v>
      </c>
      <c r="JF3" s="159">
        <v>4.0657581468206398E-20</v>
      </c>
      <c r="JG3">
        <v>0</v>
      </c>
      <c r="JH3">
        <v>4.0609170911277102E-3</v>
      </c>
      <c r="JI3">
        <v>5.2858015161263495E-4</v>
      </c>
      <c r="JJ3">
        <v>-0.48854622275439102</v>
      </c>
      <c r="JK3">
        <v>1.6159686869621299E-4</v>
      </c>
      <c r="JL3" s="159">
        <v>6.5753399999999896E-6</v>
      </c>
      <c r="JM3">
        <v>-0.48854622275439102</v>
      </c>
      <c r="JN3">
        <v>0</v>
      </c>
      <c r="JO3">
        <v>0.75023226880392302</v>
      </c>
      <c r="JP3">
        <v>-1.8095950730932599E-4</v>
      </c>
      <c r="JQ3" s="159">
        <v>-5.0357744389548204E-6</v>
      </c>
      <c r="JR3">
        <v>2.6995481969464601E-2</v>
      </c>
      <c r="JS3">
        <v>1447.9205325591799</v>
      </c>
      <c r="JT3">
        <v>5.3899621920148598E-2</v>
      </c>
      <c r="JU3">
        <v>0</v>
      </c>
      <c r="JV3">
        <v>365</v>
      </c>
      <c r="JW3">
        <v>0</v>
      </c>
      <c r="JX3">
        <v>-0.40268092994350901</v>
      </c>
      <c r="JY3">
        <v>0</v>
      </c>
      <c r="JZ3">
        <v>1.29879747574204</v>
      </c>
      <c r="KA3">
        <v>1.39752535801558</v>
      </c>
      <c r="KB3">
        <v>1.39489467977328</v>
      </c>
      <c r="KC3">
        <v>0</v>
      </c>
      <c r="KD3">
        <v>0</v>
      </c>
      <c r="KE3">
        <v>0</v>
      </c>
      <c r="KF3">
        <v>3.4211016371127599E-3</v>
      </c>
      <c r="KG3">
        <v>2.12463721698395E-2</v>
      </c>
      <c r="KH3">
        <v>4.1232588581459298E-2</v>
      </c>
      <c r="KI3">
        <v>0</v>
      </c>
      <c r="KJ3">
        <v>0</v>
      </c>
      <c r="KK3">
        <v>0</v>
      </c>
      <c r="KL3">
        <v>0</v>
      </c>
      <c r="KM3">
        <v>0</v>
      </c>
      <c r="KN3">
        <v>0</v>
      </c>
      <c r="KO3">
        <v>0</v>
      </c>
      <c r="KP3">
        <v>0</v>
      </c>
      <c r="KQ3">
        <v>0</v>
      </c>
      <c r="KR3">
        <v>0</v>
      </c>
      <c r="KS3">
        <v>0</v>
      </c>
      <c r="KT3">
        <v>0</v>
      </c>
      <c r="KU3">
        <v>0.34999999999999898</v>
      </c>
      <c r="KV3">
        <v>-0.12125766683426401</v>
      </c>
      <c r="KW3">
        <v>1.9197495533988199E-3</v>
      </c>
      <c r="KX3">
        <v>30229.364773280598</v>
      </c>
      <c r="KY3">
        <v>0</v>
      </c>
      <c r="KZ3">
        <v>0.21000050913077201</v>
      </c>
      <c r="LA3">
        <v>1.73602675993533E-5</v>
      </c>
      <c r="LB3">
        <v>0</v>
      </c>
      <c r="LC3">
        <v>-12.181560442776901</v>
      </c>
      <c r="LD3">
        <v>1.56901539450559E-2</v>
      </c>
      <c r="LE3">
        <v>3.38693768401501E-3</v>
      </c>
      <c r="LF3">
        <v>1.56901539450559E-2</v>
      </c>
      <c r="LG3">
        <v>0.93135056344982003</v>
      </c>
      <c r="LH3">
        <v>1.2163074584657001</v>
      </c>
      <c r="LI3">
        <v>0</v>
      </c>
      <c r="LJ3">
        <v>0</v>
      </c>
      <c r="LK3">
        <v>0.23789999335360101</v>
      </c>
      <c r="LL3">
        <v>0</v>
      </c>
      <c r="LM3">
        <v>0</v>
      </c>
      <c r="LN3">
        <v>0</v>
      </c>
      <c r="LO3">
        <v>0</v>
      </c>
      <c r="LP3">
        <v>0</v>
      </c>
      <c r="LQ3">
        <v>0</v>
      </c>
      <c r="LR3">
        <v>0</v>
      </c>
      <c r="LS3">
        <v>0</v>
      </c>
      <c r="LT3">
        <v>-999</v>
      </c>
      <c r="LU3">
        <v>0.425473126868606</v>
      </c>
      <c r="LV3">
        <v>2</v>
      </c>
      <c r="LW3">
        <v>3.96</v>
      </c>
      <c r="LX3">
        <v>3.6999999999999901E-2</v>
      </c>
      <c r="LY3">
        <v>0</v>
      </c>
      <c r="LZ3">
        <v>-999</v>
      </c>
      <c r="MA3">
        <v>0</v>
      </c>
      <c r="MB3">
        <v>0</v>
      </c>
      <c r="MC3">
        <v>403.95999999999901</v>
      </c>
      <c r="MD3">
        <v>-23.6999999999999</v>
      </c>
      <c r="ME3">
        <v>-33.6</v>
      </c>
      <c r="MF3">
        <v>0</v>
      </c>
      <c r="MG3">
        <v>8.0706896550000007</v>
      </c>
      <c r="MH3">
        <v>0</v>
      </c>
      <c r="MI3">
        <v>0</v>
      </c>
      <c r="MJ3">
        <v>0</v>
      </c>
      <c r="MK3">
        <v>0</v>
      </c>
      <c r="ML3">
        <v>0</v>
      </c>
      <c r="MM3">
        <v>0</v>
      </c>
      <c r="MN3">
        <v>0</v>
      </c>
      <c r="MO3">
        <v>0</v>
      </c>
      <c r="MP3">
        <v>0</v>
      </c>
      <c r="MQ3">
        <v>0</v>
      </c>
      <c r="MR3">
        <v>0</v>
      </c>
      <c r="MS3">
        <v>0</v>
      </c>
      <c r="MT3">
        <v>0</v>
      </c>
      <c r="MU3">
        <v>0</v>
      </c>
      <c r="MV3">
        <v>0</v>
      </c>
    </row>
    <row r="4" spans="1:360" x14ac:dyDescent="0.25">
      <c r="A4">
        <v>1095</v>
      </c>
      <c r="B4">
        <v>0</v>
      </c>
      <c r="C4">
        <v>-33.6</v>
      </c>
      <c r="D4">
        <v>-23.6999999999999</v>
      </c>
      <c r="E4">
        <v>400</v>
      </c>
      <c r="F4">
        <v>0</v>
      </c>
      <c r="G4">
        <v>0</v>
      </c>
      <c r="H4">
        <v>0</v>
      </c>
      <c r="I4">
        <v>0</v>
      </c>
      <c r="J4">
        <v>0</v>
      </c>
      <c r="K4">
        <v>0</v>
      </c>
      <c r="L4" s="159">
        <v>6.5753399999999896E-6</v>
      </c>
      <c r="M4">
        <v>0</v>
      </c>
      <c r="N4">
        <v>0</v>
      </c>
      <c r="O4">
        <v>0</v>
      </c>
      <c r="P4">
        <v>0</v>
      </c>
      <c r="Q4">
        <v>0</v>
      </c>
      <c r="R4">
        <v>0</v>
      </c>
      <c r="S4">
        <v>0</v>
      </c>
      <c r="T4">
        <v>0</v>
      </c>
      <c r="U4">
        <v>647.061764493223</v>
      </c>
      <c r="V4">
        <v>12.9778919148367</v>
      </c>
      <c r="W4">
        <v>1.26702885334588</v>
      </c>
      <c r="X4">
        <v>0.410075874083217</v>
      </c>
      <c r="Y4">
        <v>0.29458160281400703</v>
      </c>
      <c r="Z4">
        <v>0.29534252310277498</v>
      </c>
      <c r="AA4">
        <v>0.113308168826376</v>
      </c>
      <c r="AB4">
        <v>0.48342429955185001</v>
      </c>
      <c r="AC4">
        <v>0.40326753162177198</v>
      </c>
      <c r="AD4">
        <v>0.88415781310997299</v>
      </c>
      <c r="AE4">
        <v>4.6241392360374001E-2</v>
      </c>
      <c r="AF4">
        <v>6.9600794529651996E-2</v>
      </c>
      <c r="AG4">
        <v>0</v>
      </c>
      <c r="AH4">
        <v>3387.1191106756</v>
      </c>
      <c r="AI4">
        <v>80.986181488593601</v>
      </c>
      <c r="AJ4">
        <v>8.1420117095441409</v>
      </c>
      <c r="AK4">
        <v>390.03685040433197</v>
      </c>
      <c r="AL4">
        <v>7.2424606736956596</v>
      </c>
      <c r="AM4">
        <v>0.812451371003451</v>
      </c>
      <c r="AN4">
        <v>8709.5386584050302</v>
      </c>
      <c r="AO4">
        <v>313.26255774649098</v>
      </c>
      <c r="AP4">
        <v>31.326255774648899</v>
      </c>
      <c r="AQ4">
        <v>2.8358378705799599E-2</v>
      </c>
      <c r="AR4">
        <v>5.7317218583452399E-3</v>
      </c>
      <c r="AS4">
        <v>2.99105676862805E-2</v>
      </c>
      <c r="AT4">
        <v>9.48</v>
      </c>
      <c r="AU4">
        <v>5.99999302114679</v>
      </c>
      <c r="AV4">
        <v>0</v>
      </c>
      <c r="AW4">
        <v>83.309851772508097</v>
      </c>
      <c r="AX4">
        <v>65.863178974914504</v>
      </c>
      <c r="AY4">
        <v>361.66612893849498</v>
      </c>
      <c r="AZ4">
        <v>0.54833294000258304</v>
      </c>
      <c r="BA4">
        <v>0.80252551190008004</v>
      </c>
      <c r="BB4">
        <v>1.35760588440514E-2</v>
      </c>
      <c r="BC4">
        <v>1.13246401864488E-3</v>
      </c>
      <c r="BD4">
        <v>0.58379502714875997</v>
      </c>
      <c r="BE4">
        <v>9.0177880085734394E-3</v>
      </c>
      <c r="BF4">
        <v>7.5267402947888998E-4</v>
      </c>
      <c r="BG4">
        <v>766.29999847710098</v>
      </c>
      <c r="BH4">
        <v>-1626.59999865293</v>
      </c>
      <c r="BI4">
        <v>410.92282711500798</v>
      </c>
      <c r="BJ4">
        <v>206.04592270171801</v>
      </c>
      <c r="BK4">
        <v>3.5230816714045798</v>
      </c>
      <c r="BL4">
        <v>4.43808173029249</v>
      </c>
      <c r="BM4">
        <v>187.981119814794</v>
      </c>
      <c r="BN4">
        <v>20.9309942521033</v>
      </c>
      <c r="BO4">
        <v>208.912114066897</v>
      </c>
      <c r="BP4">
        <v>3.35302385301418</v>
      </c>
      <c r="BQ4">
        <v>0.28278380628740402</v>
      </c>
      <c r="BR4">
        <v>202.522841030313</v>
      </c>
      <c r="BS4">
        <v>2.1361202649473801</v>
      </c>
      <c r="BT4">
        <v>0.28320161153795798</v>
      </c>
      <c r="BU4">
        <v>3.3634419955020198</v>
      </c>
      <c r="BV4">
        <v>1.60682974135214</v>
      </c>
      <c r="BW4">
        <v>0.55713070542217802</v>
      </c>
      <c r="BX4">
        <v>1.1994815487277</v>
      </c>
      <c r="BY4">
        <v>0</v>
      </c>
      <c r="BZ4">
        <v>2.96436339035517</v>
      </c>
      <c r="CA4">
        <v>0.388660462659002</v>
      </c>
      <c r="CB4">
        <v>0.28335539722026498</v>
      </c>
      <c r="CC4">
        <v>0.23918429778209699</v>
      </c>
      <c r="CD4">
        <v>4.3599508505306701E-2</v>
      </c>
      <c r="CE4">
        <v>20.901557247310599</v>
      </c>
      <c r="CF4">
        <v>159.85722858782501</v>
      </c>
      <c r="CG4">
        <v>42.661604413128302</v>
      </c>
      <c r="CH4">
        <v>0.38811385700022699</v>
      </c>
      <c r="CI4">
        <v>6.93784150622953</v>
      </c>
      <c r="CJ4">
        <v>1.67635939737276</v>
      </c>
      <c r="CK4">
        <v>9.2157348482218993</v>
      </c>
      <c r="CL4">
        <v>1.5344421605073799</v>
      </c>
      <c r="CM4">
        <v>9.0729727667195198E-2</v>
      </c>
      <c r="CN4">
        <v>4.3538190876274203E-2</v>
      </c>
      <c r="CO4">
        <v>0.86069279865192705</v>
      </c>
      <c r="CP4">
        <v>0.99043577815710904</v>
      </c>
      <c r="CQ4">
        <v>0.15344421605073599</v>
      </c>
      <c r="CR4">
        <v>42.665612442488403</v>
      </c>
      <c r="CS4">
        <v>1.5345863203277901</v>
      </c>
      <c r="CT4">
        <v>0.15345863203277799</v>
      </c>
      <c r="CU4">
        <v>1.47E-2</v>
      </c>
      <c r="CV4">
        <v>1.829881973869E-3</v>
      </c>
      <c r="CW4">
        <v>2.2185751423007098</v>
      </c>
      <c r="CX4">
        <v>2.0299999999999901E-2</v>
      </c>
      <c r="CY4">
        <v>5.4011553408434901E-3</v>
      </c>
      <c r="CZ4">
        <v>0</v>
      </c>
      <c r="DA4">
        <v>2.3999991000028501E-3</v>
      </c>
      <c r="DB4">
        <v>1.4999992352973E-3</v>
      </c>
      <c r="DC4">
        <v>1.9999999999999901E-3</v>
      </c>
      <c r="DD4">
        <v>4.40498839844533E-3</v>
      </c>
      <c r="DE4">
        <v>1.49384366220721E-3</v>
      </c>
      <c r="DF4">
        <v>2.3999991000000099E-3</v>
      </c>
      <c r="DG4">
        <v>0</v>
      </c>
      <c r="DH4">
        <v>0</v>
      </c>
      <c r="DI4">
        <v>0.23180769399999901</v>
      </c>
      <c r="DJ4">
        <v>1.8846155199999898E-2</v>
      </c>
      <c r="DK4">
        <v>2.11284843736899</v>
      </c>
      <c r="DL4">
        <v>0.137914388862205</v>
      </c>
      <c r="DM4">
        <v>97.424909170622996</v>
      </c>
      <c r="DN4">
        <v>197.45736515072099</v>
      </c>
      <c r="DO4">
        <v>327.66000000000003</v>
      </c>
      <c r="DP4">
        <v>32.7206244559545</v>
      </c>
      <c r="DQ4">
        <v>157.94999999999899</v>
      </c>
      <c r="DR4">
        <v>169.71</v>
      </c>
      <c r="DS4">
        <v>154.37944231175001</v>
      </c>
      <c r="DT4">
        <v>0</v>
      </c>
      <c r="DU4">
        <v>0</v>
      </c>
      <c r="DV4">
        <v>0</v>
      </c>
      <c r="DW4">
        <v>0</v>
      </c>
      <c r="DX4">
        <v>0</v>
      </c>
      <c r="DY4">
        <v>0</v>
      </c>
      <c r="DZ4">
        <v>0</v>
      </c>
      <c r="EA4">
        <v>0</v>
      </c>
      <c r="EB4">
        <v>0</v>
      </c>
      <c r="EC4">
        <v>0</v>
      </c>
      <c r="ED4">
        <v>0</v>
      </c>
      <c r="EE4">
        <v>0</v>
      </c>
      <c r="EF4">
        <v>1.36190994632997</v>
      </c>
      <c r="EG4">
        <v>0</v>
      </c>
      <c r="EH4">
        <v>0</v>
      </c>
      <c r="EI4">
        <v>0</v>
      </c>
      <c r="EJ4">
        <v>0</v>
      </c>
      <c r="EK4">
        <v>0</v>
      </c>
      <c r="EL4">
        <v>0</v>
      </c>
      <c r="EM4">
        <v>0</v>
      </c>
      <c r="EN4">
        <v>0</v>
      </c>
      <c r="EO4">
        <v>0</v>
      </c>
      <c r="EP4">
        <v>0</v>
      </c>
      <c r="EQ4">
        <v>0</v>
      </c>
      <c r="ER4">
        <v>0</v>
      </c>
      <c r="ES4">
        <v>0</v>
      </c>
      <c r="ET4">
        <v>0</v>
      </c>
      <c r="EU4">
        <v>0</v>
      </c>
      <c r="EV4">
        <v>761.59549230272205</v>
      </c>
      <c r="EW4">
        <v>-28.649999999999899</v>
      </c>
      <c r="EX4">
        <v>1362.2352936699399</v>
      </c>
      <c r="EY4">
        <v>802.65712155582605</v>
      </c>
      <c r="EZ4">
        <v>107.700640778478</v>
      </c>
      <c r="FA4">
        <v>606.24243821039204</v>
      </c>
      <c r="FB4">
        <v>648.292236328125</v>
      </c>
      <c r="FC4">
        <v>0.46451286367757799</v>
      </c>
      <c r="FD4">
        <v>0.84713652926885996</v>
      </c>
      <c r="FE4">
        <v>0</v>
      </c>
      <c r="FF4">
        <v>1</v>
      </c>
      <c r="FG4" s="159">
        <v>5.9044536538434499E-13</v>
      </c>
      <c r="FH4">
        <v>0</v>
      </c>
      <c r="FI4">
        <v>5.4512674794765098E-5</v>
      </c>
      <c r="FJ4">
        <v>-6.18884766658305E-3</v>
      </c>
      <c r="FK4" s="159">
        <v>6.57534000000779E-6</v>
      </c>
      <c r="FL4" s="159">
        <v>3.60477437768337E-6</v>
      </c>
      <c r="FM4" s="159">
        <v>4.10959538350461E-6</v>
      </c>
      <c r="FN4">
        <v>0</v>
      </c>
      <c r="FO4">
        <v>0</v>
      </c>
      <c r="FP4">
        <v>0</v>
      </c>
      <c r="FQ4">
        <v>0</v>
      </c>
      <c r="FR4">
        <v>0</v>
      </c>
      <c r="FS4">
        <v>0</v>
      </c>
      <c r="FT4">
        <v>0</v>
      </c>
      <c r="FU4">
        <v>0</v>
      </c>
      <c r="FV4">
        <v>-999</v>
      </c>
      <c r="FW4">
        <v>0.457440920633986</v>
      </c>
      <c r="FX4">
        <v>3.0984004183103099E-3</v>
      </c>
      <c r="FY4">
        <v>1.1198591140230501</v>
      </c>
      <c r="FZ4">
        <v>9.8922010023670703E-4</v>
      </c>
      <c r="GA4">
        <v>44.246056927865602</v>
      </c>
      <c r="GB4">
        <v>1.06821354392396E-2</v>
      </c>
      <c r="GC4">
        <v>2.8870636322269301E-3</v>
      </c>
      <c r="GD4">
        <v>0</v>
      </c>
      <c r="GE4">
        <v>6.9746841507739403E-3</v>
      </c>
      <c r="GF4">
        <v>0.57988858574823499</v>
      </c>
      <c r="GG4">
        <v>5.6099200731627005E-4</v>
      </c>
      <c r="GH4">
        <v>9.5269091728445495E-3</v>
      </c>
      <c r="GI4">
        <v>1.8765267632000902E-2</v>
      </c>
      <c r="GJ4">
        <v>9.3011013532943597E-4</v>
      </c>
      <c r="GK4">
        <v>1.78966541104111E-3</v>
      </c>
      <c r="GL4">
        <v>0.366047380005464</v>
      </c>
      <c r="GM4">
        <v>6.1030938936456397E-3</v>
      </c>
      <c r="GN4">
        <v>5.1029507208395601E-4</v>
      </c>
      <c r="GO4">
        <v>0</v>
      </c>
      <c r="GP4">
        <v>0</v>
      </c>
      <c r="GQ4">
        <v>0</v>
      </c>
      <c r="GR4">
        <v>5.78780038985965E-2</v>
      </c>
      <c r="GS4">
        <v>1.0747168291228E-3</v>
      </c>
      <c r="GT4">
        <v>1.20560566442917E-4</v>
      </c>
      <c r="GU4">
        <v>3.6793407932144702E-2</v>
      </c>
      <c r="GV4">
        <v>6.8320418884410298E-4</v>
      </c>
      <c r="GW4">
        <v>7.6641103750509201E-5</v>
      </c>
      <c r="GX4">
        <v>0.111660062350686</v>
      </c>
      <c r="GY4">
        <v>0.122398615457864</v>
      </c>
      <c r="GZ4">
        <v>59.060540919439902</v>
      </c>
      <c r="HA4">
        <v>671.98477435182895</v>
      </c>
      <c r="HB4">
        <v>0</v>
      </c>
      <c r="HC4">
        <v>0.99981312076016005</v>
      </c>
      <c r="HD4">
        <v>0.38890125118386099</v>
      </c>
      <c r="HE4">
        <v>1.00738010793292E-2</v>
      </c>
      <c r="HF4">
        <v>8.7508194402340295E-4</v>
      </c>
      <c r="HG4">
        <v>1.16307950194494E-2</v>
      </c>
      <c r="HH4" s="159">
        <v>4.7618733383653899E-7</v>
      </c>
      <c r="HI4" s="159">
        <v>3.3333254168789699E-7</v>
      </c>
      <c r="HJ4">
        <v>0</v>
      </c>
      <c r="HK4">
        <v>0</v>
      </c>
      <c r="HL4">
        <v>0</v>
      </c>
      <c r="HM4">
        <v>0</v>
      </c>
      <c r="HN4">
        <v>0</v>
      </c>
      <c r="HO4">
        <v>1.0283503508901899E-2</v>
      </c>
      <c r="HP4">
        <v>0.511299866641726</v>
      </c>
      <c r="HQ4">
        <v>1.00738010793292E-2</v>
      </c>
      <c r="HR4">
        <v>8.7508194402340295E-4</v>
      </c>
      <c r="HS4">
        <v>0.73868797485118598</v>
      </c>
      <c r="HT4">
        <v>-999</v>
      </c>
      <c r="HU4">
        <v>1</v>
      </c>
      <c r="HV4">
        <v>0.75529441143596199</v>
      </c>
      <c r="HW4">
        <v>0.24470558856403701</v>
      </c>
      <c r="HX4">
        <v>12486.694619484901</v>
      </c>
      <c r="HY4">
        <v>401.49119990878</v>
      </c>
      <c r="HZ4">
        <v>40.280718855196397</v>
      </c>
      <c r="IA4">
        <v>-0.122398615457864</v>
      </c>
      <c r="IB4">
        <v>0</v>
      </c>
      <c r="IC4">
        <v>0</v>
      </c>
      <c r="ID4">
        <v>0</v>
      </c>
      <c r="IE4">
        <v>0</v>
      </c>
      <c r="IF4">
        <v>0</v>
      </c>
      <c r="IG4">
        <v>0</v>
      </c>
      <c r="IH4">
        <v>0</v>
      </c>
      <c r="II4">
        <v>46.337800049999601</v>
      </c>
      <c r="IJ4">
        <v>463.37800049999902</v>
      </c>
      <c r="IK4">
        <v>9.6191958977954999E-3</v>
      </c>
      <c r="IL4">
        <v>2.0642263562691099E-3</v>
      </c>
      <c r="IM4">
        <v>1.16834222540646E-2</v>
      </c>
      <c r="IN4">
        <v>1.2956979817565E-3</v>
      </c>
      <c r="IO4">
        <v>0.41967026597817098</v>
      </c>
      <c r="IP4">
        <v>1.7662181692930799E-2</v>
      </c>
      <c r="IQ4">
        <v>2.0160955454011399E-3</v>
      </c>
      <c r="IR4">
        <v>0.305810464452824</v>
      </c>
      <c r="IS4">
        <v>0.26135422956238602</v>
      </c>
      <c r="IT4">
        <v>0.22896166301623899</v>
      </c>
      <c r="IU4">
        <v>0.29133070702234598</v>
      </c>
      <c r="IV4">
        <v>1.3046095804183901E-2</v>
      </c>
      <c r="IW4">
        <v>1.5544869565264599E-3</v>
      </c>
      <c r="IX4">
        <v>7.5614791881590301E-2</v>
      </c>
      <c r="IY4">
        <v>2.7196943532062298E-3</v>
      </c>
      <c r="IZ4">
        <v>2.71969435320622E-4</v>
      </c>
      <c r="JA4">
        <v>7.5135195846367103E-2</v>
      </c>
      <c r="JB4">
        <v>2.7024443602305299E-3</v>
      </c>
      <c r="JC4">
        <v>2.7024443602305099E-4</v>
      </c>
      <c r="JD4">
        <v>1.61673530628172E-4</v>
      </c>
      <c r="JE4">
        <v>3.0506378314073498E-3</v>
      </c>
      <c r="JF4" s="159">
        <v>1.28749007982653E-18</v>
      </c>
      <c r="JG4">
        <v>0</v>
      </c>
      <c r="JH4">
        <v>4.0651179103498997E-3</v>
      </c>
      <c r="JI4">
        <v>5.2903341079301401E-4</v>
      </c>
      <c r="JJ4">
        <v>-0.48886451832657801</v>
      </c>
      <c r="JK4">
        <v>1.61673530628172E-4</v>
      </c>
      <c r="JL4" s="159">
        <v>6.5753399999999896E-6</v>
      </c>
      <c r="JM4">
        <v>-0.48886451832657801</v>
      </c>
      <c r="JN4">
        <v>0</v>
      </c>
      <c r="JO4">
        <v>1.64204092803577</v>
      </c>
      <c r="JP4">
        <v>-5.6954330972336104E-4</v>
      </c>
      <c r="JQ4" s="159">
        <v>-4.9892984453295898E-6</v>
      </c>
      <c r="JR4">
        <v>5.7101222700481402E-2</v>
      </c>
      <c r="JS4">
        <v>1450.94933622741</v>
      </c>
      <c r="JT4">
        <v>5.3729773555621002E-2</v>
      </c>
      <c r="JU4">
        <v>0</v>
      </c>
      <c r="JV4">
        <v>365</v>
      </c>
      <c r="JW4">
        <v>0</v>
      </c>
      <c r="JX4">
        <v>-0.40268092994350901</v>
      </c>
      <c r="JY4">
        <v>0</v>
      </c>
      <c r="JZ4">
        <v>1.2964508006619899</v>
      </c>
      <c r="KA4">
        <v>1.3954012536050699</v>
      </c>
      <c r="KB4">
        <v>1.3947371812432099</v>
      </c>
      <c r="KC4">
        <v>0</v>
      </c>
      <c r="KD4">
        <v>0</v>
      </c>
      <c r="KE4">
        <v>0</v>
      </c>
      <c r="KF4">
        <v>3.4262182388305998E-3</v>
      </c>
      <c r="KG4">
        <v>2.12573471788421E-2</v>
      </c>
      <c r="KH4">
        <v>4.1345796958391898E-2</v>
      </c>
      <c r="KI4">
        <v>0</v>
      </c>
      <c r="KJ4">
        <v>0</v>
      </c>
      <c r="KK4">
        <v>0</v>
      </c>
      <c r="KL4">
        <v>0</v>
      </c>
      <c r="KM4">
        <v>0</v>
      </c>
      <c r="KN4">
        <v>0</v>
      </c>
      <c r="KO4">
        <v>0</v>
      </c>
      <c r="KP4">
        <v>0</v>
      </c>
      <c r="KQ4">
        <v>0</v>
      </c>
      <c r="KR4">
        <v>0</v>
      </c>
      <c r="KS4">
        <v>0</v>
      </c>
      <c r="KT4">
        <v>0</v>
      </c>
      <c r="KU4">
        <v>0.34999999999999898</v>
      </c>
      <c r="KV4">
        <v>-0.121088395099062</v>
      </c>
      <c r="KW4">
        <v>1.9171271443932699E-3</v>
      </c>
      <c r="KX4">
        <v>30312.1219105196</v>
      </c>
      <c r="KY4">
        <v>0</v>
      </c>
      <c r="KZ4">
        <v>0.21000121592903601</v>
      </c>
      <c r="LA4">
        <v>1.73602675993533E-5</v>
      </c>
      <c r="LB4">
        <v>0</v>
      </c>
      <c r="LC4">
        <v>-12.1806623173538</v>
      </c>
      <c r="LD4">
        <v>1.5690829792526999E-2</v>
      </c>
      <c r="LE4">
        <v>3.3875752759689498E-3</v>
      </c>
      <c r="LF4">
        <v>1.5690829792526999E-2</v>
      </c>
      <c r="LG4">
        <v>0.93182359291730199</v>
      </c>
      <c r="LH4">
        <v>1.2168449919514699</v>
      </c>
      <c r="LI4">
        <v>0</v>
      </c>
      <c r="LJ4">
        <v>0</v>
      </c>
      <c r="LK4">
        <v>0.23802814792145099</v>
      </c>
      <c r="LL4">
        <v>0</v>
      </c>
      <c r="LM4">
        <v>0</v>
      </c>
      <c r="LN4">
        <v>0</v>
      </c>
      <c r="LO4">
        <v>0</v>
      </c>
      <c r="LP4">
        <v>0</v>
      </c>
      <c r="LQ4">
        <v>0</v>
      </c>
      <c r="LR4">
        <v>0</v>
      </c>
      <c r="LS4">
        <v>0</v>
      </c>
      <c r="LT4">
        <v>-999</v>
      </c>
      <c r="LU4">
        <v>0.425475148088439</v>
      </c>
      <c r="LV4">
        <v>3</v>
      </c>
      <c r="LW4">
        <v>7.9199999999999902</v>
      </c>
      <c r="LX4">
        <v>7.3999999999999899E-2</v>
      </c>
      <c r="LY4">
        <v>0</v>
      </c>
      <c r="LZ4">
        <v>-999</v>
      </c>
      <c r="MA4">
        <v>0</v>
      </c>
      <c r="MB4">
        <v>0</v>
      </c>
      <c r="MC4">
        <v>407.92</v>
      </c>
      <c r="MD4">
        <v>-23.6999999999999</v>
      </c>
      <c r="ME4">
        <v>-33.6</v>
      </c>
      <c r="MF4">
        <v>0</v>
      </c>
      <c r="MG4">
        <v>8.0706896550000007</v>
      </c>
      <c r="MH4">
        <v>0</v>
      </c>
      <c r="MI4">
        <v>0</v>
      </c>
      <c r="MJ4">
        <v>0</v>
      </c>
      <c r="MK4">
        <v>0</v>
      </c>
      <c r="ML4">
        <v>0</v>
      </c>
      <c r="MM4">
        <v>0</v>
      </c>
      <c r="MN4">
        <v>0</v>
      </c>
      <c r="MO4">
        <v>0</v>
      </c>
      <c r="MP4">
        <v>0</v>
      </c>
      <c r="MQ4">
        <v>0</v>
      </c>
      <c r="MR4">
        <v>0</v>
      </c>
      <c r="MS4">
        <v>0</v>
      </c>
      <c r="MT4">
        <v>0</v>
      </c>
      <c r="MU4">
        <v>0</v>
      </c>
      <c r="MV4">
        <v>0</v>
      </c>
    </row>
    <row r="5" spans="1:360" x14ac:dyDescent="0.25">
      <c r="A5">
        <v>1460</v>
      </c>
      <c r="B5">
        <v>0</v>
      </c>
      <c r="C5">
        <v>-33.6</v>
      </c>
      <c r="D5">
        <v>-23.6999999999999</v>
      </c>
      <c r="E5">
        <v>400</v>
      </c>
      <c r="F5">
        <v>0</v>
      </c>
      <c r="G5">
        <v>0</v>
      </c>
      <c r="H5">
        <v>0</v>
      </c>
      <c r="I5">
        <v>0</v>
      </c>
      <c r="J5">
        <v>0</v>
      </c>
      <c r="K5">
        <v>0</v>
      </c>
      <c r="L5" s="159">
        <v>6.5753399999999896E-6</v>
      </c>
      <c r="M5">
        <v>0</v>
      </c>
      <c r="N5">
        <v>0</v>
      </c>
      <c r="O5">
        <v>0</v>
      </c>
      <c r="P5">
        <v>0</v>
      </c>
      <c r="Q5">
        <v>0</v>
      </c>
      <c r="R5">
        <v>0</v>
      </c>
      <c r="S5">
        <v>0</v>
      </c>
      <c r="T5">
        <v>0</v>
      </c>
      <c r="U5">
        <v>649.08833457563605</v>
      </c>
      <c r="V5">
        <v>12.9979730161661</v>
      </c>
      <c r="W5">
        <v>1.2681047328191799</v>
      </c>
      <c r="X5">
        <v>0.40780934318482398</v>
      </c>
      <c r="Y5">
        <v>0.294837447039145</v>
      </c>
      <c r="Z5">
        <v>0.29735320977603003</v>
      </c>
      <c r="AA5">
        <v>0.113305920768336</v>
      </c>
      <c r="AB5">
        <v>0.48357461390644302</v>
      </c>
      <c r="AC5">
        <v>0.40311946532522003</v>
      </c>
      <c r="AD5">
        <v>0.88407243227415799</v>
      </c>
      <c r="AE5">
        <v>4.6153709806724702E-2</v>
      </c>
      <c r="AF5">
        <v>6.9773857919116999E-2</v>
      </c>
      <c r="AG5">
        <v>0</v>
      </c>
      <c r="AH5">
        <v>3387.2112607028398</v>
      </c>
      <c r="AI5">
        <v>80.9644832742067</v>
      </c>
      <c r="AJ5">
        <v>8.1411222272380304</v>
      </c>
      <c r="AK5">
        <v>390.10041070917998</v>
      </c>
      <c r="AL5">
        <v>7.2436409032246996</v>
      </c>
      <c r="AM5">
        <v>0.81258376786995701</v>
      </c>
      <c r="AN5">
        <v>8709.5246889638893</v>
      </c>
      <c r="AO5">
        <v>313.262055297046</v>
      </c>
      <c r="AP5">
        <v>31.326205529704399</v>
      </c>
      <c r="AQ5">
        <v>2.8331169888038001E-2</v>
      </c>
      <c r="AR5">
        <v>5.7241186900902899E-3</v>
      </c>
      <c r="AS5">
        <v>2.9667388352350801E-2</v>
      </c>
      <c r="AT5">
        <v>9.48</v>
      </c>
      <c r="AU5">
        <v>5.9999764610715003</v>
      </c>
      <c r="AV5">
        <v>0</v>
      </c>
      <c r="AW5">
        <v>83.360920162261905</v>
      </c>
      <c r="AX5">
        <v>65.878941094375193</v>
      </c>
      <c r="AY5">
        <v>361.66051205036598</v>
      </c>
      <c r="AZ5">
        <v>0.54833294000258304</v>
      </c>
      <c r="BA5">
        <v>0.80327688995663404</v>
      </c>
      <c r="BB5">
        <v>1.35887635523642E-2</v>
      </c>
      <c r="BC5">
        <v>1.1335320262730699E-3</v>
      </c>
      <c r="BD5">
        <v>0.58495622429276495</v>
      </c>
      <c r="BE5">
        <v>9.0444126587633303E-3</v>
      </c>
      <c r="BF5">
        <v>7.53253316648796E-4</v>
      </c>
      <c r="BG5">
        <v>766.29999847710098</v>
      </c>
      <c r="BH5">
        <v>-1626.59999865293</v>
      </c>
      <c r="BI5">
        <v>411.95702686480001</v>
      </c>
      <c r="BJ5">
        <v>206.707286244183</v>
      </c>
      <c r="BK5">
        <v>4.0566578929905104</v>
      </c>
      <c r="BL5">
        <v>4.4637494076881001</v>
      </c>
      <c r="BM5">
        <v>188.1757737184</v>
      </c>
      <c r="BN5">
        <v>20.968691851053801</v>
      </c>
      <c r="BO5">
        <v>209.14446556945401</v>
      </c>
      <c r="BP5">
        <v>3.3537603526327802</v>
      </c>
      <c r="BQ5">
        <v>0.28277340689432301</v>
      </c>
      <c r="BR5">
        <v>202.65062835119301</v>
      </c>
      <c r="BS5">
        <v>2.1396143915196499</v>
      </c>
      <c r="BT5">
        <v>0.28358073727831001</v>
      </c>
      <c r="BU5">
        <v>3.3738414539621902</v>
      </c>
      <c r="BV5">
        <v>1.6103409888656299</v>
      </c>
      <c r="BW5">
        <v>0.55708170626192999</v>
      </c>
      <c r="BX5">
        <v>1.20641875883462</v>
      </c>
      <c r="BY5">
        <v>0</v>
      </c>
      <c r="BZ5">
        <v>2.9643998961716198</v>
      </c>
      <c r="CA5">
        <v>0.38936045646114997</v>
      </c>
      <c r="CB5">
        <v>0.28384928636762402</v>
      </c>
      <c r="CC5">
        <v>0.23909537384468399</v>
      </c>
      <c r="CD5">
        <v>4.3678033049638999E-2</v>
      </c>
      <c r="CE5">
        <v>20.905131546205901</v>
      </c>
      <c r="CF5">
        <v>159.98277640629601</v>
      </c>
      <c r="CG5">
        <v>42.653882503777702</v>
      </c>
      <c r="CH5">
        <v>0.38818022693208998</v>
      </c>
      <c r="CI5">
        <v>6.92113322830639</v>
      </c>
      <c r="CJ5">
        <v>1.67046902762253</v>
      </c>
      <c r="CK5">
        <v>9.1965497772455507</v>
      </c>
      <c r="CL5">
        <v>1.53416442075919</v>
      </c>
      <c r="CM5">
        <v>9.0797501536276304E-2</v>
      </c>
      <c r="CN5">
        <v>4.3545636183134097E-2</v>
      </c>
      <c r="CO5">
        <v>0.85495349850895697</v>
      </c>
      <c r="CP5">
        <v>0.98506754876696501</v>
      </c>
      <c r="CQ5">
        <v>0.15341644207591801</v>
      </c>
      <c r="CR5">
        <v>42.667851944896199</v>
      </c>
      <c r="CS5">
        <v>1.5346668702030299</v>
      </c>
      <c r="CT5">
        <v>0.153466687020302</v>
      </c>
      <c r="CU5">
        <v>1.46999999999998E-2</v>
      </c>
      <c r="CV5">
        <v>1.8305278532233099E-3</v>
      </c>
      <c r="CW5">
        <v>2.2126391112410899</v>
      </c>
      <c r="CX5">
        <v>2.02999999999997E-2</v>
      </c>
      <c r="CY5">
        <v>5.3959805248791504E-3</v>
      </c>
      <c r="CZ5">
        <v>0</v>
      </c>
      <c r="DA5">
        <v>2.39999910000286E-3</v>
      </c>
      <c r="DB5">
        <v>1.4999965545508501E-3</v>
      </c>
      <c r="DC5">
        <v>1.9999999999999701E-3</v>
      </c>
      <c r="DD5">
        <v>4.3911894198955196E-3</v>
      </c>
      <c r="DE5">
        <v>1.48343647927455E-3</v>
      </c>
      <c r="DF5">
        <v>2.3999991000000099E-3</v>
      </c>
      <c r="DG5">
        <v>0</v>
      </c>
      <c r="DH5">
        <v>0</v>
      </c>
      <c r="DI5">
        <v>0.23180769399999601</v>
      </c>
      <c r="DJ5">
        <v>1.8846155199999701E-2</v>
      </c>
      <c r="DK5">
        <v>2.1201546136032499</v>
      </c>
      <c r="DL5">
        <v>0.138391293316139</v>
      </c>
      <c r="DM5">
        <v>96.769046421588499</v>
      </c>
      <c r="DN5">
        <v>198.16803568416</v>
      </c>
      <c r="DO5">
        <v>327.66000000000003</v>
      </c>
      <c r="DP5">
        <v>32.656090925818198</v>
      </c>
      <c r="DQ5">
        <v>157.94999999999899</v>
      </c>
      <c r="DR5">
        <v>169.71</v>
      </c>
      <c r="DS5">
        <v>154.41862284984001</v>
      </c>
      <c r="DT5">
        <v>0</v>
      </c>
      <c r="DU5">
        <v>0</v>
      </c>
      <c r="DV5">
        <v>0</v>
      </c>
      <c r="DW5">
        <v>0</v>
      </c>
      <c r="DX5">
        <v>0</v>
      </c>
      <c r="DY5">
        <v>0</v>
      </c>
      <c r="DZ5">
        <v>0</v>
      </c>
      <c r="EA5">
        <v>0</v>
      </c>
      <c r="EB5">
        <v>0</v>
      </c>
      <c r="EC5">
        <v>0</v>
      </c>
      <c r="ED5">
        <v>0</v>
      </c>
      <c r="EE5">
        <v>0</v>
      </c>
      <c r="EF5">
        <v>1.3595002741533599</v>
      </c>
      <c r="EG5">
        <v>0</v>
      </c>
      <c r="EH5">
        <v>0</v>
      </c>
      <c r="EI5">
        <v>0</v>
      </c>
      <c r="EJ5">
        <v>0</v>
      </c>
      <c r="EK5">
        <v>0</v>
      </c>
      <c r="EL5">
        <v>0</v>
      </c>
      <c r="EM5">
        <v>0</v>
      </c>
      <c r="EN5">
        <v>0</v>
      </c>
      <c r="EO5">
        <v>0</v>
      </c>
      <c r="EP5">
        <v>0</v>
      </c>
      <c r="EQ5">
        <v>0</v>
      </c>
      <c r="ER5">
        <v>0</v>
      </c>
      <c r="ES5">
        <v>0</v>
      </c>
      <c r="ET5">
        <v>0</v>
      </c>
      <c r="EU5">
        <v>0</v>
      </c>
      <c r="EV5">
        <v>763.63522770984798</v>
      </c>
      <c r="EW5">
        <v>-28.649999999999899</v>
      </c>
      <c r="EX5">
        <v>1366.5017570013299</v>
      </c>
      <c r="EY5">
        <v>804.00210685967897</v>
      </c>
      <c r="EZ5">
        <v>107.31146167840799</v>
      </c>
      <c r="FA5">
        <v>608.29717314203197</v>
      </c>
      <c r="FB5">
        <v>650.89312744140602</v>
      </c>
      <c r="FC5">
        <v>0.46283433421897302</v>
      </c>
      <c r="FD5">
        <v>0.84407537912421104</v>
      </c>
      <c r="FE5">
        <v>0</v>
      </c>
      <c r="FF5">
        <v>1</v>
      </c>
      <c r="FG5" s="159">
        <v>5.9049611927314705E-13</v>
      </c>
      <c r="FH5">
        <v>0</v>
      </c>
      <c r="FI5">
        <v>5.4512674794765098E-5</v>
      </c>
      <c r="FJ5">
        <v>-6.1566019732245203E-3</v>
      </c>
      <c r="FK5" s="159">
        <v>6.57534000000779E-6</v>
      </c>
      <c r="FL5" s="159">
        <v>3.5752499291610801E-6</v>
      </c>
      <c r="FM5" s="159">
        <v>4.1095840409565799E-6</v>
      </c>
      <c r="FN5">
        <v>0</v>
      </c>
      <c r="FO5">
        <v>0</v>
      </c>
      <c r="FP5">
        <v>0</v>
      </c>
      <c r="FQ5">
        <v>0</v>
      </c>
      <c r="FR5">
        <v>0</v>
      </c>
      <c r="FS5">
        <v>0</v>
      </c>
      <c r="FT5">
        <v>0</v>
      </c>
      <c r="FU5">
        <v>0</v>
      </c>
      <c r="FV5">
        <v>-999</v>
      </c>
      <c r="FW5">
        <v>0.45699649912839302</v>
      </c>
      <c r="FX5">
        <v>3.1033950150554501E-3</v>
      </c>
      <c r="FY5">
        <v>1.11821269178765</v>
      </c>
      <c r="FZ5">
        <v>9.88519277932501E-4</v>
      </c>
      <c r="GA5">
        <v>44.2059009779924</v>
      </c>
      <c r="GB5">
        <v>1.07274967830292E-2</v>
      </c>
      <c r="GC5">
        <v>2.8993234548727702E-3</v>
      </c>
      <c r="GD5">
        <v>0</v>
      </c>
      <c r="GE5">
        <v>6.9912377478607299E-3</v>
      </c>
      <c r="GF5">
        <v>0.57513908164484995</v>
      </c>
      <c r="GG5">
        <v>5.6124240644219001E-4</v>
      </c>
      <c r="GH5">
        <v>9.5118597173918101E-3</v>
      </c>
      <c r="GI5">
        <v>1.8757254691039001E-2</v>
      </c>
      <c r="GJ5">
        <v>9.2799348871817195E-4</v>
      </c>
      <c r="GK5">
        <v>1.7890682270135299E-3</v>
      </c>
      <c r="GL5">
        <v>0.36713877494439201</v>
      </c>
      <c r="GM5">
        <v>6.1143490717794E-3</v>
      </c>
      <c r="GN5">
        <v>5.10873188420698E-4</v>
      </c>
      <c r="GO5">
        <v>0</v>
      </c>
      <c r="GP5">
        <v>0</v>
      </c>
      <c r="GQ5">
        <v>0</v>
      </c>
      <c r="GR5">
        <v>5.7993988401428699E-2</v>
      </c>
      <c r="GS5">
        <v>1.0768705056270801E-3</v>
      </c>
      <c r="GT5">
        <v>1.2080216353366199E-4</v>
      </c>
      <c r="GU5">
        <v>3.6799747188823097E-2</v>
      </c>
      <c r="GV5">
        <v>6.83321900329941E-4</v>
      </c>
      <c r="GW5">
        <v>7.6654308497122706E-5</v>
      </c>
      <c r="GX5">
        <v>0.111887116242438</v>
      </c>
      <c r="GY5">
        <v>0.122660977090715</v>
      </c>
      <c r="GZ5">
        <v>59.118312098480601</v>
      </c>
      <c r="HA5">
        <v>673.02414449208595</v>
      </c>
      <c r="HB5">
        <v>0</v>
      </c>
      <c r="HC5">
        <v>0.99981313167835795</v>
      </c>
      <c r="HD5">
        <v>0.389706897139868</v>
      </c>
      <c r="HE5">
        <v>1.00984441784625E-2</v>
      </c>
      <c r="HF5">
        <v>8.7707133623858298E-4</v>
      </c>
      <c r="HG5">
        <v>1.16412291752676E-2</v>
      </c>
      <c r="HH5" s="159">
        <v>4.7618733493118699E-7</v>
      </c>
      <c r="HI5" s="159">
        <v>3.3333254238881802E-7</v>
      </c>
      <c r="HJ5">
        <v>0</v>
      </c>
      <c r="HK5">
        <v>0</v>
      </c>
      <c r="HL5">
        <v>0</v>
      </c>
      <c r="HM5">
        <v>0</v>
      </c>
      <c r="HN5">
        <v>0</v>
      </c>
      <c r="HO5">
        <v>1.0291735027349201E-2</v>
      </c>
      <c r="HP5">
        <v>0.51236787423058305</v>
      </c>
      <c r="HQ5">
        <v>1.00984441784625E-2</v>
      </c>
      <c r="HR5">
        <v>8.7707133623858298E-4</v>
      </c>
      <c r="HS5">
        <v>0.73914562653286997</v>
      </c>
      <c r="HT5">
        <v>-999</v>
      </c>
      <c r="HU5">
        <v>1</v>
      </c>
      <c r="HV5">
        <v>0.756586541194471</v>
      </c>
      <c r="HW5">
        <v>0.243413458805528</v>
      </c>
      <c r="HX5">
        <v>12486.836360375901</v>
      </c>
      <c r="HY5">
        <v>401.47017947447802</v>
      </c>
      <c r="HZ5">
        <v>40.279911524812398</v>
      </c>
      <c r="IA5">
        <v>-0.122660977090715</v>
      </c>
      <c r="IB5">
        <v>0</v>
      </c>
      <c r="IC5">
        <v>0</v>
      </c>
      <c r="ID5">
        <v>0</v>
      </c>
      <c r="IE5">
        <v>0</v>
      </c>
      <c r="IF5">
        <v>0</v>
      </c>
      <c r="IG5">
        <v>0</v>
      </c>
      <c r="IH5">
        <v>0</v>
      </c>
      <c r="II5">
        <v>46.337800049999601</v>
      </c>
      <c r="IJ5">
        <v>463.37800049999902</v>
      </c>
      <c r="IK5">
        <v>9.6131233038932295E-3</v>
      </c>
      <c r="IL5">
        <v>2.06194174894812E-3</v>
      </c>
      <c r="IM5">
        <v>1.1675065052841299E-2</v>
      </c>
      <c r="IN5">
        <v>1.28560476100019E-3</v>
      </c>
      <c r="IO5">
        <v>0.41968560000887101</v>
      </c>
      <c r="IP5">
        <v>1.7652468502631299E-2</v>
      </c>
      <c r="IQ5">
        <v>2.0059303461066199E-3</v>
      </c>
      <c r="IR5">
        <v>0.30540670092546002</v>
      </c>
      <c r="IS5">
        <v>0.26116232306370801</v>
      </c>
      <c r="IT5">
        <v>0.22982650872718999</v>
      </c>
      <c r="IU5">
        <v>0.29151080548423902</v>
      </c>
      <c r="IV5">
        <v>1.30423088206751E-2</v>
      </c>
      <c r="IW5">
        <v>1.5449143779110101E-3</v>
      </c>
      <c r="IX5">
        <v>7.5589036187643899E-2</v>
      </c>
      <c r="IY5">
        <v>2.7187679787013799E-3</v>
      </c>
      <c r="IZ5">
        <v>2.7187679787013601E-4</v>
      </c>
      <c r="JA5">
        <v>7.51357764964279E-2</v>
      </c>
      <c r="JB5">
        <v>2.7024652449100001E-3</v>
      </c>
      <c r="JC5">
        <v>2.7024652449099802E-4</v>
      </c>
      <c r="JD5">
        <v>1.6182181314240701E-4</v>
      </c>
      <c r="JE5">
        <v>3.0477216839512101E-3</v>
      </c>
      <c r="JF5" s="159">
        <v>-4.0657581468206398E-20</v>
      </c>
      <c r="JG5">
        <v>0</v>
      </c>
      <c r="JH5">
        <v>4.0697090127438402E-3</v>
      </c>
      <c r="JI5">
        <v>5.2955614140181304E-4</v>
      </c>
      <c r="JJ5">
        <v>-0.48930755907138301</v>
      </c>
      <c r="JK5">
        <v>1.6182181314240701E-4</v>
      </c>
      <c r="JL5" s="159">
        <v>6.5753399999999896E-6</v>
      </c>
      <c r="JM5">
        <v>-0.48930755907138301</v>
      </c>
      <c r="JN5">
        <v>0</v>
      </c>
      <c r="JO5">
        <v>2.1683109733872299</v>
      </c>
      <c r="JP5">
        <v>-9.7414495796593599E-4</v>
      </c>
      <c r="JQ5" s="159">
        <v>8.8096801044612699E-6</v>
      </c>
      <c r="JR5">
        <v>6.6826968432479802E-2</v>
      </c>
      <c r="JS5">
        <v>1454.8952290315899</v>
      </c>
      <c r="JT5">
        <v>5.3535619604751603E-2</v>
      </c>
      <c r="JU5">
        <v>0</v>
      </c>
      <c r="JV5">
        <v>365</v>
      </c>
      <c r="JW5">
        <v>0</v>
      </c>
      <c r="JX5">
        <v>-0.40268092994350901</v>
      </c>
      <c r="JY5">
        <v>0</v>
      </c>
      <c r="JZ5">
        <v>1.2953454835939999</v>
      </c>
      <c r="KA5">
        <v>1.39313680497936</v>
      </c>
      <c r="KB5">
        <v>1.3949322224667</v>
      </c>
      <c r="KC5">
        <v>0</v>
      </c>
      <c r="KD5">
        <v>0</v>
      </c>
      <c r="KE5">
        <v>0</v>
      </c>
      <c r="KF5">
        <v>3.43227029043352E-3</v>
      </c>
      <c r="KG5">
        <v>2.12832233140243E-2</v>
      </c>
      <c r="KH5">
        <v>4.1418377650927797E-2</v>
      </c>
      <c r="KI5">
        <v>0</v>
      </c>
      <c r="KJ5">
        <v>0</v>
      </c>
      <c r="KK5">
        <v>0</v>
      </c>
      <c r="KL5">
        <v>0</v>
      </c>
      <c r="KM5">
        <v>0</v>
      </c>
      <c r="KN5">
        <v>0</v>
      </c>
      <c r="KO5">
        <v>0</v>
      </c>
      <c r="KP5">
        <v>0</v>
      </c>
      <c r="KQ5">
        <v>0</v>
      </c>
      <c r="KR5">
        <v>0</v>
      </c>
      <c r="KS5">
        <v>0</v>
      </c>
      <c r="KT5">
        <v>0</v>
      </c>
      <c r="KU5">
        <v>0.34999999999999898</v>
      </c>
      <c r="KV5">
        <v>-0.120879001582433</v>
      </c>
      <c r="KW5">
        <v>1.9138865241749999E-3</v>
      </c>
      <c r="KX5">
        <v>30414.858657101599</v>
      </c>
      <c r="KY5">
        <v>0</v>
      </c>
      <c r="KZ5">
        <v>0.21000257316493201</v>
      </c>
      <c r="LA5">
        <v>1.73602675993533E-5</v>
      </c>
      <c r="LB5">
        <v>0</v>
      </c>
      <c r="LC5">
        <v>-12.179580712083601</v>
      </c>
      <c r="LD5">
        <v>1.5691596667887098E-2</v>
      </c>
      <c r="LE5">
        <v>3.3882987432897198E-3</v>
      </c>
      <c r="LF5">
        <v>1.5691596667887098E-2</v>
      </c>
      <c r="LG5">
        <v>0.932361671054454</v>
      </c>
      <c r="LH5">
        <v>1.21745644438006</v>
      </c>
      <c r="LI5">
        <v>0</v>
      </c>
      <c r="LJ5">
        <v>0</v>
      </c>
      <c r="LK5">
        <v>0.23817405760646199</v>
      </c>
      <c r="LL5">
        <v>0</v>
      </c>
      <c r="LM5">
        <v>0</v>
      </c>
      <c r="LN5">
        <v>0</v>
      </c>
      <c r="LO5">
        <v>0</v>
      </c>
      <c r="LP5">
        <v>0</v>
      </c>
      <c r="LQ5">
        <v>0</v>
      </c>
      <c r="LR5">
        <v>0</v>
      </c>
      <c r="LS5">
        <v>0</v>
      </c>
      <c r="LT5">
        <v>-999</v>
      </c>
      <c r="LU5">
        <v>0.42547911862652998</v>
      </c>
      <c r="LV5">
        <v>4</v>
      </c>
      <c r="LW5">
        <v>11.8799999999999</v>
      </c>
      <c r="LX5">
        <v>0.110999999999999</v>
      </c>
      <c r="LY5">
        <v>0</v>
      </c>
      <c r="LZ5">
        <v>-999</v>
      </c>
      <c r="MA5">
        <v>0</v>
      </c>
      <c r="MB5">
        <v>0</v>
      </c>
      <c r="MC5">
        <v>411.88</v>
      </c>
      <c r="MD5">
        <v>-23.6999999999999</v>
      </c>
      <c r="ME5">
        <v>-33.6</v>
      </c>
      <c r="MF5">
        <v>0</v>
      </c>
      <c r="MG5">
        <v>8.0706896550000007</v>
      </c>
      <c r="MH5">
        <v>0</v>
      </c>
      <c r="MI5">
        <v>0</v>
      </c>
      <c r="MJ5">
        <v>0</v>
      </c>
      <c r="MK5">
        <v>0</v>
      </c>
      <c r="ML5">
        <v>0</v>
      </c>
      <c r="MM5">
        <v>0</v>
      </c>
      <c r="MN5">
        <v>0</v>
      </c>
      <c r="MO5">
        <v>0</v>
      </c>
      <c r="MP5">
        <v>0</v>
      </c>
      <c r="MQ5">
        <v>0</v>
      </c>
      <c r="MR5">
        <v>0</v>
      </c>
      <c r="MS5">
        <v>0</v>
      </c>
      <c r="MT5">
        <v>0</v>
      </c>
      <c r="MU5">
        <v>0</v>
      </c>
      <c r="MV5">
        <v>0</v>
      </c>
    </row>
    <row r="6" spans="1:360" x14ac:dyDescent="0.25">
      <c r="A6">
        <v>1825</v>
      </c>
      <c r="B6">
        <v>0</v>
      </c>
      <c r="C6">
        <v>-33.6</v>
      </c>
      <c r="D6">
        <v>-23.6999999999999</v>
      </c>
      <c r="E6">
        <v>400</v>
      </c>
      <c r="F6">
        <v>0</v>
      </c>
      <c r="G6">
        <v>0</v>
      </c>
      <c r="H6">
        <v>0</v>
      </c>
      <c r="I6">
        <v>0</v>
      </c>
      <c r="J6">
        <v>0</v>
      </c>
      <c r="K6">
        <v>0</v>
      </c>
      <c r="L6" s="159">
        <v>6.5753399999999896E-6</v>
      </c>
      <c r="M6">
        <v>0</v>
      </c>
      <c r="N6">
        <v>0</v>
      </c>
      <c r="O6">
        <v>0</v>
      </c>
      <c r="P6">
        <v>0</v>
      </c>
      <c r="Q6">
        <v>0</v>
      </c>
      <c r="R6">
        <v>0</v>
      </c>
      <c r="S6">
        <v>0</v>
      </c>
      <c r="T6">
        <v>0</v>
      </c>
      <c r="U6">
        <v>651.42293733238296</v>
      </c>
      <c r="V6">
        <v>13.025495200316801</v>
      </c>
      <c r="W6">
        <v>1.2696128789960199</v>
      </c>
      <c r="X6">
        <v>0.405396198827359</v>
      </c>
      <c r="Y6">
        <v>0.29467383134138098</v>
      </c>
      <c r="Z6">
        <v>0.29992996983125803</v>
      </c>
      <c r="AA6">
        <v>0.113300402547863</v>
      </c>
      <c r="AB6">
        <v>0.483776233833902</v>
      </c>
      <c r="AC6">
        <v>0.402923363618233</v>
      </c>
      <c r="AD6">
        <v>0.88398131850374995</v>
      </c>
      <c r="AE6">
        <v>4.6033227920431199E-2</v>
      </c>
      <c r="AF6">
        <v>6.9985453575818299E-2</v>
      </c>
      <c r="AG6">
        <v>0</v>
      </c>
      <c r="AH6">
        <v>3387.4139568738401</v>
      </c>
      <c r="AI6">
        <v>80.934751057902403</v>
      </c>
      <c r="AJ6">
        <v>8.1398770741476305</v>
      </c>
      <c r="AK6">
        <v>390.205057510215</v>
      </c>
      <c r="AL6">
        <v>7.2455840538279004</v>
      </c>
      <c r="AM6">
        <v>0.81280174839381103</v>
      </c>
      <c r="AN6">
        <v>8709.4948953189796</v>
      </c>
      <c r="AO6">
        <v>313.26098368650798</v>
      </c>
      <c r="AP6">
        <v>31.326098368650602</v>
      </c>
      <c r="AQ6">
        <v>2.8336683458594102E-2</v>
      </c>
      <c r="AR6">
        <v>5.72604936403777E-3</v>
      </c>
      <c r="AS6">
        <v>2.9357673462912601E-2</v>
      </c>
      <c r="AT6">
        <v>9.48</v>
      </c>
      <c r="AU6">
        <v>5.9999458354313697</v>
      </c>
      <c r="AV6">
        <v>0</v>
      </c>
      <c r="AW6">
        <v>83.410918233754302</v>
      </c>
      <c r="AX6">
        <v>65.894685921429797</v>
      </c>
      <c r="AY6">
        <v>361.65504030653</v>
      </c>
      <c r="AZ6">
        <v>0.54833294000258304</v>
      </c>
      <c r="BA6">
        <v>0.80434213401913601</v>
      </c>
      <c r="BB6">
        <v>1.36062948303619E-2</v>
      </c>
      <c r="BC6">
        <v>1.1349099949101E-3</v>
      </c>
      <c r="BD6">
        <v>0.58610046828636697</v>
      </c>
      <c r="BE6">
        <v>9.0683224541077793E-3</v>
      </c>
      <c r="BF6">
        <v>7.5371098617288998E-4</v>
      </c>
      <c r="BG6">
        <v>766.29999847710098</v>
      </c>
      <c r="BH6">
        <v>-1626.59999865293</v>
      </c>
      <c r="BI6">
        <v>412.99215267399802</v>
      </c>
      <c r="BJ6">
        <v>207.29626848400099</v>
      </c>
      <c r="BK6">
        <v>4.5075175193661803</v>
      </c>
      <c r="BL6">
        <v>4.48757973512049</v>
      </c>
      <c r="BM6">
        <v>188.434239889987</v>
      </c>
      <c r="BN6">
        <v>21.015005572388301</v>
      </c>
      <c r="BO6">
        <v>209.44924546237601</v>
      </c>
      <c r="BP6">
        <v>3.3561252201618301</v>
      </c>
      <c r="BQ6">
        <v>0.28283065727249401</v>
      </c>
      <c r="BR6">
        <v>202.788750964635</v>
      </c>
      <c r="BS6">
        <v>2.1430272158244801</v>
      </c>
      <c r="BT6">
        <v>0.283964990892909</v>
      </c>
      <c r="BU6">
        <v>3.38364740431251</v>
      </c>
      <c r="BV6">
        <v>1.61400557474468</v>
      </c>
      <c r="BW6">
        <v>0.55678244169742996</v>
      </c>
      <c r="BX6">
        <v>1.2128593878703999</v>
      </c>
      <c r="BY6">
        <v>0</v>
      </c>
      <c r="BZ6">
        <v>2.9659047800733198</v>
      </c>
      <c r="CA6">
        <v>0.39022044008851597</v>
      </c>
      <c r="CB6">
        <v>0.28433880344933998</v>
      </c>
      <c r="CC6">
        <v>0.239056152193724</v>
      </c>
      <c r="CD6">
        <v>4.3774505078770301E-2</v>
      </c>
      <c r="CE6">
        <v>20.9103587713523</v>
      </c>
      <c r="CF6">
        <v>160.119528569496</v>
      </c>
      <c r="CG6">
        <v>42.639428750218698</v>
      </c>
      <c r="CH6">
        <v>0.38827728948532297</v>
      </c>
      <c r="CI6">
        <v>6.9136039378256502</v>
      </c>
      <c r="CJ6">
        <v>1.6674016078462599</v>
      </c>
      <c r="CK6">
        <v>9.1893165992739991</v>
      </c>
      <c r="CL6">
        <v>1.5336445516838499</v>
      </c>
      <c r="CM6">
        <v>9.0903973079706199E-2</v>
      </c>
      <c r="CN6">
        <v>4.3556524554918298E-2</v>
      </c>
      <c r="CO6">
        <v>0.84727013920457594</v>
      </c>
      <c r="CP6">
        <v>0.97776351387524496</v>
      </c>
      <c r="CQ6">
        <v>0.15336445516838301</v>
      </c>
      <c r="CR6">
        <v>42.669222395139201</v>
      </c>
      <c r="CS6">
        <v>1.5347161622224099</v>
      </c>
      <c r="CT6">
        <v>0.15347161622224001</v>
      </c>
      <c r="CU6">
        <v>1.46999999999998E-2</v>
      </c>
      <c r="CV6">
        <v>1.8331987445028999E-3</v>
      </c>
      <c r="CW6">
        <v>2.2092845366110101</v>
      </c>
      <c r="CX6">
        <v>2.02999999999997E-2</v>
      </c>
      <c r="CY6">
        <v>5.3985563933647398E-3</v>
      </c>
      <c r="CZ6">
        <v>0</v>
      </c>
      <c r="DA6">
        <v>2.3999991000028501E-3</v>
      </c>
      <c r="DB6">
        <v>1.49999080609125E-3</v>
      </c>
      <c r="DC6">
        <v>1.9999999999999801E-3</v>
      </c>
      <c r="DD6">
        <v>4.3665270731309503E-3</v>
      </c>
      <c r="DE6">
        <v>1.46936516597013E-3</v>
      </c>
      <c r="DF6">
        <v>2.3999990999999999E-3</v>
      </c>
      <c r="DG6">
        <v>0</v>
      </c>
      <c r="DH6">
        <v>0</v>
      </c>
      <c r="DI6">
        <v>0.23180769399999701</v>
      </c>
      <c r="DJ6">
        <v>1.8846155199999701E-2</v>
      </c>
      <c r="DK6">
        <v>2.1271731295060898</v>
      </c>
      <c r="DL6">
        <v>0.138849420986037</v>
      </c>
      <c r="DM6">
        <v>96.129020399221403</v>
      </c>
      <c r="DN6">
        <v>198.87050434823399</v>
      </c>
      <c r="DO6">
        <v>327.66000000000003</v>
      </c>
      <c r="DP6">
        <v>32.5947380648687</v>
      </c>
      <c r="DQ6">
        <v>157.94999999999899</v>
      </c>
      <c r="DR6">
        <v>169.71</v>
      </c>
      <c r="DS6">
        <v>154.46100393610499</v>
      </c>
      <c r="DT6">
        <v>0</v>
      </c>
      <c r="DU6">
        <v>0</v>
      </c>
      <c r="DV6">
        <v>0</v>
      </c>
      <c r="DW6">
        <v>0</v>
      </c>
      <c r="DX6">
        <v>0</v>
      </c>
      <c r="DY6">
        <v>0</v>
      </c>
      <c r="DZ6">
        <v>0</v>
      </c>
      <c r="EA6">
        <v>0</v>
      </c>
      <c r="EB6">
        <v>0</v>
      </c>
      <c r="EC6">
        <v>0</v>
      </c>
      <c r="ED6">
        <v>0</v>
      </c>
      <c r="EE6">
        <v>0</v>
      </c>
      <c r="EF6">
        <v>1.35725218998088</v>
      </c>
      <c r="EG6">
        <v>0</v>
      </c>
      <c r="EH6">
        <v>0</v>
      </c>
      <c r="EI6">
        <v>0</v>
      </c>
      <c r="EJ6">
        <v>0</v>
      </c>
      <c r="EK6">
        <v>0</v>
      </c>
      <c r="EL6">
        <v>0</v>
      </c>
      <c r="EM6">
        <v>0</v>
      </c>
      <c r="EN6">
        <v>0</v>
      </c>
      <c r="EO6">
        <v>0</v>
      </c>
      <c r="EP6">
        <v>0</v>
      </c>
      <c r="EQ6">
        <v>0</v>
      </c>
      <c r="ER6">
        <v>0</v>
      </c>
      <c r="ES6">
        <v>0</v>
      </c>
      <c r="ET6">
        <v>0</v>
      </c>
      <c r="EU6">
        <v>0</v>
      </c>
      <c r="EV6">
        <v>766.03212654159699</v>
      </c>
      <c r="EW6">
        <v>-28.649999999999899</v>
      </c>
      <c r="EX6">
        <v>1371.4167101734299</v>
      </c>
      <c r="EY6">
        <v>805.56371756477301</v>
      </c>
      <c r="EZ6">
        <v>106.918777219593</v>
      </c>
      <c r="FA6">
        <v>610.57492623100802</v>
      </c>
      <c r="FB6">
        <v>653.92303466796795</v>
      </c>
      <c r="FC6">
        <v>0.46114068614810799</v>
      </c>
      <c r="FD6">
        <v>0.84098665702252895</v>
      </c>
      <c r="FE6">
        <v>0</v>
      </c>
      <c r="FF6">
        <v>1</v>
      </c>
      <c r="FG6" s="159">
        <v>5.9052149621754797E-13</v>
      </c>
      <c r="FH6">
        <v>0</v>
      </c>
      <c r="FI6">
        <v>5.4512674794765098E-5</v>
      </c>
      <c r="FJ6">
        <v>-6.1252138571932504E-3</v>
      </c>
      <c r="FK6" s="159">
        <v>6.57534000000779E-6</v>
      </c>
      <c r="FL6" s="159">
        <v>3.5376846752428401E-6</v>
      </c>
      <c r="FM6" s="159">
        <v>4.10956306443397E-6</v>
      </c>
      <c r="FN6">
        <v>0</v>
      </c>
      <c r="FO6">
        <v>0</v>
      </c>
      <c r="FP6">
        <v>0</v>
      </c>
      <c r="FQ6">
        <v>0</v>
      </c>
      <c r="FR6">
        <v>0</v>
      </c>
      <c r="FS6">
        <v>0</v>
      </c>
      <c r="FT6">
        <v>0</v>
      </c>
      <c r="FU6">
        <v>0</v>
      </c>
      <c r="FV6">
        <v>-999</v>
      </c>
      <c r="FW6">
        <v>0.45708032282697197</v>
      </c>
      <c r="FX6">
        <v>3.1084702151383901E-3</v>
      </c>
      <c r="FY6">
        <v>1.1184375601274399</v>
      </c>
      <c r="FZ6">
        <v>9.8761624792769809E-4</v>
      </c>
      <c r="GA6">
        <v>44.160536693026998</v>
      </c>
      <c r="GB6">
        <v>1.07652667275811E-2</v>
      </c>
      <c r="GC6">
        <v>2.9095315479949098E-3</v>
      </c>
      <c r="GD6">
        <v>0</v>
      </c>
      <c r="GE6">
        <v>7.0056180110610001E-3</v>
      </c>
      <c r="GF6">
        <v>0.56909607875879298</v>
      </c>
      <c r="GG6">
        <v>5.6138272724414102E-4</v>
      </c>
      <c r="GH6">
        <v>9.4978390621108504E-3</v>
      </c>
      <c r="GI6">
        <v>1.8748836107426399E-2</v>
      </c>
      <c r="GJ6">
        <v>9.2576739774117504E-4</v>
      </c>
      <c r="GK6">
        <v>1.78847042090192E-3</v>
      </c>
      <c r="GL6">
        <v>0.368368521692021</v>
      </c>
      <c r="GM6">
        <v>6.1286860615951001E-3</v>
      </c>
      <c r="GN6">
        <v>5.1158683016047299E-4</v>
      </c>
      <c r="GO6">
        <v>0</v>
      </c>
      <c r="GP6">
        <v>0</v>
      </c>
      <c r="GQ6">
        <v>0</v>
      </c>
      <c r="GR6">
        <v>5.8128812677318599E-2</v>
      </c>
      <c r="GS6">
        <v>1.0793740114239799E-3</v>
      </c>
      <c r="GT6">
        <v>1.2108300409444E-4</v>
      </c>
      <c r="GU6">
        <v>3.6809968842488897E-2</v>
      </c>
      <c r="GV6">
        <v>6.8351170271558498E-4</v>
      </c>
      <c r="GW6">
        <v>7.6675600322564995E-5</v>
      </c>
      <c r="GX6">
        <v>0.112174807313911</v>
      </c>
      <c r="GY6">
        <v>0.12297739607854399</v>
      </c>
      <c r="GZ6">
        <v>59.1695033127966</v>
      </c>
      <c r="HA6">
        <v>674.12307538199605</v>
      </c>
      <c r="HB6">
        <v>0</v>
      </c>
      <c r="HC6">
        <v>0.99981314332151705</v>
      </c>
      <c r="HD6">
        <v>0.39065550113279401</v>
      </c>
      <c r="HE6">
        <v>1.0127287767376101E-2</v>
      </c>
      <c r="HF6">
        <v>8.7936073050249696E-4</v>
      </c>
      <c r="HG6">
        <v>1.1669056675763E-2</v>
      </c>
      <c r="HH6" s="159">
        <v>4.76187342139527E-7</v>
      </c>
      <c r="HI6" s="159">
        <v>3.33332543215192E-7</v>
      </c>
      <c r="HJ6">
        <v>0</v>
      </c>
      <c r="HK6">
        <v>0</v>
      </c>
      <c r="HL6">
        <v>0</v>
      </c>
      <c r="HM6">
        <v>0</v>
      </c>
      <c r="HN6">
        <v>0</v>
      </c>
      <c r="HO6">
        <v>1.03152733548056E-2</v>
      </c>
      <c r="HP6">
        <v>0.51363289721133898</v>
      </c>
      <c r="HQ6">
        <v>1.0127287767376101E-2</v>
      </c>
      <c r="HR6">
        <v>8.7936073050249696E-4</v>
      </c>
      <c r="HS6">
        <v>0.73929506243736098</v>
      </c>
      <c r="HT6">
        <v>-999</v>
      </c>
      <c r="HU6">
        <v>1</v>
      </c>
      <c r="HV6">
        <v>0.75794740120220605</v>
      </c>
      <c r="HW6">
        <v>0.24205259879779301</v>
      </c>
      <c r="HX6">
        <v>12487.113909703001</v>
      </c>
      <c r="HY6">
        <v>401.441318798238</v>
      </c>
      <c r="HZ6">
        <v>40.278777191191999</v>
      </c>
      <c r="IA6">
        <v>-0.12297739607854399</v>
      </c>
      <c r="IB6">
        <v>0</v>
      </c>
      <c r="IC6">
        <v>0</v>
      </c>
      <c r="ID6">
        <v>0</v>
      </c>
      <c r="IE6">
        <v>0</v>
      </c>
      <c r="IF6">
        <v>0</v>
      </c>
      <c r="IG6">
        <v>0</v>
      </c>
      <c r="IH6">
        <v>0</v>
      </c>
      <c r="II6">
        <v>46.337800049999601</v>
      </c>
      <c r="IJ6">
        <v>463.37800049999902</v>
      </c>
      <c r="IK6">
        <v>9.6196453569833296E-3</v>
      </c>
      <c r="IL6">
        <v>2.0633714898387898E-3</v>
      </c>
      <c r="IM6">
        <v>1.1683016846822099E-2</v>
      </c>
      <c r="IN6">
        <v>1.27282967398502E-3</v>
      </c>
      <c r="IO6">
        <v>0.41971470428148899</v>
      </c>
      <c r="IP6">
        <v>1.7658557268244199E-2</v>
      </c>
      <c r="IQ6">
        <v>1.9930519341801699E-3</v>
      </c>
      <c r="IR6">
        <v>0.304970850330819</v>
      </c>
      <c r="IS6">
        <v>0.26071777158728299</v>
      </c>
      <c r="IT6">
        <v>0.230997477861349</v>
      </c>
      <c r="IU6">
        <v>0.291713954020415</v>
      </c>
      <c r="IV6">
        <v>1.30546575678211E-2</v>
      </c>
      <c r="IW6">
        <v>1.5326619641378601E-3</v>
      </c>
      <c r="IX6">
        <v>7.5554960374427202E-2</v>
      </c>
      <c r="IY6">
        <v>2.71754234818015E-3</v>
      </c>
      <c r="IZ6">
        <v>2.7175423481801299E-4</v>
      </c>
      <c r="JA6">
        <v>7.5136233680877101E-2</v>
      </c>
      <c r="JB6">
        <v>2.7024816888085298E-3</v>
      </c>
      <c r="JC6">
        <v>2.7024816888085099E-4</v>
      </c>
      <c r="JD6">
        <v>1.6203915376179E-4</v>
      </c>
      <c r="JE6">
        <v>3.0483060555927199E-3</v>
      </c>
      <c r="JF6" s="159">
        <v>-8.1315162936412804E-19</v>
      </c>
      <c r="JG6">
        <v>0</v>
      </c>
      <c r="JH6">
        <v>4.0741224098075702E-3</v>
      </c>
      <c r="JI6">
        <v>5.3008045903369099E-4</v>
      </c>
      <c r="JJ6">
        <v>-0.48982758377983698</v>
      </c>
      <c r="JK6">
        <v>1.6203915376179E-4</v>
      </c>
      <c r="JL6" s="159">
        <v>6.5753399999999896E-6</v>
      </c>
      <c r="JM6">
        <v>-0.48982758377983698</v>
      </c>
      <c r="JN6">
        <v>0</v>
      </c>
      <c r="JO6">
        <v>2.6121520838596899</v>
      </c>
      <c r="JP6">
        <v>-1.33104784419914E-3</v>
      </c>
      <c r="JQ6">
        <v>3.3472026869031801E-5</v>
      </c>
      <c r="JR6">
        <v>6.5737187675701095E-2</v>
      </c>
      <c r="JS6">
        <v>1459.4867242791399</v>
      </c>
      <c r="JT6">
        <v>5.3339716897972303E-2</v>
      </c>
      <c r="JU6">
        <v>0</v>
      </c>
      <c r="JV6">
        <v>365</v>
      </c>
      <c r="JW6">
        <v>0</v>
      </c>
      <c r="JX6">
        <v>-0.40268092994350901</v>
      </c>
      <c r="JY6">
        <v>0</v>
      </c>
      <c r="JZ6">
        <v>1.2946845896480299</v>
      </c>
      <c r="KA6">
        <v>1.3916189434225299</v>
      </c>
      <c r="KB6">
        <v>1.3956161465668599</v>
      </c>
      <c r="KC6">
        <v>0</v>
      </c>
      <c r="KD6">
        <v>0</v>
      </c>
      <c r="KE6">
        <v>0</v>
      </c>
      <c r="KF6">
        <v>3.4385656387868101E-3</v>
      </c>
      <c r="KG6">
        <v>2.1320337228334599E-2</v>
      </c>
      <c r="KH6">
        <v>4.1438688110542E-2</v>
      </c>
      <c r="KI6">
        <v>0</v>
      </c>
      <c r="KJ6">
        <v>0</v>
      </c>
      <c r="KK6">
        <v>0</v>
      </c>
      <c r="KL6">
        <v>0</v>
      </c>
      <c r="KM6">
        <v>0</v>
      </c>
      <c r="KN6">
        <v>0</v>
      </c>
      <c r="KO6">
        <v>0</v>
      </c>
      <c r="KP6">
        <v>0</v>
      </c>
      <c r="KQ6">
        <v>0</v>
      </c>
      <c r="KR6">
        <v>0</v>
      </c>
      <c r="KS6">
        <v>0</v>
      </c>
      <c r="KT6">
        <v>0</v>
      </c>
      <c r="KU6">
        <v>0.34999999999999898</v>
      </c>
      <c r="KV6">
        <v>-0.120647838112973</v>
      </c>
      <c r="KW6">
        <v>1.91031330653122E-3</v>
      </c>
      <c r="KX6">
        <v>30528.7463115504</v>
      </c>
      <c r="KY6">
        <v>0</v>
      </c>
      <c r="KZ6">
        <v>0.21000557479905299</v>
      </c>
      <c r="LA6">
        <v>1.73602675993533E-5</v>
      </c>
      <c r="LB6">
        <v>0</v>
      </c>
      <c r="LC6">
        <v>-12.1785139269561</v>
      </c>
      <c r="LD6">
        <v>1.56923395012371E-2</v>
      </c>
      <c r="LE6">
        <v>3.38899952946904E-3</v>
      </c>
      <c r="LF6">
        <v>1.56923395012371E-2</v>
      </c>
      <c r="LG6">
        <v>0.93288698323641095</v>
      </c>
      <c r="LH6">
        <v>1.2180533900413699</v>
      </c>
      <c r="LI6">
        <v>0</v>
      </c>
      <c r="LJ6">
        <v>0</v>
      </c>
      <c r="LK6">
        <v>0.23831690923929799</v>
      </c>
      <c r="LL6">
        <v>0</v>
      </c>
      <c r="LM6">
        <v>0</v>
      </c>
      <c r="LN6">
        <v>0</v>
      </c>
      <c r="LO6">
        <v>0</v>
      </c>
      <c r="LP6">
        <v>0</v>
      </c>
      <c r="LQ6">
        <v>0</v>
      </c>
      <c r="LR6">
        <v>0</v>
      </c>
      <c r="LS6">
        <v>0</v>
      </c>
      <c r="LT6">
        <v>-999</v>
      </c>
      <c r="LU6">
        <v>0.42548316306994</v>
      </c>
      <c r="LV6">
        <v>5</v>
      </c>
      <c r="LW6">
        <v>15.84</v>
      </c>
      <c r="LX6">
        <v>0.14799999999999899</v>
      </c>
      <c r="LY6">
        <v>0</v>
      </c>
      <c r="LZ6">
        <v>-999</v>
      </c>
      <c r="MA6">
        <v>0</v>
      </c>
      <c r="MB6">
        <v>0</v>
      </c>
      <c r="MC6">
        <v>415.83999999999901</v>
      </c>
      <c r="MD6">
        <v>-23.6999999999999</v>
      </c>
      <c r="ME6">
        <v>-33.6</v>
      </c>
      <c r="MF6">
        <v>0</v>
      </c>
      <c r="MG6">
        <v>8.0706896550000007</v>
      </c>
      <c r="MH6">
        <v>0</v>
      </c>
      <c r="MI6">
        <v>0</v>
      </c>
      <c r="MJ6">
        <v>0</v>
      </c>
      <c r="MK6">
        <v>0</v>
      </c>
      <c r="ML6">
        <v>0</v>
      </c>
      <c r="MM6">
        <v>0</v>
      </c>
      <c r="MN6">
        <v>0</v>
      </c>
      <c r="MO6">
        <v>0</v>
      </c>
      <c r="MP6">
        <v>0</v>
      </c>
      <c r="MQ6">
        <v>0</v>
      </c>
      <c r="MR6">
        <v>0</v>
      </c>
      <c r="MS6">
        <v>0</v>
      </c>
      <c r="MT6">
        <v>0</v>
      </c>
      <c r="MU6">
        <v>0</v>
      </c>
      <c r="MV6">
        <v>0</v>
      </c>
    </row>
    <row r="7" spans="1:360" x14ac:dyDescent="0.25">
      <c r="A7">
        <v>2190</v>
      </c>
      <c r="B7">
        <v>0</v>
      </c>
      <c r="C7">
        <v>-33.6</v>
      </c>
      <c r="D7">
        <v>-23.6999999999999</v>
      </c>
      <c r="E7">
        <v>400</v>
      </c>
      <c r="F7">
        <v>0</v>
      </c>
      <c r="G7">
        <v>0</v>
      </c>
      <c r="H7">
        <v>0</v>
      </c>
      <c r="I7">
        <v>0</v>
      </c>
      <c r="J7">
        <v>0</v>
      </c>
      <c r="K7">
        <v>0</v>
      </c>
      <c r="L7" s="159">
        <v>6.5753399999999896E-6</v>
      </c>
      <c r="M7">
        <v>0</v>
      </c>
      <c r="N7">
        <v>0</v>
      </c>
      <c r="O7">
        <v>0</v>
      </c>
      <c r="P7">
        <v>0</v>
      </c>
      <c r="Q7">
        <v>0</v>
      </c>
      <c r="R7">
        <v>0</v>
      </c>
      <c r="S7">
        <v>0</v>
      </c>
      <c r="T7">
        <v>0</v>
      </c>
      <c r="U7">
        <v>653.93093934680599</v>
      </c>
      <c r="V7">
        <v>13.0584863121043</v>
      </c>
      <c r="W7">
        <v>1.2714909228615801</v>
      </c>
      <c r="X7">
        <v>0.40283065481559299</v>
      </c>
      <c r="Y7">
        <v>0.29420952222903302</v>
      </c>
      <c r="Z7">
        <v>0.30295982295537199</v>
      </c>
      <c r="AA7">
        <v>0.11329155316845201</v>
      </c>
      <c r="AB7">
        <v>0.48402549598546102</v>
      </c>
      <c r="AC7">
        <v>0.40268295084608502</v>
      </c>
      <c r="AD7">
        <v>0.88389934270815795</v>
      </c>
      <c r="AE7">
        <v>4.5890513608758003E-2</v>
      </c>
      <c r="AF7">
        <v>7.0210143683083107E-2</v>
      </c>
      <c r="AG7">
        <v>0</v>
      </c>
      <c r="AH7">
        <v>3387.7530813895301</v>
      </c>
      <c r="AI7">
        <v>80.899082455421095</v>
      </c>
      <c r="AJ7">
        <v>8.1383382916047307</v>
      </c>
      <c r="AK7">
        <v>390.35382288636299</v>
      </c>
      <c r="AL7">
        <v>7.2483464271401896</v>
      </c>
      <c r="AM7">
        <v>0.81311162843125895</v>
      </c>
      <c r="AN7">
        <v>8709.4455805570306</v>
      </c>
      <c r="AO7">
        <v>313.259209945203</v>
      </c>
      <c r="AP7">
        <v>31.3259209945201</v>
      </c>
      <c r="AQ7">
        <v>2.8366475508250302E-2</v>
      </c>
      <c r="AR7">
        <v>5.73491162033209E-3</v>
      </c>
      <c r="AS7">
        <v>2.8999961876486E-2</v>
      </c>
      <c r="AT7">
        <v>9.48</v>
      </c>
      <c r="AU7">
        <v>5.9998983687356597</v>
      </c>
      <c r="AV7">
        <v>0</v>
      </c>
      <c r="AW7">
        <v>83.461609741788394</v>
      </c>
      <c r="AX7">
        <v>65.911272102497406</v>
      </c>
      <c r="AY7">
        <v>361.649533307193</v>
      </c>
      <c r="AZ7">
        <v>0.54833294000258403</v>
      </c>
      <c r="BA7">
        <v>0.80562986008732296</v>
      </c>
      <c r="BB7">
        <v>1.36268502630727E-2</v>
      </c>
      <c r="BC7">
        <v>1.1364873506445299E-3</v>
      </c>
      <c r="BD7">
        <v>0.587155700775989</v>
      </c>
      <c r="BE7">
        <v>9.0893805401173807E-3</v>
      </c>
      <c r="BF7">
        <v>7.5405669681795503E-4</v>
      </c>
      <c r="BG7">
        <v>766.29999847710098</v>
      </c>
      <c r="BH7">
        <v>-1626.59999865293</v>
      </c>
      <c r="BI7">
        <v>413.97458687803203</v>
      </c>
      <c r="BJ7">
        <v>207.790577098954</v>
      </c>
      <c r="BK7">
        <v>4.8488570876635002</v>
      </c>
      <c r="BL7">
        <v>4.5086795437185998</v>
      </c>
      <c r="BM7">
        <v>188.72458155011799</v>
      </c>
      <c r="BN7">
        <v>21.066673078129899</v>
      </c>
      <c r="BO7">
        <v>209.791254628248</v>
      </c>
      <c r="BP7">
        <v>3.3596849346842501</v>
      </c>
      <c r="BQ7">
        <v>0.28294735406659499</v>
      </c>
      <c r="BR7">
        <v>202.94172001128999</v>
      </c>
      <c r="BS7">
        <v>2.14639640736379</v>
      </c>
      <c r="BT7">
        <v>0.28435363070258401</v>
      </c>
      <c r="BU7">
        <v>3.39267604647174</v>
      </c>
      <c r="BV7">
        <v>1.6178085052867399</v>
      </c>
      <c r="BW7">
        <v>0.55630550234212095</v>
      </c>
      <c r="BX7">
        <v>1.21856203884287</v>
      </c>
      <c r="BY7">
        <v>0</v>
      </c>
      <c r="BZ7">
        <v>2.96850509837958</v>
      </c>
      <c r="CA7">
        <v>0.39117983630467701</v>
      </c>
      <c r="CB7">
        <v>0.28482539793214701</v>
      </c>
      <c r="CC7">
        <v>0.23906522496247201</v>
      </c>
      <c r="CD7">
        <v>4.3882129104122203E-2</v>
      </c>
      <c r="CE7">
        <v>20.917907701981701</v>
      </c>
      <c r="CF7">
        <v>160.27119254163401</v>
      </c>
      <c r="CG7">
        <v>42.621212707689303</v>
      </c>
      <c r="CH7">
        <v>0.38841746299240298</v>
      </c>
      <c r="CI7">
        <v>6.9133055481469103</v>
      </c>
      <c r="CJ7">
        <v>1.6664649626272501</v>
      </c>
      <c r="CK7">
        <v>9.1914038153142901</v>
      </c>
      <c r="CL7">
        <v>1.5329893615183801</v>
      </c>
      <c r="CM7">
        <v>9.1048145467296795E-2</v>
      </c>
      <c r="CN7">
        <v>4.3572249066674403E-2</v>
      </c>
      <c r="CO7">
        <v>0.83814197803252599</v>
      </c>
      <c r="CP7">
        <v>0.96901929845274304</v>
      </c>
      <c r="CQ7">
        <v>0.15329893615183701</v>
      </c>
      <c r="CR7">
        <v>42.6705274696563</v>
      </c>
      <c r="CS7">
        <v>1.5347631028236699</v>
      </c>
      <c r="CT7">
        <v>0.153476310282366</v>
      </c>
      <c r="CU7">
        <v>1.47000000000003E-2</v>
      </c>
      <c r="CV7">
        <v>1.83733133262492E-3</v>
      </c>
      <c r="CW7">
        <v>2.2078857413220199</v>
      </c>
      <c r="CX7">
        <v>2.03000000000003E-2</v>
      </c>
      <c r="CY7">
        <v>5.4064140963585097E-3</v>
      </c>
      <c r="CZ7">
        <v>0</v>
      </c>
      <c r="DA7">
        <v>2.39999910000286E-3</v>
      </c>
      <c r="DB7">
        <v>1.4999811869730499E-3</v>
      </c>
      <c r="DC7">
        <v>2.00000000000003E-3</v>
      </c>
      <c r="DD7">
        <v>4.3334101525431597E-3</v>
      </c>
      <c r="DE7">
        <v>1.4525144912972401E-3</v>
      </c>
      <c r="DF7">
        <v>2.3999991000000199E-3</v>
      </c>
      <c r="DG7">
        <v>0</v>
      </c>
      <c r="DH7">
        <v>0</v>
      </c>
      <c r="DI7">
        <v>0.23180769400000401</v>
      </c>
      <c r="DJ7">
        <v>1.8846155200000301E-2</v>
      </c>
      <c r="DK7">
        <v>2.1340876373670801</v>
      </c>
      <c r="DL7">
        <v>0.139300759619261</v>
      </c>
      <c r="DM7">
        <v>95.487651699279994</v>
      </c>
      <c r="DN7">
        <v>199.57338125272801</v>
      </c>
      <c r="DO7">
        <v>327.66000000000003</v>
      </c>
      <c r="DP7">
        <v>32.531693080401197</v>
      </c>
      <c r="DQ7">
        <v>157.94999999999899</v>
      </c>
      <c r="DR7">
        <v>169.71</v>
      </c>
      <c r="DS7">
        <v>154.50397980556599</v>
      </c>
      <c r="DT7">
        <v>0</v>
      </c>
      <c r="DU7">
        <v>0</v>
      </c>
      <c r="DV7">
        <v>0</v>
      </c>
      <c r="DW7">
        <v>0</v>
      </c>
      <c r="DX7">
        <v>0</v>
      </c>
      <c r="DY7">
        <v>0</v>
      </c>
      <c r="DZ7">
        <v>0</v>
      </c>
      <c r="EA7">
        <v>0</v>
      </c>
      <c r="EB7">
        <v>0</v>
      </c>
      <c r="EC7">
        <v>0</v>
      </c>
      <c r="ED7">
        <v>0</v>
      </c>
      <c r="EE7">
        <v>0</v>
      </c>
      <c r="EF7">
        <v>1.35489942554609</v>
      </c>
      <c r="EG7">
        <v>0</v>
      </c>
      <c r="EH7">
        <v>0</v>
      </c>
      <c r="EI7">
        <v>0</v>
      </c>
      <c r="EJ7">
        <v>0</v>
      </c>
      <c r="EK7">
        <v>0</v>
      </c>
      <c r="EL7">
        <v>0</v>
      </c>
      <c r="EM7">
        <v>0</v>
      </c>
      <c r="EN7">
        <v>0</v>
      </c>
      <c r="EO7">
        <v>0</v>
      </c>
      <c r="EP7">
        <v>0</v>
      </c>
      <c r="EQ7">
        <v>0</v>
      </c>
      <c r="ER7">
        <v>0</v>
      </c>
      <c r="ES7">
        <v>0</v>
      </c>
      <c r="ET7">
        <v>0</v>
      </c>
      <c r="EU7">
        <v>0</v>
      </c>
      <c r="EV7">
        <v>768.633364673031</v>
      </c>
      <c r="EW7">
        <v>-28.649999999999899</v>
      </c>
      <c r="EX7">
        <v>1376.69671441432</v>
      </c>
      <c r="EY7">
        <v>807.23976384962896</v>
      </c>
      <c r="EZ7">
        <v>106.50605679433799</v>
      </c>
      <c r="FA7">
        <v>613.00365468238499</v>
      </c>
      <c r="FB7">
        <v>657.18701171875</v>
      </c>
      <c r="FC7">
        <v>0.45936062295398</v>
      </c>
      <c r="FD7">
        <v>0.83774033883832499</v>
      </c>
      <c r="FE7">
        <v>0</v>
      </c>
      <c r="FF7">
        <v>1</v>
      </c>
      <c r="FG7" s="159">
        <v>5.9067375788395504E-13</v>
      </c>
      <c r="FH7">
        <v>0</v>
      </c>
      <c r="FI7">
        <v>5.4512674794765098E-5</v>
      </c>
      <c r="FJ7">
        <v>-6.0935728313075499E-3</v>
      </c>
      <c r="FK7" s="159">
        <v>6.57534000000779E-6</v>
      </c>
      <c r="FL7" s="159">
        <v>3.4943191597955099E-6</v>
      </c>
      <c r="FM7" s="159">
        <v>4.1095305529105596E-6</v>
      </c>
      <c r="FN7">
        <v>0</v>
      </c>
      <c r="FO7">
        <v>0</v>
      </c>
      <c r="FP7">
        <v>0</v>
      </c>
      <c r="FQ7">
        <v>0</v>
      </c>
      <c r="FR7">
        <v>0</v>
      </c>
      <c r="FS7">
        <v>0</v>
      </c>
      <c r="FT7">
        <v>0</v>
      </c>
      <c r="FU7">
        <v>0</v>
      </c>
      <c r="FV7">
        <v>-999</v>
      </c>
      <c r="FW7">
        <v>0.45755591235930398</v>
      </c>
      <c r="FX7">
        <v>3.11357919287614E-3</v>
      </c>
      <c r="FY7">
        <v>1.1200178581399201</v>
      </c>
      <c r="FZ7">
        <v>9.8655134486653703E-4</v>
      </c>
      <c r="GA7">
        <v>44.109849148668097</v>
      </c>
      <c r="GB7">
        <v>1.0794351376065501E-2</v>
      </c>
      <c r="GC7">
        <v>2.9173922638015002E-3</v>
      </c>
      <c r="GD7">
        <v>0</v>
      </c>
      <c r="GE7">
        <v>7.01752280154418E-3</v>
      </c>
      <c r="GF7">
        <v>0.56212000625376302</v>
      </c>
      <c r="GG7">
        <v>5.6141958792403396E-4</v>
      </c>
      <c r="GH7">
        <v>9.4853762454569796E-3</v>
      </c>
      <c r="GI7">
        <v>1.8739987523034098E-2</v>
      </c>
      <c r="GJ7">
        <v>9.2358099612556801E-4</v>
      </c>
      <c r="GK7">
        <v>1.78784870104274E-3</v>
      </c>
      <c r="GL7">
        <v>0.36968362652332898</v>
      </c>
      <c r="GM7">
        <v>6.1455585020665001E-3</v>
      </c>
      <c r="GN7">
        <v>5.1244488504593696E-4</v>
      </c>
      <c r="GO7">
        <v>0</v>
      </c>
      <c r="GP7">
        <v>0</v>
      </c>
      <c r="GQ7">
        <v>0</v>
      </c>
      <c r="GR7">
        <v>5.8273703539567401E-2</v>
      </c>
      <c r="GS7">
        <v>1.0820644402148201E-3</v>
      </c>
      <c r="GT7">
        <v>1.21384813473625E-4</v>
      </c>
      <c r="GU7">
        <v>3.6824396831293703E-2</v>
      </c>
      <c r="GV7">
        <v>6.8377961109760299E-4</v>
      </c>
      <c r="GW7">
        <v>7.6705653993834895E-5</v>
      </c>
      <c r="GX7">
        <v>0.112511003699186</v>
      </c>
      <c r="GY7">
        <v>0.12333493831481</v>
      </c>
      <c r="GZ7">
        <v>59.2113525401777</v>
      </c>
      <c r="HA7">
        <v>675.19292810431102</v>
      </c>
      <c r="HB7">
        <v>0</v>
      </c>
      <c r="HC7">
        <v>0.99981315378968305</v>
      </c>
      <c r="HD7">
        <v>0.39171284350289598</v>
      </c>
      <c r="HE7">
        <v>1.0159044328898E-2</v>
      </c>
      <c r="HF7">
        <v>8.8186168136317102E-4</v>
      </c>
      <c r="HG7">
        <v>1.1709197516224099E-2</v>
      </c>
      <c r="HH7" s="159">
        <v>4.7618735357672198E-7</v>
      </c>
      <c r="HI7" s="159">
        <v>3.3333254406535399E-7</v>
      </c>
      <c r="HJ7">
        <v>0</v>
      </c>
      <c r="HK7">
        <v>0</v>
      </c>
      <c r="HL7">
        <v>0</v>
      </c>
      <c r="HM7">
        <v>0</v>
      </c>
      <c r="HN7">
        <v>0</v>
      </c>
      <c r="HO7">
        <v>1.03497972440385E-2</v>
      </c>
      <c r="HP7">
        <v>0.51504778181770705</v>
      </c>
      <c r="HQ7">
        <v>1.0159044328898E-2</v>
      </c>
      <c r="HR7">
        <v>8.8186168136317102E-4</v>
      </c>
      <c r="HS7">
        <v>0.73917387427315895</v>
      </c>
      <c r="HT7">
        <v>-999</v>
      </c>
      <c r="HU7">
        <v>1</v>
      </c>
      <c r="HV7">
        <v>0.75938238195680996</v>
      </c>
      <c r="HW7">
        <v>0.24061761804318901</v>
      </c>
      <c r="HX7">
        <v>12487.552484832901</v>
      </c>
      <c r="HY7">
        <v>401.40663882776499</v>
      </c>
      <c r="HZ7">
        <v>40.277370914556101</v>
      </c>
      <c r="IA7">
        <v>-0.12333493831481</v>
      </c>
      <c r="IB7">
        <v>0</v>
      </c>
      <c r="IC7">
        <v>0</v>
      </c>
      <c r="ID7">
        <v>0</v>
      </c>
      <c r="IE7">
        <v>0</v>
      </c>
      <c r="IF7">
        <v>0</v>
      </c>
      <c r="IG7">
        <v>0</v>
      </c>
      <c r="IH7">
        <v>0</v>
      </c>
      <c r="II7">
        <v>46.337800049999601</v>
      </c>
      <c r="IJ7">
        <v>463.37800049999902</v>
      </c>
      <c r="IK7">
        <v>9.6358416702441302E-3</v>
      </c>
      <c r="IL7">
        <v>2.06757010939942E-3</v>
      </c>
      <c r="IM7">
        <v>1.1703411779643499E-2</v>
      </c>
      <c r="IN7">
        <v>1.2581567967908101E-3</v>
      </c>
      <c r="IO7">
        <v>0.41976121689707901</v>
      </c>
      <c r="IP7">
        <v>1.7676731489861701E-2</v>
      </c>
      <c r="IQ7">
        <v>1.9782506132136001E-3</v>
      </c>
      <c r="IR7">
        <v>0.30450954057216401</v>
      </c>
      <c r="IS7">
        <v>0.26008456999785501</v>
      </c>
      <c r="IT7">
        <v>0.232399529048537</v>
      </c>
      <c r="IU7">
        <v>0.29193992158973697</v>
      </c>
      <c r="IV7">
        <v>1.3079286381353399E-2</v>
      </c>
      <c r="IW7">
        <v>1.5185061023627799E-3</v>
      </c>
      <c r="IX7">
        <v>7.5515753585356796E-2</v>
      </c>
      <c r="IY7">
        <v>2.7161321679734902E-3</v>
      </c>
      <c r="IZ7">
        <v>2.7161321679734801E-4</v>
      </c>
      <c r="JA7">
        <v>7.5136612606620204E-2</v>
      </c>
      <c r="JB7">
        <v>2.70249531791704E-3</v>
      </c>
      <c r="JC7">
        <v>2.70249531791702E-4</v>
      </c>
      <c r="JD7">
        <v>1.6231829122199799E-4</v>
      </c>
      <c r="JE7">
        <v>3.0514898707131402E-3</v>
      </c>
      <c r="JF7" s="159">
        <v>7.8604657505199004E-19</v>
      </c>
      <c r="JG7">
        <v>0</v>
      </c>
      <c r="JH7">
        <v>4.0783699196269901E-3</v>
      </c>
      <c r="JI7">
        <v>5.3059883736367099E-4</v>
      </c>
      <c r="JJ7">
        <v>-0.49041147251116801</v>
      </c>
      <c r="JK7">
        <v>1.6231829122199799E-4</v>
      </c>
      <c r="JL7" s="159">
        <v>6.5753399999999896E-6</v>
      </c>
      <c r="JM7">
        <v>-0.49041147251116801</v>
      </c>
      <c r="JN7">
        <v>0</v>
      </c>
      <c r="JO7">
        <v>2.9465771442965201</v>
      </c>
      <c r="JP7">
        <v>-1.6502043809467101E-3</v>
      </c>
      <c r="JQ7">
        <v>6.6588947456892598E-5</v>
      </c>
      <c r="JR7">
        <v>6.7273967589990394E-2</v>
      </c>
      <c r="JS7">
        <v>1464.4267667792799</v>
      </c>
      <c r="JT7">
        <v>5.3133818633790103E-2</v>
      </c>
      <c r="JU7">
        <v>0</v>
      </c>
      <c r="JV7">
        <v>365</v>
      </c>
      <c r="JW7">
        <v>0</v>
      </c>
      <c r="JX7">
        <v>-0.40268092994350901</v>
      </c>
      <c r="JY7">
        <v>0</v>
      </c>
      <c r="JZ7">
        <v>1.2944754239648699</v>
      </c>
      <c r="KA7">
        <v>1.3907096376985999</v>
      </c>
      <c r="KB7">
        <v>1.39666409336315</v>
      </c>
      <c r="KC7">
        <v>0</v>
      </c>
      <c r="KD7">
        <v>0</v>
      </c>
      <c r="KE7">
        <v>0</v>
      </c>
      <c r="KF7">
        <v>3.4449574069336901E-3</v>
      </c>
      <c r="KG7">
        <v>2.1364710838323801E-2</v>
      </c>
      <c r="KH7">
        <v>4.1417959928740797E-2</v>
      </c>
      <c r="KI7">
        <v>0</v>
      </c>
      <c r="KJ7">
        <v>0</v>
      </c>
      <c r="KK7">
        <v>0</v>
      </c>
      <c r="KL7">
        <v>0</v>
      </c>
      <c r="KM7">
        <v>0</v>
      </c>
      <c r="KN7">
        <v>0</v>
      </c>
      <c r="KO7">
        <v>0</v>
      </c>
      <c r="KP7">
        <v>0</v>
      </c>
      <c r="KQ7">
        <v>0</v>
      </c>
      <c r="KR7">
        <v>0</v>
      </c>
      <c r="KS7">
        <v>0</v>
      </c>
      <c r="KT7">
        <v>0</v>
      </c>
      <c r="KU7">
        <v>0.34999999999999898</v>
      </c>
      <c r="KV7">
        <v>-0.120402452922419</v>
      </c>
      <c r="KW7">
        <v>1.9065252076018999E-3</v>
      </c>
      <c r="KX7">
        <v>30650.1827341192</v>
      </c>
      <c r="KY7">
        <v>0</v>
      </c>
      <c r="KZ7">
        <v>0.21001060597393101</v>
      </c>
      <c r="LA7">
        <v>1.73602675993533E-5</v>
      </c>
      <c r="LB7">
        <v>0</v>
      </c>
      <c r="LC7">
        <v>-12.1774143943891</v>
      </c>
      <c r="LD7">
        <v>1.5693083215826301E-2</v>
      </c>
      <c r="LE7">
        <v>3.3897011470059701E-3</v>
      </c>
      <c r="LF7">
        <v>1.5693083215826301E-2</v>
      </c>
      <c r="LG7">
        <v>0.93341782128226802</v>
      </c>
      <c r="LH7">
        <v>1.2186566150934799</v>
      </c>
      <c r="LI7">
        <v>0</v>
      </c>
      <c r="LJ7">
        <v>0</v>
      </c>
      <c r="LK7">
        <v>0.238461742119395</v>
      </c>
      <c r="LL7">
        <v>0</v>
      </c>
      <c r="LM7">
        <v>0</v>
      </c>
      <c r="LN7">
        <v>0</v>
      </c>
      <c r="LO7">
        <v>0</v>
      </c>
      <c r="LP7">
        <v>0</v>
      </c>
      <c r="LQ7">
        <v>0</v>
      </c>
      <c r="LR7">
        <v>0</v>
      </c>
      <c r="LS7">
        <v>0</v>
      </c>
      <c r="LT7">
        <v>-999</v>
      </c>
      <c r="LU7">
        <v>0.42548771804892199</v>
      </c>
      <c r="LV7">
        <v>6</v>
      </c>
      <c r="LW7">
        <v>19.8</v>
      </c>
      <c r="LX7">
        <v>0.185</v>
      </c>
      <c r="LY7">
        <v>0</v>
      </c>
      <c r="LZ7">
        <v>-999</v>
      </c>
      <c r="MA7">
        <v>0</v>
      </c>
      <c r="MB7">
        <v>0</v>
      </c>
      <c r="MC7">
        <v>419.8</v>
      </c>
      <c r="MD7">
        <v>-23.6999999999999</v>
      </c>
      <c r="ME7">
        <v>-33.6</v>
      </c>
      <c r="MF7">
        <v>0</v>
      </c>
      <c r="MG7">
        <v>8.0706896550000007</v>
      </c>
      <c r="MH7">
        <v>0</v>
      </c>
      <c r="MI7">
        <v>0</v>
      </c>
      <c r="MJ7">
        <v>0</v>
      </c>
      <c r="MK7">
        <v>0</v>
      </c>
      <c r="ML7">
        <v>0</v>
      </c>
      <c r="MM7">
        <v>0</v>
      </c>
      <c r="MN7">
        <v>0</v>
      </c>
      <c r="MO7">
        <v>0</v>
      </c>
      <c r="MP7">
        <v>0</v>
      </c>
      <c r="MQ7">
        <v>0</v>
      </c>
      <c r="MR7">
        <v>0</v>
      </c>
      <c r="MS7">
        <v>0</v>
      </c>
      <c r="MT7">
        <v>0</v>
      </c>
      <c r="MU7">
        <v>0</v>
      </c>
      <c r="MV7">
        <v>0</v>
      </c>
    </row>
    <row r="8" spans="1:360" x14ac:dyDescent="0.25">
      <c r="A8">
        <v>2555</v>
      </c>
      <c r="B8">
        <v>0</v>
      </c>
      <c r="C8">
        <v>-33.6</v>
      </c>
      <c r="D8">
        <v>-23.6999999999999</v>
      </c>
      <c r="E8">
        <v>400</v>
      </c>
      <c r="F8">
        <v>0</v>
      </c>
      <c r="G8">
        <v>0</v>
      </c>
      <c r="H8">
        <v>0</v>
      </c>
      <c r="I8">
        <v>0</v>
      </c>
      <c r="J8">
        <v>0</v>
      </c>
      <c r="K8">
        <v>0</v>
      </c>
      <c r="L8" s="159">
        <v>6.5753399999999896E-6</v>
      </c>
      <c r="M8">
        <v>0</v>
      </c>
      <c r="N8">
        <v>0</v>
      </c>
      <c r="O8">
        <v>0</v>
      </c>
      <c r="P8">
        <v>0</v>
      </c>
      <c r="Q8">
        <v>0</v>
      </c>
      <c r="R8">
        <v>0</v>
      </c>
      <c r="S8">
        <v>0</v>
      </c>
      <c r="T8">
        <v>0</v>
      </c>
      <c r="U8">
        <v>656.49057763937105</v>
      </c>
      <c r="V8">
        <v>13.0951159044529</v>
      </c>
      <c r="W8">
        <v>1.27366905130938</v>
      </c>
      <c r="X8">
        <v>0.40015456519847997</v>
      </c>
      <c r="Y8">
        <v>0.29353218385082303</v>
      </c>
      <c r="Z8">
        <v>0.306313250950696</v>
      </c>
      <c r="AA8">
        <v>0.113279266114757</v>
      </c>
      <c r="AB8">
        <v>0.48431855829871301</v>
      </c>
      <c r="AC8">
        <v>0.40240217558652802</v>
      </c>
      <c r="AD8">
        <v>0.88383526537333801</v>
      </c>
      <c r="AE8">
        <v>4.57342710345345E-2</v>
      </c>
      <c r="AF8">
        <v>7.0430463592127401E-2</v>
      </c>
      <c r="AG8">
        <v>0</v>
      </c>
      <c r="AH8">
        <v>3388.2324479899899</v>
      </c>
      <c r="AI8">
        <v>80.859414983080001</v>
      </c>
      <c r="AJ8">
        <v>8.1365719433599306</v>
      </c>
      <c r="AK8">
        <v>390.54656023217399</v>
      </c>
      <c r="AL8">
        <v>7.2519253008951603</v>
      </c>
      <c r="AM8">
        <v>0.81351310260141396</v>
      </c>
      <c r="AN8">
        <v>8709.3746629657508</v>
      </c>
      <c r="AO8">
        <v>313.25665919861302</v>
      </c>
      <c r="AP8">
        <v>31.325665919861098</v>
      </c>
      <c r="AQ8">
        <v>2.84143176227106E-2</v>
      </c>
      <c r="AR8">
        <v>5.7488322437981403E-3</v>
      </c>
      <c r="AS8">
        <v>2.8613353087906902E-2</v>
      </c>
      <c r="AT8">
        <v>9.48</v>
      </c>
      <c r="AU8">
        <v>5.9998321907492</v>
      </c>
      <c r="AV8">
        <v>0</v>
      </c>
      <c r="AW8">
        <v>83.513441053018894</v>
      </c>
      <c r="AX8">
        <v>65.928867734553805</v>
      </c>
      <c r="AY8">
        <v>361.64394327115798</v>
      </c>
      <c r="AZ8">
        <v>0.54833294000258403</v>
      </c>
      <c r="BA8">
        <v>0.807058673719245</v>
      </c>
      <c r="BB8">
        <v>1.36489178117762E-2</v>
      </c>
      <c r="BC8">
        <v>1.1381677966234901E-3</v>
      </c>
      <c r="BD8">
        <v>0.58807931590295504</v>
      </c>
      <c r="BE8">
        <v>9.1073084397978107E-3</v>
      </c>
      <c r="BF8">
        <v>7.5429612632275901E-4</v>
      </c>
      <c r="BG8">
        <v>766.29999847710098</v>
      </c>
      <c r="BH8">
        <v>-1626.59999865293</v>
      </c>
      <c r="BI8">
        <v>414.86858414240402</v>
      </c>
      <c r="BJ8">
        <v>208.17889246109499</v>
      </c>
      <c r="BK8">
        <v>5.0701191804600603</v>
      </c>
      <c r="BL8">
        <v>4.5265510612064999</v>
      </c>
      <c r="BM8">
        <v>189.02510439969501</v>
      </c>
      <c r="BN8">
        <v>21.1207008300422</v>
      </c>
      <c r="BO8">
        <v>210.14580522973699</v>
      </c>
      <c r="BP8">
        <v>3.3641458297261102</v>
      </c>
      <c r="BQ8">
        <v>0.28312087599288499</v>
      </c>
      <c r="BR8">
        <v>203.10877328063501</v>
      </c>
      <c r="BS8">
        <v>2.1497059028365699</v>
      </c>
      <c r="BT8">
        <v>0.28474082472649898</v>
      </c>
      <c r="BU8">
        <v>3.4007754220747302</v>
      </c>
      <c r="BV8">
        <v>1.62168937165812</v>
      </c>
      <c r="BW8">
        <v>0.55569387171215001</v>
      </c>
      <c r="BX8">
        <v>1.2233921787044499</v>
      </c>
      <c r="BY8">
        <v>0</v>
      </c>
      <c r="BZ8">
        <v>2.9719627706025999</v>
      </c>
      <c r="CA8">
        <v>0.39218305912351398</v>
      </c>
      <c r="CB8">
        <v>0.28529900444069101</v>
      </c>
      <c r="CC8">
        <v>0.23912620644273</v>
      </c>
      <c r="CD8">
        <v>4.3994669550153999E-2</v>
      </c>
      <c r="CE8">
        <v>20.927963484232698</v>
      </c>
      <c r="CF8">
        <v>160.436789023058</v>
      </c>
      <c r="CG8">
        <v>42.601066666304199</v>
      </c>
      <c r="CH8">
        <v>0.38860418536855901</v>
      </c>
      <c r="CI8">
        <v>6.9185299305250796</v>
      </c>
      <c r="CJ8">
        <v>1.66710205409235</v>
      </c>
      <c r="CK8">
        <v>9.2005223872385002</v>
      </c>
      <c r="CL8">
        <v>1.5322647536257901</v>
      </c>
      <c r="CM8">
        <v>9.12253824375438E-2</v>
      </c>
      <c r="CN8">
        <v>4.3593195379997902E-2</v>
      </c>
      <c r="CO8">
        <v>0.82806668929371297</v>
      </c>
      <c r="CP8">
        <v>0.95932596399866099</v>
      </c>
      <c r="CQ8">
        <v>0.153226475362577</v>
      </c>
      <c r="CR8">
        <v>42.671984257576298</v>
      </c>
      <c r="CS8">
        <v>1.5348155002155199</v>
      </c>
      <c r="CT8">
        <v>0.15348155002155101</v>
      </c>
      <c r="CU8">
        <v>1.4699999999999699E-2</v>
      </c>
      <c r="CV8">
        <v>1.84263442924685E-3</v>
      </c>
      <c r="CW8">
        <v>2.2079281087271099</v>
      </c>
      <c r="CX8">
        <v>2.0299999999999499E-2</v>
      </c>
      <c r="CY8">
        <v>5.4182622991330196E-3</v>
      </c>
      <c r="CZ8">
        <v>0</v>
      </c>
      <c r="DA8">
        <v>2.3999991000028501E-3</v>
      </c>
      <c r="DB8">
        <v>1.4999671120995699E-3</v>
      </c>
      <c r="DC8">
        <v>1.9999999999999502E-3</v>
      </c>
      <c r="DD8">
        <v>4.2946061608441699E-3</v>
      </c>
      <c r="DE8">
        <v>1.43378912564525E-3</v>
      </c>
      <c r="DF8">
        <v>2.3999991000000099E-3</v>
      </c>
      <c r="DG8">
        <v>0</v>
      </c>
      <c r="DH8">
        <v>0</v>
      </c>
      <c r="DI8">
        <v>0.23180769399999501</v>
      </c>
      <c r="DJ8">
        <v>1.8846155199999499E-2</v>
      </c>
      <c r="DK8">
        <v>2.14110222689889</v>
      </c>
      <c r="DL8">
        <v>0.13975863099862201</v>
      </c>
      <c r="DM8">
        <v>94.8363775994588</v>
      </c>
      <c r="DN8">
        <v>200.289837484646</v>
      </c>
      <c r="DO8">
        <v>327.66000000000003</v>
      </c>
      <c r="DP8">
        <v>32.464364862081602</v>
      </c>
      <c r="DQ8">
        <v>157.94999999999899</v>
      </c>
      <c r="DR8">
        <v>169.71</v>
      </c>
      <c r="DS8">
        <v>154.54945308369099</v>
      </c>
      <c r="DT8">
        <v>0</v>
      </c>
      <c r="DU8">
        <v>0</v>
      </c>
      <c r="DV8">
        <v>0</v>
      </c>
      <c r="DW8">
        <v>0</v>
      </c>
      <c r="DX8">
        <v>0</v>
      </c>
      <c r="DY8">
        <v>0</v>
      </c>
      <c r="DZ8">
        <v>0</v>
      </c>
      <c r="EA8">
        <v>0</v>
      </c>
      <c r="EB8">
        <v>0</v>
      </c>
      <c r="EC8">
        <v>0</v>
      </c>
      <c r="ED8">
        <v>0</v>
      </c>
      <c r="EE8">
        <v>0</v>
      </c>
      <c r="EF8">
        <v>1.35234935460449</v>
      </c>
      <c r="EG8">
        <v>0</v>
      </c>
      <c r="EH8">
        <v>0</v>
      </c>
      <c r="EI8">
        <v>0</v>
      </c>
      <c r="EJ8">
        <v>0</v>
      </c>
      <c r="EK8">
        <v>0</v>
      </c>
      <c r="EL8">
        <v>0</v>
      </c>
      <c r="EM8">
        <v>0</v>
      </c>
      <c r="EN8">
        <v>0</v>
      </c>
      <c r="EO8">
        <v>0</v>
      </c>
      <c r="EP8">
        <v>0</v>
      </c>
      <c r="EQ8">
        <v>0</v>
      </c>
      <c r="ER8">
        <v>0</v>
      </c>
      <c r="ES8">
        <v>0</v>
      </c>
      <c r="ET8">
        <v>0</v>
      </c>
      <c r="EU8">
        <v>0</v>
      </c>
      <c r="EV8">
        <v>771.30370358287496</v>
      </c>
      <c r="EW8">
        <v>-28.649999999999899</v>
      </c>
      <c r="EX8">
        <v>1382.0854266092001</v>
      </c>
      <c r="EY8">
        <v>808.94222395830298</v>
      </c>
      <c r="EZ8">
        <v>106.071478984414</v>
      </c>
      <c r="FA8">
        <v>615.498658477969</v>
      </c>
      <c r="FB8">
        <v>660.51525878906205</v>
      </c>
      <c r="FC8">
        <v>0.45748628885977699</v>
      </c>
      <c r="FD8">
        <v>0.83432209791667999</v>
      </c>
      <c r="FE8">
        <v>0</v>
      </c>
      <c r="FF8">
        <v>1</v>
      </c>
      <c r="FG8" s="159">
        <v>5.9074988871715903E-13</v>
      </c>
      <c r="FH8">
        <v>0</v>
      </c>
      <c r="FI8">
        <v>5.4512674794765098E-5</v>
      </c>
      <c r="FJ8">
        <v>-6.0614090580334498E-3</v>
      </c>
      <c r="FK8" s="159">
        <v>6.57534000000779E-6</v>
      </c>
      <c r="FL8" s="159">
        <v>3.4474638395336598E-6</v>
      </c>
      <c r="FM8" s="159">
        <v>4.1094852253998896E-6</v>
      </c>
      <c r="FN8">
        <v>0</v>
      </c>
      <c r="FO8">
        <v>0</v>
      </c>
      <c r="FP8">
        <v>0</v>
      </c>
      <c r="FQ8">
        <v>0</v>
      </c>
      <c r="FR8">
        <v>0</v>
      </c>
      <c r="FS8">
        <v>0</v>
      </c>
      <c r="FT8">
        <v>0</v>
      </c>
      <c r="FU8">
        <v>0</v>
      </c>
      <c r="FV8">
        <v>-999</v>
      </c>
      <c r="FW8">
        <v>0.45832268744497001</v>
      </c>
      <c r="FX8">
        <v>3.1186108784393698E-3</v>
      </c>
      <c r="FY8">
        <v>1.1225848285120601</v>
      </c>
      <c r="FZ8">
        <v>9.8536150291035803E-4</v>
      </c>
      <c r="GA8">
        <v>44.054624255476902</v>
      </c>
      <c r="GB8">
        <v>1.08141529274834E-2</v>
      </c>
      <c r="GC8">
        <v>2.9227440344549698E-3</v>
      </c>
      <c r="GD8">
        <v>0</v>
      </c>
      <c r="GE8">
        <v>7.0267164158047098E-3</v>
      </c>
      <c r="GF8">
        <v>0.55458253995084095</v>
      </c>
      <c r="GG8">
        <v>5.6136437684785703E-4</v>
      </c>
      <c r="GH8">
        <v>9.4748961622295805E-3</v>
      </c>
      <c r="GI8">
        <v>1.8730856723142199E-2</v>
      </c>
      <c r="GJ8">
        <v>9.21555952177426E-4</v>
      </c>
      <c r="GK8">
        <v>1.78720133141998E-3</v>
      </c>
      <c r="GL8">
        <v>0.37103029650578001</v>
      </c>
      <c r="GM8">
        <v>6.1642975080066602E-3</v>
      </c>
      <c r="GN8">
        <v>5.1343665718634596E-4</v>
      </c>
      <c r="GO8">
        <v>0</v>
      </c>
      <c r="GP8">
        <v>0</v>
      </c>
      <c r="GQ8">
        <v>0</v>
      </c>
      <c r="GR8">
        <v>5.8421077377667802E-2</v>
      </c>
      <c r="GS8">
        <v>1.0848009745337301E-3</v>
      </c>
      <c r="GT8">
        <v>1.21691794920866E-4</v>
      </c>
      <c r="GU8">
        <v>3.68430223226471E-2</v>
      </c>
      <c r="GV8">
        <v>6.8412546146665303E-4</v>
      </c>
      <c r="GW8">
        <v>7.6744451112542906E-5</v>
      </c>
      <c r="GX8">
        <v>0.11288178526412</v>
      </c>
      <c r="GY8">
        <v>0.123719276523596</v>
      </c>
      <c r="GZ8">
        <v>59.242038843559598</v>
      </c>
      <c r="HA8">
        <v>676.16459703328405</v>
      </c>
      <c r="HB8">
        <v>0</v>
      </c>
      <c r="HC8">
        <v>0.99981316196317105</v>
      </c>
      <c r="HD8">
        <v>0.39283957065698699</v>
      </c>
      <c r="HE8">
        <v>1.0192379630850099E-2</v>
      </c>
      <c r="HF8">
        <v>8.8447885304050505E-4</v>
      </c>
      <c r="HG8">
        <v>1.17576762825511E-2</v>
      </c>
      <c r="HH8" s="159">
        <v>4.7618736780863902E-7</v>
      </c>
      <c r="HI8" s="159">
        <v>3.33332544865589E-7</v>
      </c>
      <c r="HJ8">
        <v>0</v>
      </c>
      <c r="HK8">
        <v>0</v>
      </c>
      <c r="HL8">
        <v>0</v>
      </c>
      <c r="HM8">
        <v>0</v>
      </c>
      <c r="HN8">
        <v>0</v>
      </c>
      <c r="HO8">
        <v>1.0391894192210101E-2</v>
      </c>
      <c r="HP8">
        <v>0.51655884718058398</v>
      </c>
      <c r="HQ8">
        <v>1.0192379630850099E-2</v>
      </c>
      <c r="HR8">
        <v>8.8447885304050505E-4</v>
      </c>
      <c r="HS8">
        <v>0.73882327566101502</v>
      </c>
      <c r="HT8">
        <v>-999</v>
      </c>
      <c r="HU8">
        <v>1</v>
      </c>
      <c r="HV8">
        <v>0.76086850240826898</v>
      </c>
      <c r="HW8">
        <v>0.23913149759173</v>
      </c>
      <c r="HX8">
        <v>12488.1536711879</v>
      </c>
      <c r="HY8">
        <v>401.367999482588</v>
      </c>
      <c r="HZ8">
        <v>40.275750965822397</v>
      </c>
      <c r="IA8">
        <v>-0.123719276523596</v>
      </c>
      <c r="IB8">
        <v>0</v>
      </c>
      <c r="IC8">
        <v>0</v>
      </c>
      <c r="ID8">
        <v>0</v>
      </c>
      <c r="IE8">
        <v>0</v>
      </c>
      <c r="IF8">
        <v>0</v>
      </c>
      <c r="IG8">
        <v>0</v>
      </c>
      <c r="IH8">
        <v>0</v>
      </c>
      <c r="II8">
        <v>46.337800049999601</v>
      </c>
      <c r="IJ8">
        <v>463.37800049999902</v>
      </c>
      <c r="IK8">
        <v>9.6594269977658895E-3</v>
      </c>
      <c r="IL8">
        <v>2.07383301207811E-3</v>
      </c>
      <c r="IM8">
        <v>1.1733260009843999E-2</v>
      </c>
      <c r="IN8">
        <v>1.24237739302498E-3</v>
      </c>
      <c r="IO8">
        <v>0.41982566594915599</v>
      </c>
      <c r="IP8">
        <v>1.7704130583404299E-2</v>
      </c>
      <c r="IQ8">
        <v>1.9623235850520998E-3</v>
      </c>
      <c r="IR8">
        <v>0.304035372021003</v>
      </c>
      <c r="IS8">
        <v>0.25931750406787901</v>
      </c>
      <c r="IT8">
        <v>0.233956875897115</v>
      </c>
      <c r="IU8">
        <v>0.29218381341833899</v>
      </c>
      <c r="IV8">
        <v>1.31131396288241E-2</v>
      </c>
      <c r="IW8">
        <v>1.50322448959408E-3</v>
      </c>
      <c r="IX8">
        <v>7.5473930095573294E-2</v>
      </c>
      <c r="IY8">
        <v>2.7146278709151402E-3</v>
      </c>
      <c r="IZ8">
        <v>2.7146278709151201E-4</v>
      </c>
      <c r="JA8">
        <v>7.5136905124184097E-2</v>
      </c>
      <c r="JB8">
        <v>2.70250583911729E-3</v>
      </c>
      <c r="JC8">
        <v>2.70250583911727E-4</v>
      </c>
      <c r="JD8">
        <v>1.6264857303510899E-4</v>
      </c>
      <c r="JE8">
        <v>3.0566071010859198E-3</v>
      </c>
      <c r="JF8" s="159">
        <v>3.3881317890171999E-19</v>
      </c>
      <c r="JG8">
        <v>0</v>
      </c>
      <c r="JH8">
        <v>4.0823854580973899E-3</v>
      </c>
      <c r="JI8">
        <v>5.3109768048082903E-4</v>
      </c>
      <c r="JJ8">
        <v>-0.49103999506612001</v>
      </c>
      <c r="JK8">
        <v>1.6264857303510899E-4</v>
      </c>
      <c r="JL8" s="159">
        <v>6.5753399999999896E-6</v>
      </c>
      <c r="JM8">
        <v>-0.49103999506612001</v>
      </c>
      <c r="JN8">
        <v>0</v>
      </c>
      <c r="JO8">
        <v>3.1608246475616499</v>
      </c>
      <c r="JP8">
        <v>-1.9479900894596499E-3</v>
      </c>
      <c r="JQ8">
        <v>1.05392939155791E-4</v>
      </c>
      <c r="JR8">
        <v>6.9420053812841304E-2</v>
      </c>
      <c r="JS8">
        <v>1469.45751309767</v>
      </c>
      <c r="JT8">
        <v>5.2917016141723401E-2</v>
      </c>
      <c r="JU8">
        <v>0</v>
      </c>
      <c r="JV8">
        <v>365</v>
      </c>
      <c r="JW8">
        <v>0</v>
      </c>
      <c r="JX8">
        <v>-0.40268092994350901</v>
      </c>
      <c r="JY8">
        <v>0</v>
      </c>
      <c r="JZ8">
        <v>1.2946856882647999</v>
      </c>
      <c r="KA8">
        <v>1.3903141984044101</v>
      </c>
      <c r="KB8">
        <v>1.3979718546847499</v>
      </c>
      <c r="KC8">
        <v>0</v>
      </c>
      <c r="KD8">
        <v>0</v>
      </c>
      <c r="KE8">
        <v>0</v>
      </c>
      <c r="KF8">
        <v>3.45125639622826E-3</v>
      </c>
      <c r="KG8">
        <v>2.1413119402866301E-2</v>
      </c>
      <c r="KH8">
        <v>4.1364545578633699E-2</v>
      </c>
      <c r="KI8">
        <v>0</v>
      </c>
      <c r="KJ8">
        <v>0</v>
      </c>
      <c r="KK8">
        <v>0</v>
      </c>
      <c r="KL8">
        <v>0</v>
      </c>
      <c r="KM8">
        <v>0</v>
      </c>
      <c r="KN8">
        <v>0</v>
      </c>
      <c r="KO8">
        <v>0</v>
      </c>
      <c r="KP8">
        <v>0</v>
      </c>
      <c r="KQ8">
        <v>0</v>
      </c>
      <c r="KR8">
        <v>0</v>
      </c>
      <c r="KS8">
        <v>0</v>
      </c>
      <c r="KT8">
        <v>0</v>
      </c>
      <c r="KU8">
        <v>0.34999999999999898</v>
      </c>
      <c r="KV8">
        <v>-0.12015154460043601</v>
      </c>
      <c r="KW8">
        <v>1.9026571098220201E-3</v>
      </c>
      <c r="KX8">
        <v>30774.932923898399</v>
      </c>
      <c r="KY8">
        <v>0</v>
      </c>
      <c r="KZ8">
        <v>0.210017696758031</v>
      </c>
      <c r="LA8">
        <v>1.73602675993533E-5</v>
      </c>
      <c r="LB8">
        <v>0</v>
      </c>
      <c r="LC8">
        <v>-12.176271772066899</v>
      </c>
      <c r="LD8">
        <v>1.5693834372583398E-2</v>
      </c>
      <c r="LE8">
        <v>3.3904097854561099E-3</v>
      </c>
      <c r="LF8">
        <v>1.5693834372583398E-2</v>
      </c>
      <c r="LG8">
        <v>0.93395886177593801</v>
      </c>
      <c r="LH8">
        <v>1.21927143383629</v>
      </c>
      <c r="LI8">
        <v>0</v>
      </c>
      <c r="LJ8">
        <v>0</v>
      </c>
      <c r="LK8">
        <v>0.238609831580054</v>
      </c>
      <c r="LL8">
        <v>0</v>
      </c>
      <c r="LM8">
        <v>0</v>
      </c>
      <c r="LN8">
        <v>0</v>
      </c>
      <c r="LO8">
        <v>0</v>
      </c>
      <c r="LP8">
        <v>0</v>
      </c>
      <c r="LQ8">
        <v>0</v>
      </c>
      <c r="LR8">
        <v>0</v>
      </c>
      <c r="LS8">
        <v>0</v>
      </c>
      <c r="LT8">
        <v>-999</v>
      </c>
      <c r="LU8">
        <v>0.42549283915428499</v>
      </c>
      <c r="LV8">
        <v>7</v>
      </c>
      <c r="LW8">
        <v>23.759999999999899</v>
      </c>
      <c r="LX8">
        <v>0.221999999999999</v>
      </c>
      <c r="LY8">
        <v>0</v>
      </c>
      <c r="LZ8">
        <v>-999</v>
      </c>
      <c r="MA8">
        <v>0</v>
      </c>
      <c r="MB8">
        <v>0</v>
      </c>
      <c r="MC8">
        <v>423.75999999999902</v>
      </c>
      <c r="MD8">
        <v>-23.6999999999999</v>
      </c>
      <c r="ME8">
        <v>-33.6</v>
      </c>
      <c r="MF8">
        <v>0</v>
      </c>
      <c r="MG8">
        <v>8.0706896550000007</v>
      </c>
      <c r="MH8">
        <v>0</v>
      </c>
      <c r="MI8">
        <v>0</v>
      </c>
      <c r="MJ8">
        <v>0</v>
      </c>
      <c r="MK8">
        <v>0</v>
      </c>
      <c r="ML8">
        <v>0</v>
      </c>
      <c r="MM8">
        <v>0</v>
      </c>
      <c r="MN8">
        <v>0</v>
      </c>
      <c r="MO8">
        <v>0</v>
      </c>
      <c r="MP8">
        <v>0</v>
      </c>
      <c r="MQ8">
        <v>0</v>
      </c>
      <c r="MR8">
        <v>0</v>
      </c>
      <c r="MS8">
        <v>0</v>
      </c>
      <c r="MT8">
        <v>0</v>
      </c>
      <c r="MU8">
        <v>0</v>
      </c>
      <c r="MV8">
        <v>0</v>
      </c>
    </row>
    <row r="9" spans="1:360" x14ac:dyDescent="0.25">
      <c r="A9">
        <v>2920</v>
      </c>
      <c r="B9">
        <v>0</v>
      </c>
      <c r="C9">
        <v>-33.6</v>
      </c>
      <c r="D9">
        <v>-23.6999999999999</v>
      </c>
      <c r="E9">
        <v>400</v>
      </c>
      <c r="F9">
        <v>0</v>
      </c>
      <c r="G9">
        <v>0</v>
      </c>
      <c r="H9">
        <v>0</v>
      </c>
      <c r="I9">
        <v>0</v>
      </c>
      <c r="J9">
        <v>0</v>
      </c>
      <c r="K9">
        <v>0</v>
      </c>
      <c r="L9" s="159">
        <v>6.5753399999999896E-6</v>
      </c>
      <c r="M9">
        <v>0</v>
      </c>
      <c r="N9">
        <v>0</v>
      </c>
      <c r="O9">
        <v>0</v>
      </c>
      <c r="P9">
        <v>0</v>
      </c>
      <c r="Q9">
        <v>0</v>
      </c>
      <c r="R9">
        <v>0</v>
      </c>
      <c r="S9">
        <v>0</v>
      </c>
      <c r="T9">
        <v>0</v>
      </c>
      <c r="U9">
        <v>658.99742318824894</v>
      </c>
      <c r="V9">
        <v>13.133703775873601</v>
      </c>
      <c r="W9">
        <v>1.2760722599829899</v>
      </c>
      <c r="X9">
        <v>0.39742782640354601</v>
      </c>
      <c r="Y9">
        <v>0.29271333651735398</v>
      </c>
      <c r="Z9">
        <v>0.309858837079099</v>
      </c>
      <c r="AA9">
        <v>0.11326412495784401</v>
      </c>
      <c r="AB9">
        <v>0.48465141362158198</v>
      </c>
      <c r="AC9">
        <v>0.40208446142057203</v>
      </c>
      <c r="AD9">
        <v>0.88379327549959696</v>
      </c>
      <c r="AE9">
        <v>4.5571735269038398E-2</v>
      </c>
      <c r="AF9">
        <v>7.0634989231364104E-2</v>
      </c>
      <c r="AG9">
        <v>0</v>
      </c>
      <c r="AH9">
        <v>3388.8407960211398</v>
      </c>
      <c r="AI9">
        <v>80.817522202937596</v>
      </c>
      <c r="AJ9">
        <v>8.1346478359573204</v>
      </c>
      <c r="AK9">
        <v>390.78060853754801</v>
      </c>
      <c r="AL9">
        <v>7.2562712637078199</v>
      </c>
      <c r="AM9">
        <v>0.81400062798878603</v>
      </c>
      <c r="AN9">
        <v>8709.2813322896</v>
      </c>
      <c r="AO9">
        <v>313.25330230366501</v>
      </c>
      <c r="AP9">
        <v>31.325330230366198</v>
      </c>
      <c r="AQ9">
        <v>2.8475059050134199E-2</v>
      </c>
      <c r="AR9">
        <v>5.7662999499793702E-3</v>
      </c>
      <c r="AS9">
        <v>2.82154946913954E-2</v>
      </c>
      <c r="AT9">
        <v>9.48</v>
      </c>
      <c r="AU9">
        <v>5.9997463231962698</v>
      </c>
      <c r="AV9">
        <v>0</v>
      </c>
      <c r="AW9">
        <v>83.566072341579499</v>
      </c>
      <c r="AX9">
        <v>65.947281684627896</v>
      </c>
      <c r="AY9">
        <v>361.638302795485</v>
      </c>
      <c r="AZ9">
        <v>0.54833294000258403</v>
      </c>
      <c r="BA9">
        <v>0.80856111723079105</v>
      </c>
      <c r="BB9">
        <v>1.36713524787369E-2</v>
      </c>
      <c r="BC9">
        <v>1.1398773635419601E-3</v>
      </c>
      <c r="BD9">
        <v>0.58884894172844604</v>
      </c>
      <c r="BE9">
        <v>9.1219484859877999E-3</v>
      </c>
      <c r="BF9">
        <v>7.5443725724705802E-4</v>
      </c>
      <c r="BG9">
        <v>766.29999847710098</v>
      </c>
      <c r="BH9">
        <v>-1626.59999865293</v>
      </c>
      <c r="BI9">
        <v>415.65165603277597</v>
      </c>
      <c r="BJ9">
        <v>208.45888979796999</v>
      </c>
      <c r="BK9">
        <v>5.1724386121331198</v>
      </c>
      <c r="BL9">
        <v>4.5409257546801403</v>
      </c>
      <c r="BM9">
        <v>189.31843619205901</v>
      </c>
      <c r="BN9">
        <v>21.1745338117119</v>
      </c>
      <c r="BO9">
        <v>210.49297000377101</v>
      </c>
      <c r="BP9">
        <v>3.36923156345456</v>
      </c>
      <c r="BQ9">
        <v>0.28334555759470498</v>
      </c>
      <c r="BR9">
        <v>203.286451185837</v>
      </c>
      <c r="BS9">
        <v>2.15290261599689</v>
      </c>
      <c r="BT9">
        <v>0.28511782910480998</v>
      </c>
      <c r="BU9">
        <v>3.4078194348751798</v>
      </c>
      <c r="BV9">
        <v>1.62555930668644</v>
      </c>
      <c r="BW9">
        <v>0.55498289719411897</v>
      </c>
      <c r="BX9">
        <v>1.22727723099463</v>
      </c>
      <c r="BY9">
        <v>0</v>
      </c>
      <c r="BZ9">
        <v>2.9760488981341302</v>
      </c>
      <c r="CA9">
        <v>0.393182665320433</v>
      </c>
      <c r="CB9">
        <v>0.28574876626830797</v>
      </c>
      <c r="CC9">
        <v>0.23923875330723701</v>
      </c>
      <c r="CD9">
        <v>4.4106804287467799E-2</v>
      </c>
      <c r="CE9">
        <v>20.940485506336799</v>
      </c>
      <c r="CF9">
        <v>160.612783908605</v>
      </c>
      <c r="CG9">
        <v>42.580336601080496</v>
      </c>
      <c r="CH9">
        <v>0.38883670250777502</v>
      </c>
      <c r="CI9">
        <v>6.9279400350167997</v>
      </c>
      <c r="CJ9">
        <v>1.6689038920921799</v>
      </c>
      <c r="CK9">
        <v>9.2148705084507601</v>
      </c>
      <c r="CL9">
        <v>1.5315191397065</v>
      </c>
      <c r="CM9">
        <v>9.1429166507397797E-2</v>
      </c>
      <c r="CN9">
        <v>4.3619278900095197E-2</v>
      </c>
      <c r="CO9">
        <v>0.81752358051796503</v>
      </c>
      <c r="CP9">
        <v>0.94915380615726297</v>
      </c>
      <c r="CQ9">
        <v>0.15315191397064901</v>
      </c>
      <c r="CR9">
        <v>42.673667277231402</v>
      </c>
      <c r="CS9">
        <v>1.53487603465513</v>
      </c>
      <c r="CT9">
        <v>0.15348760346551099</v>
      </c>
      <c r="CU9">
        <v>1.4699999999999901E-2</v>
      </c>
      <c r="CV9">
        <v>1.8489079501522599E-3</v>
      </c>
      <c r="CW9">
        <v>2.2090375520250598</v>
      </c>
      <c r="CX9">
        <v>2.02999999999997E-2</v>
      </c>
      <c r="CY9">
        <v>5.4332950325772702E-3</v>
      </c>
      <c r="CZ9">
        <v>0</v>
      </c>
      <c r="DA9">
        <v>2.3999991000028401E-3</v>
      </c>
      <c r="DB9">
        <v>1.49994822282229E-3</v>
      </c>
      <c r="DC9">
        <v>1.9999999999999801E-3</v>
      </c>
      <c r="DD9">
        <v>4.2527878859186102E-3</v>
      </c>
      <c r="DE9">
        <v>1.41408066992051E-3</v>
      </c>
      <c r="DF9">
        <v>2.3999990999999999E-3</v>
      </c>
      <c r="DG9">
        <v>0</v>
      </c>
      <c r="DH9">
        <v>0</v>
      </c>
      <c r="DI9">
        <v>0.23180769399999801</v>
      </c>
      <c r="DJ9">
        <v>1.8846155199999801E-2</v>
      </c>
      <c r="DK9">
        <v>2.1483350968794599</v>
      </c>
      <c r="DL9">
        <v>0.14023075044905001</v>
      </c>
      <c r="DM9">
        <v>94.169837417548493</v>
      </c>
      <c r="DN9">
        <v>201.02665926108901</v>
      </c>
      <c r="DO9">
        <v>327.66000000000003</v>
      </c>
      <c r="DP9">
        <v>32.392463317587797</v>
      </c>
      <c r="DQ9">
        <v>157.94999999999899</v>
      </c>
      <c r="DR9">
        <v>169.71</v>
      </c>
      <c r="DS9">
        <v>154.59765786413001</v>
      </c>
      <c r="DT9">
        <v>0</v>
      </c>
      <c r="DU9">
        <v>0</v>
      </c>
      <c r="DV9">
        <v>0</v>
      </c>
      <c r="DW9">
        <v>0</v>
      </c>
      <c r="DX9">
        <v>0</v>
      </c>
      <c r="DY9">
        <v>0</v>
      </c>
      <c r="DZ9">
        <v>0</v>
      </c>
      <c r="EA9">
        <v>0</v>
      </c>
      <c r="EB9">
        <v>0</v>
      </c>
      <c r="EC9">
        <v>0</v>
      </c>
      <c r="ED9">
        <v>0</v>
      </c>
      <c r="EE9">
        <v>0</v>
      </c>
      <c r="EF9">
        <v>1.3495877500614799</v>
      </c>
      <c r="EG9">
        <v>0</v>
      </c>
      <c r="EH9">
        <v>0</v>
      </c>
      <c r="EI9">
        <v>0</v>
      </c>
      <c r="EJ9">
        <v>0</v>
      </c>
      <c r="EK9">
        <v>0</v>
      </c>
      <c r="EL9">
        <v>0</v>
      </c>
      <c r="EM9">
        <v>0</v>
      </c>
      <c r="EN9">
        <v>0</v>
      </c>
      <c r="EO9">
        <v>0</v>
      </c>
      <c r="EP9">
        <v>0</v>
      </c>
      <c r="EQ9">
        <v>0</v>
      </c>
      <c r="ER9">
        <v>0</v>
      </c>
      <c r="ES9">
        <v>0</v>
      </c>
      <c r="ET9">
        <v>0</v>
      </c>
      <c r="EU9">
        <v>0</v>
      </c>
      <c r="EV9">
        <v>773.92637233757296</v>
      </c>
      <c r="EW9">
        <v>-28.649999999999899</v>
      </c>
      <c r="EX9">
        <v>1387.36299618578</v>
      </c>
      <c r="EY9">
        <v>810.59827298461403</v>
      </c>
      <c r="EZ9">
        <v>105.620476304184</v>
      </c>
      <c r="FA9">
        <v>617.97720538344799</v>
      </c>
      <c r="FB9">
        <v>663.76531982421795</v>
      </c>
      <c r="FC9">
        <v>0.45554111429994598</v>
      </c>
      <c r="FD9">
        <v>0.83077466456382998</v>
      </c>
      <c r="FE9">
        <v>0</v>
      </c>
      <c r="FF9">
        <v>1</v>
      </c>
      <c r="FG9" s="159">
        <v>5.9080064260596098E-13</v>
      </c>
      <c r="FH9">
        <v>0</v>
      </c>
      <c r="FI9">
        <v>5.4512674794765098E-5</v>
      </c>
      <c r="FJ9">
        <v>-6.02894283430785E-3</v>
      </c>
      <c r="FK9" s="159">
        <v>6.57534000000779E-6</v>
      </c>
      <c r="FL9" s="159">
        <v>3.39925427498575E-6</v>
      </c>
      <c r="FM9" s="159">
        <v>4.1094264118483003E-6</v>
      </c>
      <c r="FN9">
        <v>0</v>
      </c>
      <c r="FO9">
        <v>0</v>
      </c>
      <c r="FP9">
        <v>0</v>
      </c>
      <c r="FQ9">
        <v>0</v>
      </c>
      <c r="FR9">
        <v>0</v>
      </c>
      <c r="FS9">
        <v>0</v>
      </c>
      <c r="FT9">
        <v>0</v>
      </c>
      <c r="FU9">
        <v>0</v>
      </c>
      <c r="FV9">
        <v>-999</v>
      </c>
      <c r="FW9">
        <v>0.459297545870468</v>
      </c>
      <c r="FX9">
        <v>3.1234460798576398E-3</v>
      </c>
      <c r="FY9">
        <v>1.1258431894518801</v>
      </c>
      <c r="FZ9">
        <v>9.840823227306051E-4</v>
      </c>
      <c r="GA9">
        <v>43.996168471191702</v>
      </c>
      <c r="GB9">
        <v>1.08247800329557E-2</v>
      </c>
      <c r="GC9">
        <v>2.9256162251231699E-3</v>
      </c>
      <c r="GD9">
        <v>0</v>
      </c>
      <c r="GE9">
        <v>7.03314462771142E-3</v>
      </c>
      <c r="GF9">
        <v>0.54682722067807399</v>
      </c>
      <c r="GG9">
        <v>5.6123184302800302E-4</v>
      </c>
      <c r="GH9">
        <v>9.4666672038835505E-3</v>
      </c>
      <c r="GI9">
        <v>1.8721655936071099E-2</v>
      </c>
      <c r="GJ9">
        <v>9.1978253960300199E-4</v>
      </c>
      <c r="GK9">
        <v>1.78653667162063E-3</v>
      </c>
      <c r="GL9">
        <v>0.37235940607633</v>
      </c>
      <c r="GM9">
        <v>6.1841988186080001E-3</v>
      </c>
      <c r="GN9">
        <v>5.1454001751386803E-4</v>
      </c>
      <c r="GO9">
        <v>0</v>
      </c>
      <c r="GP9">
        <v>0</v>
      </c>
      <c r="GQ9">
        <v>0</v>
      </c>
      <c r="GR9">
        <v>5.8564631271006903E-2</v>
      </c>
      <c r="GS9">
        <v>1.08746657760685E-3</v>
      </c>
      <c r="GT9">
        <v>1.21990819378005E-4</v>
      </c>
      <c r="GU9">
        <v>3.6865585774425898E-2</v>
      </c>
      <c r="GV9">
        <v>6.8454443447395197E-4</v>
      </c>
      <c r="GW9">
        <v>7.6791451049377702E-5</v>
      </c>
      <c r="GX9">
        <v>0.113272937114687</v>
      </c>
      <c r="GY9">
        <v>0.124116358667791</v>
      </c>
      <c r="GZ9">
        <v>59.260707673877299</v>
      </c>
      <c r="HA9">
        <v>676.98846995614997</v>
      </c>
      <c r="HB9">
        <v>0</v>
      </c>
      <c r="HC9">
        <v>0.99981316730675796</v>
      </c>
      <c r="HD9">
        <v>0.393996359335129</v>
      </c>
      <c r="HE9">
        <v>1.0226039396188101E-2</v>
      </c>
      <c r="HF9">
        <v>8.87120949113525E-4</v>
      </c>
      <c r="HG9">
        <v>1.1811166656684E-2</v>
      </c>
      <c r="HH9" s="159">
        <v>4.7618738367554802E-7</v>
      </c>
      <c r="HI9" s="159">
        <v>3.3333254556554098E-7</v>
      </c>
      <c r="HJ9">
        <v>0</v>
      </c>
      <c r="HK9">
        <v>0</v>
      </c>
      <c r="HL9">
        <v>0</v>
      </c>
      <c r="HM9">
        <v>0</v>
      </c>
      <c r="HN9">
        <v>0</v>
      </c>
      <c r="HO9">
        <v>1.04386749126086E-2</v>
      </c>
      <c r="HP9">
        <v>0.51811271800292102</v>
      </c>
      <c r="HQ9">
        <v>1.0226039396188101E-2</v>
      </c>
      <c r="HR9">
        <v>8.87120949113525E-4</v>
      </c>
      <c r="HS9">
        <v>0.73828505519745202</v>
      </c>
      <c r="HT9">
        <v>-999</v>
      </c>
      <c r="HU9">
        <v>1</v>
      </c>
      <c r="HV9">
        <v>0.76237172712947199</v>
      </c>
      <c r="HW9">
        <v>0.23762827287052701</v>
      </c>
      <c r="HX9">
        <v>12488.9027368482</v>
      </c>
      <c r="HY9">
        <v>401.32709577031</v>
      </c>
      <c r="HZ9">
        <v>40.273978694312298</v>
      </c>
      <c r="IA9">
        <v>-0.124116358667791</v>
      </c>
      <c r="IB9">
        <v>0</v>
      </c>
      <c r="IC9">
        <v>0</v>
      </c>
      <c r="ID9">
        <v>0</v>
      </c>
      <c r="IE9">
        <v>0</v>
      </c>
      <c r="IF9">
        <v>0</v>
      </c>
      <c r="IG9">
        <v>0</v>
      </c>
      <c r="IH9">
        <v>0</v>
      </c>
      <c r="II9">
        <v>46.337800049999601</v>
      </c>
      <c r="IJ9">
        <v>463.37800049999902</v>
      </c>
      <c r="IK9">
        <v>9.6884086262424892E-3</v>
      </c>
      <c r="IL9">
        <v>2.0815725158282402E-3</v>
      </c>
      <c r="IM9">
        <v>1.1769981142070699E-2</v>
      </c>
      <c r="IN9">
        <v>1.22621244115684E-3</v>
      </c>
      <c r="IO9">
        <v>0.41990655758253698</v>
      </c>
      <c r="IP9">
        <v>1.7738287520866699E-2</v>
      </c>
      <c r="IQ9">
        <v>1.9459978331370299E-3</v>
      </c>
      <c r="IR9">
        <v>0.303562197464254</v>
      </c>
      <c r="IS9">
        <v>0.258465149820854</v>
      </c>
      <c r="IT9">
        <v>0.235597854405388</v>
      </c>
      <c r="IU9">
        <v>0.29243880023313101</v>
      </c>
      <c r="IV9">
        <v>1.31535583792205E-2</v>
      </c>
      <c r="IW9">
        <v>1.4875249189724099E-3</v>
      </c>
      <c r="IX9">
        <v>7.5431520222959306E-2</v>
      </c>
      <c r="IY9">
        <v>2.7131024829824598E-3</v>
      </c>
      <c r="IZ9">
        <v>2.7131024829824397E-4</v>
      </c>
      <c r="JA9">
        <v>7.5137086442828099E-2</v>
      </c>
      <c r="JB9">
        <v>2.70251236074196E-3</v>
      </c>
      <c r="JC9">
        <v>2.7025123607419399E-4</v>
      </c>
      <c r="JD9">
        <v>1.6301736425148499E-4</v>
      </c>
      <c r="JE9">
        <v>3.0631063807368799E-3</v>
      </c>
      <c r="JF9" s="159">
        <v>4.2012834183813201E-19</v>
      </c>
      <c r="JG9">
        <v>0</v>
      </c>
      <c r="JH9">
        <v>4.0860895978917502E-3</v>
      </c>
      <c r="JI9">
        <v>5.3156371388976597E-4</v>
      </c>
      <c r="JJ9">
        <v>-0.491692245343751</v>
      </c>
      <c r="JK9">
        <v>1.6301736425148499E-4</v>
      </c>
      <c r="JL9" s="159">
        <v>6.5753399999999896E-6</v>
      </c>
      <c r="JM9">
        <v>-0.491692245343751</v>
      </c>
      <c r="JN9">
        <v>0</v>
      </c>
      <c r="JO9">
        <v>3.2559112092536902</v>
      </c>
      <c r="JP9">
        <v>-2.2376317243831502E-3</v>
      </c>
      <c r="JQ9">
        <v>1.4721121408136999E-4</v>
      </c>
      <c r="JR9">
        <v>7.1040003774228894E-2</v>
      </c>
      <c r="JS9">
        <v>1474.3635874757999</v>
      </c>
      <c r="JT9">
        <v>5.2692019598475803E-2</v>
      </c>
      <c r="JU9">
        <v>0</v>
      </c>
      <c r="JV9">
        <v>365</v>
      </c>
      <c r="JW9">
        <v>0</v>
      </c>
      <c r="JX9">
        <v>-0.40268092994350901</v>
      </c>
      <c r="JY9">
        <v>0</v>
      </c>
      <c r="JZ9">
        <v>1.29526573964612</v>
      </c>
      <c r="KA9">
        <v>1.3903547437853101</v>
      </c>
      <c r="KB9">
        <v>1.3994542974021</v>
      </c>
      <c r="KC9">
        <v>0</v>
      </c>
      <c r="KD9">
        <v>0</v>
      </c>
      <c r="KE9">
        <v>0</v>
      </c>
      <c r="KF9">
        <v>3.4572860002405302E-3</v>
      </c>
      <c r="KG9">
        <v>2.14629441525656E-2</v>
      </c>
      <c r="KH9">
        <v>4.1285804685134202E-2</v>
      </c>
      <c r="KI9">
        <v>0</v>
      </c>
      <c r="KJ9">
        <v>0</v>
      </c>
      <c r="KK9">
        <v>0</v>
      </c>
      <c r="KL9">
        <v>0</v>
      </c>
      <c r="KM9">
        <v>0</v>
      </c>
      <c r="KN9">
        <v>0</v>
      </c>
      <c r="KO9">
        <v>0</v>
      </c>
      <c r="KP9">
        <v>0</v>
      </c>
      <c r="KQ9">
        <v>0</v>
      </c>
      <c r="KR9">
        <v>0</v>
      </c>
      <c r="KS9">
        <v>0</v>
      </c>
      <c r="KT9">
        <v>0</v>
      </c>
      <c r="KU9">
        <v>0.34999999999999898</v>
      </c>
      <c r="KV9">
        <v>-0.119903458444754</v>
      </c>
      <c r="KW9">
        <v>1.8988377433100899E-3</v>
      </c>
      <c r="KX9">
        <v>30898.860269172401</v>
      </c>
      <c r="KY9">
        <v>0</v>
      </c>
      <c r="KZ9">
        <v>0.210026637597132</v>
      </c>
      <c r="LA9">
        <v>1.73602675993533E-5</v>
      </c>
      <c r="LB9">
        <v>0</v>
      </c>
      <c r="LC9">
        <v>-12.175095683523001</v>
      </c>
      <c r="LD9">
        <v>1.56945889164306E-2</v>
      </c>
      <c r="LE9">
        <v>3.3911216192741901E-3</v>
      </c>
      <c r="LF9">
        <v>1.56945889164306E-2</v>
      </c>
      <c r="LG9">
        <v>0.93450671992004597</v>
      </c>
      <c r="LH9">
        <v>1.21989399990914</v>
      </c>
      <c r="LI9">
        <v>0</v>
      </c>
      <c r="LJ9">
        <v>0</v>
      </c>
      <c r="LK9">
        <v>0.23876020669022699</v>
      </c>
      <c r="LL9">
        <v>0</v>
      </c>
      <c r="LM9">
        <v>0</v>
      </c>
      <c r="LN9">
        <v>0</v>
      </c>
      <c r="LO9">
        <v>0</v>
      </c>
      <c r="LP9">
        <v>0</v>
      </c>
      <c r="LQ9">
        <v>0</v>
      </c>
      <c r="LR9">
        <v>0</v>
      </c>
      <c r="LS9">
        <v>0</v>
      </c>
      <c r="LT9">
        <v>-999</v>
      </c>
      <c r="LU9">
        <v>0.42549842563460499</v>
      </c>
      <c r="LV9">
        <v>8</v>
      </c>
      <c r="LW9">
        <v>27.719999999999899</v>
      </c>
      <c r="LX9">
        <v>0.25900000000000001</v>
      </c>
      <c r="LY9">
        <v>0</v>
      </c>
      <c r="LZ9">
        <v>-999</v>
      </c>
      <c r="MA9">
        <v>0</v>
      </c>
      <c r="MB9">
        <v>0</v>
      </c>
      <c r="MC9">
        <v>427.72</v>
      </c>
      <c r="MD9">
        <v>-23.6999999999999</v>
      </c>
      <c r="ME9">
        <v>-33.6</v>
      </c>
      <c r="MF9">
        <v>0</v>
      </c>
      <c r="MG9">
        <v>8.0706896550000007</v>
      </c>
      <c r="MH9">
        <v>0</v>
      </c>
      <c r="MI9">
        <v>0</v>
      </c>
      <c r="MJ9">
        <v>0</v>
      </c>
      <c r="MK9">
        <v>0</v>
      </c>
      <c r="ML9">
        <v>0</v>
      </c>
      <c r="MM9">
        <v>0</v>
      </c>
      <c r="MN9">
        <v>0</v>
      </c>
      <c r="MO9">
        <v>0</v>
      </c>
      <c r="MP9">
        <v>0</v>
      </c>
      <c r="MQ9">
        <v>0</v>
      </c>
      <c r="MR9">
        <v>0</v>
      </c>
      <c r="MS9">
        <v>0</v>
      </c>
      <c r="MT9">
        <v>0</v>
      </c>
      <c r="MU9">
        <v>0</v>
      </c>
      <c r="MV9">
        <v>0</v>
      </c>
    </row>
    <row r="10" spans="1:360" x14ac:dyDescent="0.25">
      <c r="A10">
        <v>3285</v>
      </c>
      <c r="B10">
        <v>0</v>
      </c>
      <c r="C10">
        <v>-33.6</v>
      </c>
      <c r="D10">
        <v>-23.6999999999999</v>
      </c>
      <c r="E10">
        <v>400</v>
      </c>
      <c r="F10">
        <v>0</v>
      </c>
      <c r="G10">
        <v>0</v>
      </c>
      <c r="H10">
        <v>0</v>
      </c>
      <c r="I10">
        <v>0</v>
      </c>
      <c r="J10">
        <v>0</v>
      </c>
      <c r="K10">
        <v>0</v>
      </c>
      <c r="L10" s="159">
        <v>6.5753399999999896E-6</v>
      </c>
      <c r="M10">
        <v>0</v>
      </c>
      <c r="N10">
        <v>0</v>
      </c>
      <c r="O10">
        <v>0</v>
      </c>
      <c r="P10">
        <v>0</v>
      </c>
      <c r="Q10">
        <v>0</v>
      </c>
      <c r="R10">
        <v>0</v>
      </c>
      <c r="S10">
        <v>0</v>
      </c>
      <c r="T10">
        <v>0</v>
      </c>
      <c r="U10">
        <v>661.38395006392898</v>
      </c>
      <c r="V10">
        <v>13.172795300115199</v>
      </c>
      <c r="W10">
        <v>1.2786271095914401</v>
      </c>
      <c r="X10">
        <v>0.394696254654121</v>
      </c>
      <c r="Y10">
        <v>0.291821832233643</v>
      </c>
      <c r="Z10">
        <v>0.313481913112234</v>
      </c>
      <c r="AA10">
        <v>0.113246236402664</v>
      </c>
      <c r="AB10">
        <v>0.48502061377358202</v>
      </c>
      <c r="AC10">
        <v>0.40173314982375202</v>
      </c>
      <c r="AD10">
        <v>0.88377438379386297</v>
      </c>
      <c r="AE10">
        <v>4.54089442435191E-2</v>
      </c>
      <c r="AF10">
        <v>7.0816671962617206E-2</v>
      </c>
      <c r="AG10">
        <v>0</v>
      </c>
      <c r="AH10">
        <v>3389.5582730093402</v>
      </c>
      <c r="AI10">
        <v>80.774941884063196</v>
      </c>
      <c r="AJ10">
        <v>8.1326346477401792</v>
      </c>
      <c r="AK10">
        <v>391.05160044887498</v>
      </c>
      <c r="AL10">
        <v>7.2613032196848897</v>
      </c>
      <c r="AM10">
        <v>0.81456510734415899</v>
      </c>
      <c r="AN10">
        <v>8709.1657955288192</v>
      </c>
      <c r="AO10">
        <v>313.249146705692</v>
      </c>
      <c r="AP10">
        <v>31.324914670568901</v>
      </c>
      <c r="AQ10">
        <v>2.85433987482509E-2</v>
      </c>
      <c r="AR10">
        <v>5.7857766606821898E-3</v>
      </c>
      <c r="AS10">
        <v>2.78205204707298E-2</v>
      </c>
      <c r="AT10">
        <v>9.48</v>
      </c>
      <c r="AU10">
        <v>5.9996405719555002</v>
      </c>
      <c r="AV10">
        <v>0</v>
      </c>
      <c r="AW10">
        <v>83.619121438220802</v>
      </c>
      <c r="AX10">
        <v>65.966237091572793</v>
      </c>
      <c r="AY10">
        <v>361.632645446975</v>
      </c>
      <c r="AZ10">
        <v>0.54833294000258403</v>
      </c>
      <c r="BA10">
        <v>0.81008112387418196</v>
      </c>
      <c r="BB10">
        <v>1.3693306916068401E-2</v>
      </c>
      <c r="BC10">
        <v>1.1415631595912601E-3</v>
      </c>
      <c r="BD10">
        <v>0.58948666558617902</v>
      </c>
      <c r="BE10">
        <v>9.13346517932297E-3</v>
      </c>
      <c r="BF10">
        <v>7.5449817479737301E-4</v>
      </c>
      <c r="BG10">
        <v>766.29999847710098</v>
      </c>
      <c r="BH10">
        <v>-1626.59999865293</v>
      </c>
      <c r="BI10">
        <v>416.33630091241997</v>
      </c>
      <c r="BJ10">
        <v>208.65385699544501</v>
      </c>
      <c r="BK10">
        <v>5.1834255688107698</v>
      </c>
      <c r="BL10">
        <v>4.5518295781706</v>
      </c>
      <c r="BM10">
        <v>189.59289448760401</v>
      </c>
      <c r="BN10">
        <v>21.2262652103317</v>
      </c>
      <c r="BO10">
        <v>210.81915969793599</v>
      </c>
      <c r="BP10">
        <v>3.3746747188622801</v>
      </c>
      <c r="BQ10">
        <v>0.28361272123502301</v>
      </c>
      <c r="BR10">
        <v>203.47043142663401</v>
      </c>
      <c r="BS10">
        <v>2.1559363567411198</v>
      </c>
      <c r="BT10">
        <v>0.28547698989417097</v>
      </c>
      <c r="BU10">
        <v>3.4137662431038698</v>
      </c>
      <c r="BV10">
        <v>1.6293373223107701</v>
      </c>
      <c r="BW10">
        <v>0.55420471047673103</v>
      </c>
      <c r="BX10">
        <v>1.2302242103163801</v>
      </c>
      <c r="BY10">
        <v>0</v>
      </c>
      <c r="BZ10">
        <v>2.9805314709207198</v>
      </c>
      <c r="CA10">
        <v>0.39414324794156402</v>
      </c>
      <c r="CB10">
        <v>0.286167570843472</v>
      </c>
      <c r="CC10">
        <v>0.239398159832582</v>
      </c>
      <c r="CD10">
        <v>4.42145614024404E-2</v>
      </c>
      <c r="CE10">
        <v>20.955273299005299</v>
      </c>
      <c r="CF10">
        <v>160.794865352871</v>
      </c>
      <c r="CG10">
        <v>42.560029312958399</v>
      </c>
      <c r="CH10">
        <v>0.38911129196449301</v>
      </c>
      <c r="CI10">
        <v>6.9403193754715602</v>
      </c>
      <c r="CJ10">
        <v>1.6715157008583501</v>
      </c>
      <c r="CK10">
        <v>9.2328271029664002</v>
      </c>
      <c r="CL10">
        <v>1.5307887321306799</v>
      </c>
      <c r="CM10">
        <v>9.1652066876377197E-2</v>
      </c>
      <c r="CN10">
        <v>4.36500820470676E-2</v>
      </c>
      <c r="CO10">
        <v>0.80692778133228305</v>
      </c>
      <c r="CP10">
        <v>0.93891033821598902</v>
      </c>
      <c r="CQ10">
        <v>0.15307887321306701</v>
      </c>
      <c r="CR10">
        <v>42.675566073762603</v>
      </c>
      <c r="CS10">
        <v>1.5349443301046599</v>
      </c>
      <c r="CT10">
        <v>0.153494433010466</v>
      </c>
      <c r="CU10">
        <v>1.47000000000003E-2</v>
      </c>
      <c r="CV10">
        <v>1.85589322048099E-3</v>
      </c>
      <c r="CW10">
        <v>2.21089050237011</v>
      </c>
      <c r="CX10">
        <v>2.0300000000000401E-2</v>
      </c>
      <c r="CY10">
        <v>5.4506143243289703E-3</v>
      </c>
      <c r="CZ10">
        <v>0</v>
      </c>
      <c r="DA10">
        <v>2.39999910000286E-3</v>
      </c>
      <c r="DB10">
        <v>1.4999243726276799E-3</v>
      </c>
      <c r="DC10">
        <v>2.0000000000000399E-3</v>
      </c>
      <c r="DD10">
        <v>4.21014361214056E-3</v>
      </c>
      <c r="DE10">
        <v>1.3941731318542899E-3</v>
      </c>
      <c r="DF10">
        <v>2.3999991000000099E-3</v>
      </c>
      <c r="DG10">
        <v>0</v>
      </c>
      <c r="DH10">
        <v>0</v>
      </c>
      <c r="DI10">
        <v>0.231807694000005</v>
      </c>
      <c r="DJ10">
        <v>1.8846155200000402E-2</v>
      </c>
      <c r="DK10">
        <v>2.1557742484088398</v>
      </c>
      <c r="DL10">
        <v>0.14071633475253501</v>
      </c>
      <c r="DM10">
        <v>93.491461475723995</v>
      </c>
      <c r="DN10">
        <v>201.77967732674699</v>
      </c>
      <c r="DO10">
        <v>327.66000000000003</v>
      </c>
      <c r="DP10">
        <v>32.316863095780697</v>
      </c>
      <c r="DQ10">
        <v>157.94999999999899</v>
      </c>
      <c r="DR10">
        <v>169.71</v>
      </c>
      <c r="DS10">
        <v>154.647999248735</v>
      </c>
      <c r="DT10">
        <v>0</v>
      </c>
      <c r="DU10">
        <v>0</v>
      </c>
      <c r="DV10">
        <v>0</v>
      </c>
      <c r="DW10">
        <v>0</v>
      </c>
      <c r="DX10">
        <v>0</v>
      </c>
      <c r="DY10">
        <v>0</v>
      </c>
      <c r="DZ10">
        <v>0</v>
      </c>
      <c r="EA10">
        <v>0</v>
      </c>
      <c r="EB10">
        <v>0</v>
      </c>
      <c r="EC10">
        <v>0</v>
      </c>
      <c r="ED10">
        <v>0</v>
      </c>
      <c r="EE10">
        <v>0</v>
      </c>
      <c r="EF10">
        <v>1.34665935044191</v>
      </c>
      <c r="EG10">
        <v>0</v>
      </c>
      <c r="EH10">
        <v>0</v>
      </c>
      <c r="EI10">
        <v>0</v>
      </c>
      <c r="EJ10">
        <v>0</v>
      </c>
      <c r="EK10">
        <v>0</v>
      </c>
      <c r="EL10">
        <v>0</v>
      </c>
      <c r="EM10">
        <v>0</v>
      </c>
      <c r="EN10">
        <v>0</v>
      </c>
      <c r="EO10">
        <v>0</v>
      </c>
      <c r="EP10">
        <v>0</v>
      </c>
      <c r="EQ10">
        <v>0</v>
      </c>
      <c r="ER10">
        <v>0</v>
      </c>
      <c r="ES10">
        <v>0</v>
      </c>
      <c r="ET10">
        <v>0</v>
      </c>
      <c r="EU10">
        <v>0</v>
      </c>
      <c r="EV10">
        <v>776.42583136387805</v>
      </c>
      <c r="EW10">
        <v>-28.649999999999899</v>
      </c>
      <c r="EX10">
        <v>1392.3872632924799</v>
      </c>
      <c r="EY10">
        <v>812.16198093552703</v>
      </c>
      <c r="EZ10">
        <v>105.15863400974</v>
      </c>
      <c r="FA10">
        <v>620.38317952110697</v>
      </c>
      <c r="FB10">
        <v>666.845458984375</v>
      </c>
      <c r="FC10">
        <v>0.45354918848401099</v>
      </c>
      <c r="FD10">
        <v>0.82714197050039195</v>
      </c>
      <c r="FE10">
        <v>0</v>
      </c>
      <c r="FF10">
        <v>1</v>
      </c>
      <c r="FG10" s="159">
        <v>5.9082601955036201E-13</v>
      </c>
      <c r="FH10">
        <v>0</v>
      </c>
      <c r="FI10">
        <v>5.4512674794765098E-5</v>
      </c>
      <c r="FJ10">
        <v>-5.9964153690874999E-3</v>
      </c>
      <c r="FK10" s="159">
        <v>6.57534000000779E-6</v>
      </c>
      <c r="FL10" s="159">
        <v>3.3514002696480402E-6</v>
      </c>
      <c r="FM10" s="159">
        <v>4.1093539792955798E-6</v>
      </c>
      <c r="FN10">
        <v>0</v>
      </c>
      <c r="FO10">
        <v>0</v>
      </c>
      <c r="FP10">
        <v>0</v>
      </c>
      <c r="FQ10">
        <v>0</v>
      </c>
      <c r="FR10">
        <v>0</v>
      </c>
      <c r="FS10">
        <v>0</v>
      </c>
      <c r="FT10">
        <v>0</v>
      </c>
      <c r="FU10">
        <v>0</v>
      </c>
      <c r="FV10">
        <v>-999</v>
      </c>
      <c r="FW10">
        <v>0.46039496787324902</v>
      </c>
      <c r="FX10">
        <v>3.12802499400308E-3</v>
      </c>
      <c r="FY10">
        <v>1.12949270491451</v>
      </c>
      <c r="FZ10">
        <v>9.8274886247664509E-4</v>
      </c>
      <c r="GA10">
        <v>43.935789182405202</v>
      </c>
      <c r="GB10">
        <v>1.08273374019669E-2</v>
      </c>
      <c r="GC10">
        <v>2.9263074059370101E-3</v>
      </c>
      <c r="GD10">
        <v>0</v>
      </c>
      <c r="GE10">
        <v>7.03708126241674E-3</v>
      </c>
      <c r="GF10">
        <v>0.53912909908425899</v>
      </c>
      <c r="GG10">
        <v>5.6104410480909805E-4</v>
      </c>
      <c r="GH10">
        <v>9.4605830198176508E-3</v>
      </c>
      <c r="GI10">
        <v>1.8712540072534801E-2</v>
      </c>
      <c r="GJ10">
        <v>9.1829848153592096E-4</v>
      </c>
      <c r="GK10">
        <v>1.7858623179462501E-3</v>
      </c>
      <c r="GL10">
        <v>0.37363844161751603</v>
      </c>
      <c r="GM10">
        <v>6.2046140771318996E-3</v>
      </c>
      <c r="GN10">
        <v>5.1572889143015096E-4</v>
      </c>
      <c r="GO10">
        <v>0</v>
      </c>
      <c r="GP10">
        <v>0</v>
      </c>
      <c r="GQ10">
        <v>0</v>
      </c>
      <c r="GR10">
        <v>5.8700355769978001E-2</v>
      </c>
      <c r="GS10">
        <v>1.08998679933778E-3</v>
      </c>
      <c r="GT10">
        <v>1.2227353511410399E-4</v>
      </c>
      <c r="GU10">
        <v>3.6891659086167497E-2</v>
      </c>
      <c r="GV10">
        <v>6.8502858086864503E-4</v>
      </c>
      <c r="GW10">
        <v>7.6845762066013795E-5</v>
      </c>
      <c r="GX10">
        <v>0.113671742476651</v>
      </c>
      <c r="GY10">
        <v>0.124514437305663</v>
      </c>
      <c r="GZ10">
        <v>59.268328001617697</v>
      </c>
      <c r="HA10">
        <v>677.64444052236502</v>
      </c>
      <c r="HB10">
        <v>0</v>
      </c>
      <c r="HC10">
        <v>0.99981316969211897</v>
      </c>
      <c r="HD10">
        <v>0.39515223474056399</v>
      </c>
      <c r="HE10">
        <v>1.02590927363739E-2</v>
      </c>
      <c r="HF10">
        <v>8.8972211229423599E-4</v>
      </c>
      <c r="HG10">
        <v>1.18666634084923E-2</v>
      </c>
      <c r="HH10" s="159">
        <v>4.7618740013443299E-7</v>
      </c>
      <c r="HI10" s="159">
        <v>3.3333254614146102E-7</v>
      </c>
      <c r="HJ10">
        <v>0</v>
      </c>
      <c r="HK10">
        <v>0</v>
      </c>
      <c r="HL10">
        <v>0</v>
      </c>
      <c r="HM10">
        <v>0</v>
      </c>
      <c r="HN10">
        <v>0</v>
      </c>
      <c r="HO10">
        <v>1.0487498370198099E-2</v>
      </c>
      <c r="HP10">
        <v>0.51966667204622696</v>
      </c>
      <c r="HQ10">
        <v>1.02590927363739E-2</v>
      </c>
      <c r="HR10">
        <v>8.8972211229423599E-4</v>
      </c>
      <c r="HS10">
        <v>0.737616476411039</v>
      </c>
      <c r="HT10">
        <v>-999</v>
      </c>
      <c r="HU10">
        <v>1</v>
      </c>
      <c r="HV10">
        <v>0.76386631495171597</v>
      </c>
      <c r="HW10">
        <v>0.236133685048283</v>
      </c>
      <c r="HX10">
        <v>12489.775668987</v>
      </c>
      <c r="HY10">
        <v>401.28539180944</v>
      </c>
      <c r="HZ10">
        <v>40.272114425653299</v>
      </c>
      <c r="IA10">
        <v>-0.124514437305663</v>
      </c>
      <c r="IB10">
        <v>0</v>
      </c>
      <c r="IC10">
        <v>0</v>
      </c>
      <c r="ID10">
        <v>0</v>
      </c>
      <c r="IE10">
        <v>0</v>
      </c>
      <c r="IF10">
        <v>0</v>
      </c>
      <c r="IG10">
        <v>0</v>
      </c>
      <c r="IH10">
        <v>0</v>
      </c>
      <c r="II10">
        <v>46.337800049999601</v>
      </c>
      <c r="IJ10">
        <v>463.37800049999902</v>
      </c>
      <c r="IK10">
        <v>9.72071440270025E-3</v>
      </c>
      <c r="IL10">
        <v>2.0901853915136302E-3</v>
      </c>
      <c r="IM10">
        <v>1.18108997942138E-2</v>
      </c>
      <c r="IN10">
        <v>1.21023153483066E-3</v>
      </c>
      <c r="IO10">
        <v>0.42000124704186098</v>
      </c>
      <c r="IP10">
        <v>1.7776621852310499E-2</v>
      </c>
      <c r="IQ10">
        <v>1.9298487088377401E-3</v>
      </c>
      <c r="IR10">
        <v>0.30309970802066299</v>
      </c>
      <c r="IS10">
        <v>0.25757292044037</v>
      </c>
      <c r="IT10">
        <v>0.23726089952519</v>
      </c>
      <c r="IU10">
        <v>0.29269899169515801</v>
      </c>
      <c r="IV10">
        <v>1.3197845446246701E-2</v>
      </c>
      <c r="IW10">
        <v>1.4719710682313701E-3</v>
      </c>
      <c r="IX10">
        <v>7.5390116165901896E-2</v>
      </c>
      <c r="IY10">
        <v>2.7116132719778802E-3</v>
      </c>
      <c r="IZ10">
        <v>2.7116132719778602E-4</v>
      </c>
      <c r="JA10">
        <v>7.5137125116065698E-2</v>
      </c>
      <c r="JB10">
        <v>2.7025137517315201E-3</v>
      </c>
      <c r="JC10">
        <v>2.7025137517314998E-4</v>
      </c>
      <c r="JD10">
        <v>1.6341171603106899E-4</v>
      </c>
      <c r="JE10">
        <v>3.0704197004307598E-3</v>
      </c>
      <c r="JF10" s="159">
        <v>1.1790698625779799E-18</v>
      </c>
      <c r="JG10">
        <v>0</v>
      </c>
      <c r="JH10">
        <v>4.0894594037644101E-3</v>
      </c>
      <c r="JI10">
        <v>5.3199090857385502E-4</v>
      </c>
      <c r="JJ10">
        <v>-0.492350554116887</v>
      </c>
      <c r="JK10">
        <v>1.6341171603106899E-4</v>
      </c>
      <c r="JL10" s="159">
        <v>6.5753399999999896E-6</v>
      </c>
      <c r="JM10">
        <v>-0.492350554116887</v>
      </c>
      <c r="JN10">
        <v>0</v>
      </c>
      <c r="JO10">
        <v>3.2594590144024602</v>
      </c>
      <c r="JP10">
        <v>-2.5246202209669899E-3</v>
      </c>
      <c r="JQ10">
        <v>1.89855487859497E-4</v>
      </c>
      <c r="JR10">
        <v>7.1998101747496407E-2</v>
      </c>
      <c r="JS10">
        <v>1479.0074306906299</v>
      </c>
      <c r="JT10">
        <v>5.2461615380645699E-2</v>
      </c>
      <c r="JU10">
        <v>0</v>
      </c>
      <c r="JV10">
        <v>365</v>
      </c>
      <c r="JW10">
        <v>0</v>
      </c>
      <c r="JX10">
        <v>-0.40268092994350901</v>
      </c>
      <c r="JY10">
        <v>0</v>
      </c>
      <c r="JZ10">
        <v>1.2961022501312001</v>
      </c>
      <c r="KA10">
        <v>1.3907395338825601</v>
      </c>
      <c r="KB10">
        <v>1.4010322746517001</v>
      </c>
      <c r="KC10">
        <v>0</v>
      </c>
      <c r="KD10">
        <v>0</v>
      </c>
      <c r="KE10">
        <v>0</v>
      </c>
      <c r="KF10">
        <v>3.4629514583661698E-3</v>
      </c>
      <c r="KG10">
        <v>2.1512066980041301E-2</v>
      </c>
      <c r="KH10">
        <v>4.1190175605777798E-2</v>
      </c>
      <c r="KI10">
        <v>0</v>
      </c>
      <c r="KJ10">
        <v>0</v>
      </c>
      <c r="KK10">
        <v>0</v>
      </c>
      <c r="KL10">
        <v>0</v>
      </c>
      <c r="KM10">
        <v>0</v>
      </c>
      <c r="KN10">
        <v>0</v>
      </c>
      <c r="KO10">
        <v>0</v>
      </c>
      <c r="KP10">
        <v>0</v>
      </c>
      <c r="KQ10">
        <v>0</v>
      </c>
      <c r="KR10">
        <v>0</v>
      </c>
      <c r="KS10">
        <v>0</v>
      </c>
      <c r="KT10">
        <v>0</v>
      </c>
      <c r="KU10">
        <v>0.34999999999999898</v>
      </c>
      <c r="KV10">
        <v>-0.119663739853934</v>
      </c>
      <c r="KW10">
        <v>1.89515212391183E-3</v>
      </c>
      <c r="KX10">
        <v>31019.1589760553</v>
      </c>
      <c r="KY10">
        <v>0</v>
      </c>
      <c r="KZ10">
        <v>0.21003708744055899</v>
      </c>
      <c r="LA10">
        <v>1.73602675993533E-5</v>
      </c>
      <c r="LB10">
        <v>0</v>
      </c>
      <c r="LC10">
        <v>-12.1738995811002</v>
      </c>
      <c r="LD10">
        <v>1.5695342547765102E-2</v>
      </c>
      <c r="LE10">
        <v>3.3918325922312502E-3</v>
      </c>
      <c r="LF10">
        <v>1.5695342547765102E-2</v>
      </c>
      <c r="LG10">
        <v>0.93505763786700502</v>
      </c>
      <c r="LH10">
        <v>1.22052004303068</v>
      </c>
      <c r="LI10">
        <v>0</v>
      </c>
      <c r="LJ10">
        <v>0</v>
      </c>
      <c r="LK10">
        <v>0.23891177553777301</v>
      </c>
      <c r="LL10">
        <v>0</v>
      </c>
      <c r="LM10">
        <v>0</v>
      </c>
      <c r="LN10">
        <v>0</v>
      </c>
      <c r="LO10">
        <v>0</v>
      </c>
      <c r="LP10">
        <v>0</v>
      </c>
      <c r="LQ10">
        <v>0</v>
      </c>
      <c r="LR10">
        <v>0</v>
      </c>
      <c r="LS10">
        <v>0</v>
      </c>
      <c r="LT10">
        <v>-999</v>
      </c>
      <c r="LU10">
        <v>0.42550428935193901</v>
      </c>
      <c r="LV10">
        <v>9</v>
      </c>
      <c r="LW10">
        <v>31.68</v>
      </c>
      <c r="LX10">
        <v>0.29599999999999899</v>
      </c>
      <c r="LY10">
        <v>0</v>
      </c>
      <c r="LZ10">
        <v>-999</v>
      </c>
      <c r="MA10">
        <v>0</v>
      </c>
      <c r="MB10">
        <v>0</v>
      </c>
      <c r="MC10">
        <v>431.68</v>
      </c>
      <c r="MD10">
        <v>-23.6999999999999</v>
      </c>
      <c r="ME10">
        <v>-33.6</v>
      </c>
      <c r="MF10">
        <v>0</v>
      </c>
      <c r="MG10">
        <v>8.0706896550000007</v>
      </c>
      <c r="MH10">
        <v>0</v>
      </c>
      <c r="MI10">
        <v>0</v>
      </c>
      <c r="MJ10">
        <v>0</v>
      </c>
      <c r="MK10">
        <v>0</v>
      </c>
      <c r="ML10">
        <v>0</v>
      </c>
      <c r="MM10">
        <v>0</v>
      </c>
      <c r="MN10">
        <v>0</v>
      </c>
      <c r="MO10">
        <v>0</v>
      </c>
      <c r="MP10">
        <v>0</v>
      </c>
      <c r="MQ10">
        <v>0</v>
      </c>
      <c r="MR10">
        <v>0</v>
      </c>
      <c r="MS10">
        <v>0</v>
      </c>
      <c r="MT10">
        <v>0</v>
      </c>
      <c r="MU10">
        <v>0</v>
      </c>
      <c r="MV10">
        <v>0</v>
      </c>
    </row>
    <row r="11" spans="1:360" x14ac:dyDescent="0.25">
      <c r="A11">
        <v>3650</v>
      </c>
      <c r="B11">
        <v>0</v>
      </c>
      <c r="C11">
        <v>-33.6</v>
      </c>
      <c r="D11">
        <v>-23.6999999999999</v>
      </c>
      <c r="E11">
        <v>400</v>
      </c>
      <c r="F11">
        <v>0</v>
      </c>
      <c r="G11">
        <v>0</v>
      </c>
      <c r="H11">
        <v>0</v>
      </c>
      <c r="I11">
        <v>0</v>
      </c>
      <c r="J11">
        <v>0</v>
      </c>
      <c r="K11">
        <v>0</v>
      </c>
      <c r="L11" s="159">
        <v>6.5753399999999896E-6</v>
      </c>
      <c r="M11">
        <v>0</v>
      </c>
      <c r="N11">
        <v>0</v>
      </c>
      <c r="O11">
        <v>0</v>
      </c>
      <c r="P11">
        <v>0</v>
      </c>
      <c r="Q11">
        <v>0</v>
      </c>
      <c r="R11">
        <v>0</v>
      </c>
      <c r="S11">
        <v>0</v>
      </c>
      <c r="T11">
        <v>0</v>
      </c>
      <c r="U11">
        <v>663.60642105596696</v>
      </c>
      <c r="V11">
        <v>13.2112798444864</v>
      </c>
      <c r="W11">
        <v>1.2812686968877101</v>
      </c>
      <c r="X11">
        <v>0.39199678079405498</v>
      </c>
      <c r="Y11">
        <v>0.29091289255473302</v>
      </c>
      <c r="Z11">
        <v>0.31709032665121001</v>
      </c>
      <c r="AA11">
        <v>0.113226038738797</v>
      </c>
      <c r="AB11">
        <v>0.48542275888841901</v>
      </c>
      <c r="AC11">
        <v>0.40135120237278199</v>
      </c>
      <c r="AD11">
        <v>0.88377689621652</v>
      </c>
      <c r="AE11">
        <v>4.5250042592260897E-2</v>
      </c>
      <c r="AF11">
        <v>7.09730611912186E-2</v>
      </c>
      <c r="AG11">
        <v>0</v>
      </c>
      <c r="AH11">
        <v>3390.3595446822101</v>
      </c>
      <c r="AI11">
        <v>80.732851280739993</v>
      </c>
      <c r="AJ11">
        <v>8.1305935232424105</v>
      </c>
      <c r="AK11">
        <v>391.35422017478402</v>
      </c>
      <c r="AL11">
        <v>7.2669224617173196</v>
      </c>
      <c r="AM11">
        <v>0.81519546781126195</v>
      </c>
      <c r="AN11">
        <v>8709.0290101822193</v>
      </c>
      <c r="AO11">
        <v>313.24422684377703</v>
      </c>
      <c r="AP11">
        <v>31.324422684377499</v>
      </c>
      <c r="AQ11">
        <v>2.8614961658167098E-2</v>
      </c>
      <c r="AR11">
        <v>5.8060231555252199E-3</v>
      </c>
      <c r="AS11">
        <v>2.7438587204923599E-2</v>
      </c>
      <c r="AT11">
        <v>9.48</v>
      </c>
      <c r="AU11">
        <v>5.9995153276034001</v>
      </c>
      <c r="AV11">
        <v>0</v>
      </c>
      <c r="AW11">
        <v>83.6722924435728</v>
      </c>
      <c r="AX11">
        <v>65.985499864258898</v>
      </c>
      <c r="AY11">
        <v>361.626994931583</v>
      </c>
      <c r="AZ11">
        <v>0.54833294000258503</v>
      </c>
      <c r="BA11">
        <v>0.81157474766077597</v>
      </c>
      <c r="BB11">
        <v>1.3714152083506801E-2</v>
      </c>
      <c r="BC11">
        <v>1.14318511564525E-3</v>
      </c>
      <c r="BD11">
        <v>0.59000311348457901</v>
      </c>
      <c r="BE11">
        <v>9.1423193042660007E-3</v>
      </c>
      <c r="BF11">
        <v>7.5449856344938799E-4</v>
      </c>
      <c r="BG11">
        <v>766.29999847710098</v>
      </c>
      <c r="BH11">
        <v>-1626.59999865293</v>
      </c>
      <c r="BI11">
        <v>416.927731837995</v>
      </c>
      <c r="BJ11">
        <v>208.77858223993201</v>
      </c>
      <c r="BK11">
        <v>5.12118921535167</v>
      </c>
      <c r="BL11">
        <v>4.5597242902542101</v>
      </c>
      <c r="BM11">
        <v>189.841154980016</v>
      </c>
      <c r="BN11">
        <v>21.274680558132101</v>
      </c>
      <c r="BO11">
        <v>211.11583553814799</v>
      </c>
      <c r="BP11">
        <v>3.3802456768540798</v>
      </c>
      <c r="BQ11">
        <v>0.28391288607623899</v>
      </c>
      <c r="BR11">
        <v>203.65739302458101</v>
      </c>
      <c r="BS11">
        <v>2.1587966964233898</v>
      </c>
      <c r="BT11">
        <v>0.28581563629831802</v>
      </c>
      <c r="BU11">
        <v>3.4187302212252901</v>
      </c>
      <c r="BV11">
        <v>1.6329826626898301</v>
      </c>
      <c r="BW11">
        <v>0.55338964225053699</v>
      </c>
      <c r="BX11">
        <v>1.2323579162849201</v>
      </c>
      <c r="BY11">
        <v>0</v>
      </c>
      <c r="BZ11">
        <v>2.9852034209031801</v>
      </c>
      <c r="CA11">
        <v>0.39504225595089698</v>
      </c>
      <c r="CB11">
        <v>0.28655447337251</v>
      </c>
      <c r="CC11">
        <v>0.23959747493189101</v>
      </c>
      <c r="CD11">
        <v>4.4315411144349101E-2</v>
      </c>
      <c r="CE11">
        <v>20.972060832221899</v>
      </c>
      <c r="CF11">
        <v>160.97971346063801</v>
      </c>
      <c r="CG11">
        <v>42.540894217346199</v>
      </c>
      <c r="CH11">
        <v>0.38942301391846401</v>
      </c>
      <c r="CI11">
        <v>6.9543953939916499</v>
      </c>
      <c r="CJ11">
        <v>1.6745675500852</v>
      </c>
      <c r="CK11">
        <v>9.25273929289731</v>
      </c>
      <c r="CL11">
        <v>1.5301004856885601</v>
      </c>
      <c r="CM11">
        <v>9.1886953345667904E-2</v>
      </c>
      <c r="CN11">
        <v>4.3685050677245499E-2</v>
      </c>
      <c r="CO11">
        <v>0.79658237234454599</v>
      </c>
      <c r="CP11">
        <v>0.92889597388257195</v>
      </c>
      <c r="CQ11">
        <v>0.153010048568855</v>
      </c>
      <c r="CR11">
        <v>42.677679563943499</v>
      </c>
      <c r="CS11">
        <v>1.53502034760293</v>
      </c>
      <c r="CT11">
        <v>0.15350203476029201</v>
      </c>
      <c r="CU11">
        <v>1.46999999999995E-2</v>
      </c>
      <c r="CV11">
        <v>1.86331870769497E-3</v>
      </c>
      <c r="CW11">
        <v>2.21314670220114</v>
      </c>
      <c r="CX11">
        <v>2.0299999999999301E-2</v>
      </c>
      <c r="CY11">
        <v>5.4692633705678796E-3</v>
      </c>
      <c r="CZ11">
        <v>0</v>
      </c>
      <c r="DA11">
        <v>2.3999991000028501E-3</v>
      </c>
      <c r="DB11">
        <v>1.49989558747881E-3</v>
      </c>
      <c r="DC11">
        <v>1.9999999999999298E-3</v>
      </c>
      <c r="DD11">
        <v>4.1683396437029998E-3</v>
      </c>
      <c r="DE11">
        <v>1.3746512353933801E-3</v>
      </c>
      <c r="DF11">
        <v>2.3999991000000099E-3</v>
      </c>
      <c r="DG11">
        <v>0</v>
      </c>
      <c r="DH11">
        <v>0</v>
      </c>
      <c r="DI11">
        <v>0.23180769399999199</v>
      </c>
      <c r="DJ11">
        <v>1.8846155199999302E-2</v>
      </c>
      <c r="DK11">
        <v>2.1634198651358498</v>
      </c>
      <c r="DL11">
        <v>0.14121539589659601</v>
      </c>
      <c r="DM11">
        <v>92.802416965550904</v>
      </c>
      <c r="DN11">
        <v>202.546909058408</v>
      </c>
      <c r="DO11">
        <v>327.66000000000003</v>
      </c>
      <c r="DP11">
        <v>32.238244887954103</v>
      </c>
      <c r="DQ11">
        <v>157.94999999999899</v>
      </c>
      <c r="DR11">
        <v>169.71</v>
      </c>
      <c r="DS11">
        <v>154.699900002096</v>
      </c>
      <c r="DT11">
        <v>0</v>
      </c>
      <c r="DU11">
        <v>0</v>
      </c>
      <c r="DV11">
        <v>0</v>
      </c>
      <c r="DW11">
        <v>0</v>
      </c>
      <c r="DX11">
        <v>0</v>
      </c>
      <c r="DY11">
        <v>0</v>
      </c>
      <c r="DZ11">
        <v>0</v>
      </c>
      <c r="EA11">
        <v>0</v>
      </c>
      <c r="EB11">
        <v>0</v>
      </c>
      <c r="EC11">
        <v>0</v>
      </c>
      <c r="ED11">
        <v>0</v>
      </c>
      <c r="EE11">
        <v>0</v>
      </c>
      <c r="EF11">
        <v>1.34359399988432</v>
      </c>
      <c r="EG11">
        <v>0</v>
      </c>
      <c r="EH11">
        <v>0</v>
      </c>
      <c r="EI11">
        <v>0</v>
      </c>
      <c r="EJ11">
        <v>0</v>
      </c>
      <c r="EK11">
        <v>0</v>
      </c>
      <c r="EL11">
        <v>0</v>
      </c>
      <c r="EM11">
        <v>0</v>
      </c>
      <c r="EN11">
        <v>0</v>
      </c>
      <c r="EO11">
        <v>0</v>
      </c>
      <c r="EP11">
        <v>0</v>
      </c>
      <c r="EQ11">
        <v>0</v>
      </c>
      <c r="ER11">
        <v>0</v>
      </c>
      <c r="ES11">
        <v>0</v>
      </c>
      <c r="ET11">
        <v>0</v>
      </c>
      <c r="EU11">
        <v>0</v>
      </c>
      <c r="EV11">
        <v>778.75250076222096</v>
      </c>
      <c r="EW11">
        <v>-28.649999999999899</v>
      </c>
      <c r="EX11">
        <v>1397.0661495915101</v>
      </c>
      <c r="EY11">
        <v>813.60468884769102</v>
      </c>
      <c r="EZ11">
        <v>104.691734196006</v>
      </c>
      <c r="FA11">
        <v>622.67737706606999</v>
      </c>
      <c r="FB11">
        <v>669.697021484375</v>
      </c>
      <c r="FC11">
        <v>0.45153544958737402</v>
      </c>
      <c r="FD11">
        <v>0.82346949571412897</v>
      </c>
      <c r="FE11">
        <v>0</v>
      </c>
      <c r="FF11">
        <v>1</v>
      </c>
      <c r="FG11" s="159">
        <v>5.9090215038356499E-13</v>
      </c>
      <c r="FH11">
        <v>0</v>
      </c>
      <c r="FI11">
        <v>5.4512674794765098E-5</v>
      </c>
      <c r="FJ11">
        <v>-5.96400978497228E-3</v>
      </c>
      <c r="FK11" s="159">
        <v>6.57534000000779E-6</v>
      </c>
      <c r="FL11" s="159">
        <v>3.3051298685932198E-6</v>
      </c>
      <c r="FM11" s="159">
        <v>4.1092681952606004E-6</v>
      </c>
      <c r="FN11">
        <v>0</v>
      </c>
      <c r="FO11">
        <v>0</v>
      </c>
      <c r="FP11">
        <v>0</v>
      </c>
      <c r="FQ11">
        <v>0</v>
      </c>
      <c r="FR11">
        <v>0</v>
      </c>
      <c r="FS11">
        <v>0</v>
      </c>
      <c r="FT11">
        <v>0</v>
      </c>
      <c r="FU11">
        <v>0</v>
      </c>
      <c r="FV11">
        <v>-999</v>
      </c>
      <c r="FW11">
        <v>0.46154437253069303</v>
      </c>
      <c r="FX11">
        <v>3.13231801574677E-3</v>
      </c>
      <c r="FY11">
        <v>1.13329154216169</v>
      </c>
      <c r="FZ11">
        <v>9.8138822159042909E-4</v>
      </c>
      <c r="GA11">
        <v>43.874617995037603</v>
      </c>
      <c r="GB11">
        <v>1.0823376552614099E-2</v>
      </c>
      <c r="GC11">
        <v>2.9252369061119302E-3</v>
      </c>
      <c r="GD11">
        <v>0</v>
      </c>
      <c r="GE11">
        <v>7.0389431434491299E-3</v>
      </c>
      <c r="GF11">
        <v>0.53168572687328297</v>
      </c>
      <c r="GG11">
        <v>5.6082021445594103E-4</v>
      </c>
      <c r="GH11">
        <v>9.4564454577539796E-3</v>
      </c>
      <c r="GI11">
        <v>1.8703632082979701E-2</v>
      </c>
      <c r="GJ11">
        <v>9.1711383692342802E-4</v>
      </c>
      <c r="GK11">
        <v>1.78518589773652E-3</v>
      </c>
      <c r="GL11">
        <v>0.37484553071980597</v>
      </c>
      <c r="GM11">
        <v>6.2250219054359197E-3</v>
      </c>
      <c r="GN11">
        <v>5.1697750002638895E-4</v>
      </c>
      <c r="GO11">
        <v>0</v>
      </c>
      <c r="GP11">
        <v>0</v>
      </c>
      <c r="GQ11">
        <v>0</v>
      </c>
      <c r="GR11">
        <v>5.8825729023146402E-2</v>
      </c>
      <c r="GS11">
        <v>1.0923148123310801E-3</v>
      </c>
      <c r="GT11">
        <v>1.22534689082808E-4</v>
      </c>
      <c r="GU11">
        <v>3.6920728418114203E-2</v>
      </c>
      <c r="GV11">
        <v>6.8556835933628805E-4</v>
      </c>
      <c r="GW11">
        <v>7.6906313828160994E-5</v>
      </c>
      <c r="GX11">
        <v>0.114068151516657</v>
      </c>
      <c r="GY11">
        <v>0.12490477750033301</v>
      </c>
      <c r="GZ11">
        <v>59.266270840040598</v>
      </c>
      <c r="HA11">
        <v>678.12821573742201</v>
      </c>
      <c r="HB11">
        <v>0</v>
      </c>
      <c r="HC11">
        <v>0.99981316933724196</v>
      </c>
      <c r="HD11">
        <v>0.39628355796201598</v>
      </c>
      <c r="HE11">
        <v>1.02908691152347E-2</v>
      </c>
      <c r="HF11">
        <v>8.9223432585659301E-4</v>
      </c>
      <c r="HG11">
        <v>1.19218079334293E-2</v>
      </c>
      <c r="HH11" s="159">
        <v>4.7618741639903201E-7</v>
      </c>
      <c r="HI11" s="159">
        <v>3.3333254658393499E-7</v>
      </c>
      <c r="HJ11">
        <v>0</v>
      </c>
      <c r="HK11">
        <v>0</v>
      </c>
      <c r="HL11">
        <v>0</v>
      </c>
      <c r="HM11">
        <v>0</v>
      </c>
      <c r="HN11">
        <v>0</v>
      </c>
      <c r="HO11">
        <v>1.05362636178278E-2</v>
      </c>
      <c r="HP11">
        <v>0.521188335462349</v>
      </c>
      <c r="HQ11">
        <v>1.02908691152347E-2</v>
      </c>
      <c r="HR11">
        <v>8.9223432585659301E-4</v>
      </c>
      <c r="HS11">
        <v>0.73686682942042203</v>
      </c>
      <c r="HT11">
        <v>-999</v>
      </c>
      <c r="HU11">
        <v>1</v>
      </c>
      <c r="HV11">
        <v>0.76533159850389798</v>
      </c>
      <c r="HW11">
        <v>0.23466840149610099</v>
      </c>
      <c r="HX11">
        <v>12490.7427750392</v>
      </c>
      <c r="HY11">
        <v>401.24400058623502</v>
      </c>
      <c r="HZ11">
        <v>40.270211675431199</v>
      </c>
      <c r="IA11">
        <v>-0.12490477750033301</v>
      </c>
      <c r="IB11">
        <v>0</v>
      </c>
      <c r="IC11">
        <v>0</v>
      </c>
      <c r="ID11">
        <v>0</v>
      </c>
      <c r="IE11">
        <v>0</v>
      </c>
      <c r="IF11">
        <v>0</v>
      </c>
      <c r="IG11">
        <v>0</v>
      </c>
      <c r="IH11">
        <v>0</v>
      </c>
      <c r="II11">
        <v>46.337800049999601</v>
      </c>
      <c r="IJ11">
        <v>463.37800049999902</v>
      </c>
      <c r="IK11">
        <v>9.7545889170927505E-3</v>
      </c>
      <c r="IL11">
        <v>2.0991745281754002E-3</v>
      </c>
      <c r="IM11">
        <v>1.18537634452681E-2</v>
      </c>
      <c r="IN11">
        <v>1.1948366855672101E-3</v>
      </c>
      <c r="IO11">
        <v>0.42010645318503598</v>
      </c>
      <c r="IP11">
        <v>1.7816951765584201E-2</v>
      </c>
      <c r="IQ11">
        <v>1.9142833891644499E-3</v>
      </c>
      <c r="IR11">
        <v>0.30265466730314</v>
      </c>
      <c r="IS11">
        <v>0.25667682730723501</v>
      </c>
      <c r="IT11">
        <v>0.238898727187529</v>
      </c>
      <c r="IU11">
        <v>0.29295927436441599</v>
      </c>
      <c r="IV11">
        <v>1.3243753114108E-2</v>
      </c>
      <c r="IW11">
        <v>1.4569635240168301E-3</v>
      </c>
      <c r="IX11">
        <v>7.5350789898891005E-2</v>
      </c>
      <c r="IY11">
        <v>2.7101987944178601E-3</v>
      </c>
      <c r="IZ11">
        <v>2.7101987944178399E-4</v>
      </c>
      <c r="JA11">
        <v>7.5137003881230693E-2</v>
      </c>
      <c r="JB11">
        <v>2.7025093911866001E-3</v>
      </c>
      <c r="JC11">
        <v>2.7025093911865798E-4</v>
      </c>
      <c r="JD11">
        <v>1.63819747503494E-4</v>
      </c>
      <c r="JE11">
        <v>3.0780783603456502E-3</v>
      </c>
      <c r="JF11" s="159">
        <v>-7.4538899358378401E-19</v>
      </c>
      <c r="JG11">
        <v>0</v>
      </c>
      <c r="JH11">
        <v>4.0924990600264997E-3</v>
      </c>
      <c r="JI11">
        <v>5.3237777756827897E-4</v>
      </c>
      <c r="JJ11">
        <v>-0.49300105574598002</v>
      </c>
      <c r="JK11">
        <v>1.63819747503494E-4</v>
      </c>
      <c r="JL11" s="159">
        <v>6.5753399999999896E-6</v>
      </c>
      <c r="JM11">
        <v>-0.49300105574598002</v>
      </c>
      <c r="JN11">
        <v>0</v>
      </c>
      <c r="JO11">
        <v>3.1895770442153499</v>
      </c>
      <c r="JP11">
        <v>-2.8148694291932701E-3</v>
      </c>
      <c r="JQ11">
        <v>2.3165945629693901E-4</v>
      </c>
      <c r="JR11">
        <v>7.2429088086124596E-2</v>
      </c>
      <c r="JS11">
        <v>1483.30172717099</v>
      </c>
      <c r="JT11">
        <v>5.2228688063943998E-2</v>
      </c>
      <c r="JU11">
        <v>0</v>
      </c>
      <c r="JV11">
        <v>365</v>
      </c>
      <c r="JW11">
        <v>0</v>
      </c>
      <c r="JX11">
        <v>-0.40268092994350901</v>
      </c>
      <c r="JY11">
        <v>0</v>
      </c>
      <c r="JZ11">
        <v>1.29711886283183</v>
      </c>
      <c r="KA11">
        <v>1.39135946379272</v>
      </c>
      <c r="KB11">
        <v>1.4026369957918601</v>
      </c>
      <c r="KC11">
        <v>0</v>
      </c>
      <c r="KD11">
        <v>0</v>
      </c>
      <c r="KE11">
        <v>0</v>
      </c>
      <c r="KF11">
        <v>3.46820763039591E-3</v>
      </c>
      <c r="KG11">
        <v>2.1559057096931299E-2</v>
      </c>
      <c r="KH11">
        <v>4.10849738320017E-2</v>
      </c>
      <c r="KI11">
        <v>0</v>
      </c>
      <c r="KJ11">
        <v>0</v>
      </c>
      <c r="KK11">
        <v>0</v>
      </c>
      <c r="KL11">
        <v>0</v>
      </c>
      <c r="KM11">
        <v>0</v>
      </c>
      <c r="KN11">
        <v>0</v>
      </c>
      <c r="KO11">
        <v>0</v>
      </c>
      <c r="KP11">
        <v>0</v>
      </c>
      <c r="KQ11">
        <v>0</v>
      </c>
      <c r="KR11">
        <v>0</v>
      </c>
      <c r="KS11">
        <v>0</v>
      </c>
      <c r="KT11">
        <v>0</v>
      </c>
      <c r="KU11">
        <v>0.34999999999999898</v>
      </c>
      <c r="KV11">
        <v>-0.119436162490693</v>
      </c>
      <c r="KW11">
        <v>1.89165764529297E-3</v>
      </c>
      <c r="KX11">
        <v>31133.868853303498</v>
      </c>
      <c r="KY11">
        <v>0</v>
      </c>
      <c r="KZ11">
        <v>0.210048623101</v>
      </c>
      <c r="LA11">
        <v>1.73602675993533E-5</v>
      </c>
      <c r="LB11">
        <v>0</v>
      </c>
      <c r="LC11">
        <v>-12.1726938879139</v>
      </c>
      <c r="LD11">
        <v>1.5696092868369298E-2</v>
      </c>
      <c r="LE11">
        <v>3.3925404418579E-3</v>
      </c>
      <c r="LF11">
        <v>1.5696092868369298E-2</v>
      </c>
      <c r="LG11">
        <v>0.93560887992303099</v>
      </c>
      <c r="LH11">
        <v>1.22114645445799</v>
      </c>
      <c r="LI11">
        <v>0</v>
      </c>
      <c r="LJ11">
        <v>0</v>
      </c>
      <c r="LK11">
        <v>0.23906369269592201</v>
      </c>
      <c r="LL11">
        <v>0</v>
      </c>
      <c r="LM11">
        <v>0</v>
      </c>
      <c r="LN11">
        <v>0</v>
      </c>
      <c r="LO11">
        <v>0</v>
      </c>
      <c r="LP11">
        <v>0</v>
      </c>
      <c r="LQ11">
        <v>0</v>
      </c>
      <c r="LR11">
        <v>0</v>
      </c>
      <c r="LS11">
        <v>0</v>
      </c>
      <c r="LT11">
        <v>-999</v>
      </c>
      <c r="LU11">
        <v>0.42551028581953798</v>
      </c>
      <c r="LV11">
        <v>10</v>
      </c>
      <c r="LW11">
        <v>35.64</v>
      </c>
      <c r="LX11">
        <v>0.33299999999999902</v>
      </c>
      <c r="LY11">
        <v>0</v>
      </c>
      <c r="LZ11">
        <v>-999</v>
      </c>
      <c r="MA11">
        <v>0</v>
      </c>
      <c r="MB11">
        <v>0</v>
      </c>
      <c r="MC11">
        <v>435.63999999999902</v>
      </c>
      <c r="MD11">
        <v>-23.6999999999999</v>
      </c>
      <c r="ME11">
        <v>-33.6</v>
      </c>
      <c r="MF11">
        <v>0</v>
      </c>
      <c r="MG11">
        <v>8.0706896550000007</v>
      </c>
      <c r="MH11">
        <v>0</v>
      </c>
      <c r="MI11">
        <v>0</v>
      </c>
      <c r="MJ11">
        <v>0</v>
      </c>
      <c r="MK11">
        <v>0</v>
      </c>
      <c r="ML11">
        <v>0</v>
      </c>
      <c r="MM11">
        <v>0</v>
      </c>
      <c r="MN11">
        <v>0</v>
      </c>
      <c r="MO11">
        <v>0</v>
      </c>
      <c r="MP11">
        <v>0</v>
      </c>
      <c r="MQ11">
        <v>0</v>
      </c>
      <c r="MR11">
        <v>0</v>
      </c>
      <c r="MS11">
        <v>0</v>
      </c>
      <c r="MT11">
        <v>0</v>
      </c>
      <c r="MU11">
        <v>0</v>
      </c>
      <c r="MV11">
        <v>0</v>
      </c>
    </row>
    <row r="12" spans="1:360" x14ac:dyDescent="0.25">
      <c r="A12">
        <v>4015</v>
      </c>
      <c r="B12">
        <v>0</v>
      </c>
      <c r="C12">
        <v>-33.6</v>
      </c>
      <c r="D12">
        <v>-23.6999999999999</v>
      </c>
      <c r="E12">
        <v>400</v>
      </c>
      <c r="F12">
        <v>0</v>
      </c>
      <c r="G12">
        <v>0</v>
      </c>
      <c r="H12">
        <v>0</v>
      </c>
      <c r="I12">
        <v>0</v>
      </c>
      <c r="J12">
        <v>0</v>
      </c>
      <c r="K12">
        <v>0</v>
      </c>
      <c r="L12" s="159">
        <v>6.5753399999999896E-6</v>
      </c>
      <c r="M12">
        <v>0</v>
      </c>
      <c r="N12">
        <v>0</v>
      </c>
      <c r="O12">
        <v>0</v>
      </c>
      <c r="P12">
        <v>0</v>
      </c>
      <c r="Q12">
        <v>0</v>
      </c>
      <c r="R12">
        <v>0</v>
      </c>
      <c r="S12">
        <v>0</v>
      </c>
      <c r="T12">
        <v>0</v>
      </c>
      <c r="U12">
        <v>665.67787874030296</v>
      </c>
      <c r="V12">
        <v>13.245296854682699</v>
      </c>
      <c r="W12">
        <v>1.2836609338038201</v>
      </c>
      <c r="X12">
        <v>0.38875872168873898</v>
      </c>
      <c r="Y12">
        <v>0.29030184682077398</v>
      </c>
      <c r="Z12">
        <v>0.32093943149048598</v>
      </c>
      <c r="AA12">
        <v>0.113203740969226</v>
      </c>
      <c r="AB12">
        <v>0.485854670227993</v>
      </c>
      <c r="AC12">
        <v>0.40094158880278002</v>
      </c>
      <c r="AD12">
        <v>0.88379239712230295</v>
      </c>
      <c r="AE12">
        <v>4.5096501001414303E-2</v>
      </c>
      <c r="AF12">
        <v>7.1111101876281904E-2</v>
      </c>
      <c r="AG12">
        <v>0</v>
      </c>
      <c r="AH12">
        <v>3391.4233691862</v>
      </c>
      <c r="AI12">
        <v>80.694470614642398</v>
      </c>
      <c r="AJ12">
        <v>8.1288120847445597</v>
      </c>
      <c r="AK12">
        <v>391.70892811500602</v>
      </c>
      <c r="AL12">
        <v>7.27350891195925</v>
      </c>
      <c r="AM12">
        <v>0.81593432864464299</v>
      </c>
      <c r="AN12">
        <v>8708.8754873304406</v>
      </c>
      <c r="AO12">
        <v>313.23870497136699</v>
      </c>
      <c r="AP12">
        <v>31.3238704971365</v>
      </c>
      <c r="AQ12">
        <v>2.8669026229269701E-2</v>
      </c>
      <c r="AR12">
        <v>5.8205063832199502E-3</v>
      </c>
      <c r="AS12">
        <v>2.7055939247857201E-2</v>
      </c>
      <c r="AT12">
        <v>9.48</v>
      </c>
      <c r="AU12">
        <v>5.9993712471919904</v>
      </c>
      <c r="AV12">
        <v>0</v>
      </c>
      <c r="AW12">
        <v>83.726109233630496</v>
      </c>
      <c r="AX12">
        <v>66.010003840767993</v>
      </c>
      <c r="AY12">
        <v>361.62147916649599</v>
      </c>
      <c r="AZ12">
        <v>0.54833294000258503</v>
      </c>
      <c r="BA12">
        <v>0.81283638194574104</v>
      </c>
      <c r="BB12">
        <v>1.37323120304324E-2</v>
      </c>
      <c r="BC12">
        <v>1.14465272088611E-3</v>
      </c>
      <c r="BD12">
        <v>0.59035103703707903</v>
      </c>
      <c r="BE12">
        <v>9.1444636111429993E-3</v>
      </c>
      <c r="BF12">
        <v>7.5397690590092703E-4</v>
      </c>
      <c r="BG12">
        <v>766.29999847710098</v>
      </c>
      <c r="BH12">
        <v>-1626.59999865293</v>
      </c>
      <c r="BI12">
        <v>417.40628397786202</v>
      </c>
      <c r="BJ12">
        <v>208.87146904731301</v>
      </c>
      <c r="BK12">
        <v>5.2760253604747396</v>
      </c>
      <c r="BL12">
        <v>4.5607563722990099</v>
      </c>
      <c r="BM12">
        <v>190.04175543432399</v>
      </c>
      <c r="BN12">
        <v>21.319012300953698</v>
      </c>
      <c r="BO12">
        <v>211.36076773527699</v>
      </c>
      <c r="BP12">
        <v>3.38510726229504</v>
      </c>
      <c r="BQ12">
        <v>0.28419187565172799</v>
      </c>
      <c r="BR12">
        <v>203.595443686838</v>
      </c>
      <c r="BS12">
        <v>2.1589156332031099</v>
      </c>
      <c r="BT12">
        <v>0.28578664055724101</v>
      </c>
      <c r="BU12">
        <v>3.41912427249135</v>
      </c>
      <c r="BV12">
        <v>1.63471952462846</v>
      </c>
      <c r="BW12">
        <v>0.55176789048478703</v>
      </c>
      <c r="BX12">
        <v>1.2326368573780999</v>
      </c>
      <c r="BY12">
        <v>0</v>
      </c>
      <c r="BZ12">
        <v>2.98924182539688</v>
      </c>
      <c r="CA12">
        <v>0.39586543689815401</v>
      </c>
      <c r="CB12">
        <v>0.286584112567837</v>
      </c>
      <c r="CC12">
        <v>0.23978412096292301</v>
      </c>
      <c r="CD12">
        <v>4.4407754688803799E-2</v>
      </c>
      <c r="CE12">
        <v>20.964304360731699</v>
      </c>
      <c r="CF12">
        <v>160.96997814371301</v>
      </c>
      <c r="CG12">
        <v>42.471942691333403</v>
      </c>
      <c r="CH12">
        <v>0.38927898665623101</v>
      </c>
      <c r="CI12">
        <v>6.9591614913847799</v>
      </c>
      <c r="CJ12">
        <v>1.67529727411731</v>
      </c>
      <c r="CK12">
        <v>9.2602320722413296</v>
      </c>
      <c r="CL12">
        <v>1.5276204540535301</v>
      </c>
      <c r="CM12">
        <v>9.2017043417817496E-2</v>
      </c>
      <c r="CN12">
        <v>4.3668893855422698E-2</v>
      </c>
      <c r="CO12">
        <v>0.78552654987369697</v>
      </c>
      <c r="CP12">
        <v>0.91799895778454899</v>
      </c>
      <c r="CQ12">
        <v>0.15276204540535199</v>
      </c>
      <c r="CR12">
        <v>42.625465543125202</v>
      </c>
      <c r="CS12">
        <v>1.5331423264638899</v>
      </c>
      <c r="CT12">
        <v>0.15331423264638799</v>
      </c>
      <c r="CU12">
        <v>1.4700000000000201E-2</v>
      </c>
      <c r="CV12">
        <v>1.87101053274853E-3</v>
      </c>
      <c r="CW12">
        <v>2.21226830758811</v>
      </c>
      <c r="CX12">
        <v>2.03000000000003E-2</v>
      </c>
      <c r="CY12">
        <v>5.4886597583154104E-3</v>
      </c>
      <c r="CZ12">
        <v>0</v>
      </c>
      <c r="DA12">
        <v>2.39999910000286E-3</v>
      </c>
      <c r="DB12">
        <v>1.4998620168177399E-3</v>
      </c>
      <c r="DC12">
        <v>2.00000000000003E-3</v>
      </c>
      <c r="DD12">
        <v>4.1292554578464102E-3</v>
      </c>
      <c r="DE12">
        <v>1.3557816054450601E-3</v>
      </c>
      <c r="DF12">
        <v>2.3999991000000099E-3</v>
      </c>
      <c r="DG12">
        <v>0</v>
      </c>
      <c r="DH12">
        <v>0</v>
      </c>
      <c r="DI12">
        <v>0.23180769400000401</v>
      </c>
      <c r="DJ12">
        <v>1.8846155200000301E-2</v>
      </c>
      <c r="DK12">
        <v>2.1713657777167299</v>
      </c>
      <c r="DL12">
        <v>0.141734058597698</v>
      </c>
      <c r="DM12">
        <v>92.099957852979301</v>
      </c>
      <c r="DN12">
        <v>203.33066787247401</v>
      </c>
      <c r="DO12">
        <v>327.66000000000003</v>
      </c>
      <c r="DP12">
        <v>32.151057621304197</v>
      </c>
      <c r="DQ12">
        <v>157.94999999999899</v>
      </c>
      <c r="DR12">
        <v>169.71</v>
      </c>
      <c r="DS12">
        <v>154.75365003037999</v>
      </c>
      <c r="DT12">
        <v>0</v>
      </c>
      <c r="DU12">
        <v>0</v>
      </c>
      <c r="DV12">
        <v>0</v>
      </c>
      <c r="DW12">
        <v>0</v>
      </c>
      <c r="DX12">
        <v>0</v>
      </c>
      <c r="DY12">
        <v>0</v>
      </c>
      <c r="DZ12">
        <v>0</v>
      </c>
      <c r="EA12">
        <v>0</v>
      </c>
      <c r="EB12">
        <v>0</v>
      </c>
      <c r="EC12">
        <v>0</v>
      </c>
      <c r="ED12">
        <v>0</v>
      </c>
      <c r="EE12">
        <v>0</v>
      </c>
      <c r="EF12">
        <v>1.3404395800953699</v>
      </c>
      <c r="EG12">
        <v>0</v>
      </c>
      <c r="EH12">
        <v>0</v>
      </c>
      <c r="EI12">
        <v>0</v>
      </c>
      <c r="EJ12">
        <v>0</v>
      </c>
      <c r="EK12">
        <v>0</v>
      </c>
      <c r="EL12">
        <v>0</v>
      </c>
      <c r="EM12">
        <v>0</v>
      </c>
      <c r="EN12">
        <v>0</v>
      </c>
      <c r="EO12">
        <v>0</v>
      </c>
      <c r="EP12">
        <v>0</v>
      </c>
      <c r="EQ12">
        <v>0</v>
      </c>
      <c r="ER12">
        <v>0</v>
      </c>
      <c r="ES12">
        <v>0</v>
      </c>
      <c r="ET12">
        <v>0</v>
      </c>
      <c r="EU12">
        <v>0</v>
      </c>
      <c r="EV12">
        <v>780.90314661446996</v>
      </c>
      <c r="EW12">
        <v>-28.649999999999899</v>
      </c>
      <c r="EX12">
        <v>1401.4271131374801</v>
      </c>
      <c r="EY12">
        <v>814.89298521065098</v>
      </c>
      <c r="EZ12">
        <v>104.06249423010701</v>
      </c>
      <c r="FA12">
        <v>625.113224341977</v>
      </c>
      <c r="FB12">
        <v>672.25140380859295</v>
      </c>
      <c r="FC12">
        <v>0.44882153761445298</v>
      </c>
      <c r="FD12">
        <v>0.81852010862658997</v>
      </c>
      <c r="FE12">
        <v>0</v>
      </c>
      <c r="FF12">
        <v>1</v>
      </c>
      <c r="FG12" s="159">
        <v>5.9095290427236795E-13</v>
      </c>
      <c r="FH12">
        <v>0</v>
      </c>
      <c r="FI12">
        <v>5.4512674794765098E-5</v>
      </c>
      <c r="FJ12">
        <v>-5.9314097370614296E-3</v>
      </c>
      <c r="FK12" s="159">
        <v>6.57534000000779E-6</v>
      </c>
      <c r="FL12" s="159">
        <v>3.2587791417663599E-6</v>
      </c>
      <c r="FM12" s="159">
        <v>4.1091695097802196E-6</v>
      </c>
      <c r="FN12">
        <v>0</v>
      </c>
      <c r="FO12">
        <v>0</v>
      </c>
      <c r="FP12">
        <v>0</v>
      </c>
      <c r="FQ12">
        <v>0</v>
      </c>
      <c r="FR12">
        <v>0</v>
      </c>
      <c r="FS12">
        <v>0</v>
      </c>
      <c r="FT12">
        <v>0</v>
      </c>
      <c r="FU12">
        <v>0</v>
      </c>
      <c r="FV12">
        <v>-999</v>
      </c>
      <c r="FW12">
        <v>0.46241128642298301</v>
      </c>
      <c r="FX12">
        <v>3.1373217097587598E-3</v>
      </c>
      <c r="FY12">
        <v>1.1359592607083699</v>
      </c>
      <c r="FZ12">
        <v>9.7997390097801103E-4</v>
      </c>
      <c r="GA12">
        <v>43.811824649407903</v>
      </c>
      <c r="GB12">
        <v>1.0825212865729499E-2</v>
      </c>
      <c r="GC12">
        <v>2.9257332069539299E-3</v>
      </c>
      <c r="GD12">
        <v>0</v>
      </c>
      <c r="GE12">
        <v>7.0430288176907101E-3</v>
      </c>
      <c r="GF12">
        <v>0.52422943291091195</v>
      </c>
      <c r="GG12">
        <v>5.6071921983882596E-4</v>
      </c>
      <c r="GH12">
        <v>9.4512919940798901E-3</v>
      </c>
      <c r="GI12">
        <v>1.8692848617180801E-2</v>
      </c>
      <c r="GJ12">
        <v>9.1596696094311397E-4</v>
      </c>
      <c r="GK12">
        <v>1.78427486275774E-3</v>
      </c>
      <c r="GL12">
        <v>0.37606095178676102</v>
      </c>
      <c r="GM12">
        <v>6.2454705967129398E-3</v>
      </c>
      <c r="GN12">
        <v>5.1831150190294198E-4</v>
      </c>
      <c r="GO12">
        <v>0</v>
      </c>
      <c r="GP12">
        <v>0</v>
      </c>
      <c r="GQ12">
        <v>0</v>
      </c>
      <c r="GR12">
        <v>5.8937809848662398E-2</v>
      </c>
      <c r="GS12">
        <v>1.0943960027884299E-3</v>
      </c>
      <c r="GT12">
        <v>1.22768154767549E-4</v>
      </c>
      <c r="GU12">
        <v>3.6955120514786298E-2</v>
      </c>
      <c r="GV12">
        <v>6.8620697439887904E-4</v>
      </c>
      <c r="GW12">
        <v>7.6977952972164904E-5</v>
      </c>
      <c r="GX12">
        <v>0.11445885340747899</v>
      </c>
      <c r="GY12">
        <v>0.125293998220395</v>
      </c>
      <c r="GZ12">
        <v>59.265213575540301</v>
      </c>
      <c r="HA12">
        <v>678.54089130613102</v>
      </c>
      <c r="HB12">
        <v>0</v>
      </c>
      <c r="HC12">
        <v>0.99981316732523795</v>
      </c>
      <c r="HD12">
        <v>0.397426137706063</v>
      </c>
      <c r="HE12">
        <v>1.03223913623179E-2</v>
      </c>
      <c r="HF12">
        <v>8.9475260149007299E-4</v>
      </c>
      <c r="HG12">
        <v>1.19674003353902E-2</v>
      </c>
      <c r="HH12" s="159">
        <v>4.7618742897024201E-7</v>
      </c>
      <c r="HI12" s="159">
        <v>3.33332546853618E-7</v>
      </c>
      <c r="HJ12">
        <v>0</v>
      </c>
      <c r="HK12">
        <v>0</v>
      </c>
      <c r="HL12">
        <v>0</v>
      </c>
      <c r="HM12">
        <v>0</v>
      </c>
      <c r="HN12">
        <v>0</v>
      </c>
      <c r="HO12">
        <v>1.0576742607768299E-2</v>
      </c>
      <c r="HP12">
        <v>0.52272013592645805</v>
      </c>
      <c r="HQ12">
        <v>1.03223913623179E-2</v>
      </c>
      <c r="HR12">
        <v>8.9475260149007299E-4</v>
      </c>
      <c r="HS12">
        <v>0.73588868975911903</v>
      </c>
      <c r="HT12">
        <v>-999</v>
      </c>
      <c r="HU12">
        <v>1</v>
      </c>
      <c r="HV12">
        <v>0.76711081784608104</v>
      </c>
      <c r="HW12">
        <v>0.23288918215391799</v>
      </c>
      <c r="HX12">
        <v>12492.0077846316</v>
      </c>
      <c r="HY12">
        <v>401.20668449796898</v>
      </c>
      <c r="HZ12">
        <v>40.268616910525701</v>
      </c>
      <c r="IA12">
        <v>-0.125293998220395</v>
      </c>
      <c r="IB12">
        <v>0</v>
      </c>
      <c r="IC12">
        <v>0</v>
      </c>
      <c r="ID12">
        <v>0</v>
      </c>
      <c r="IE12">
        <v>0</v>
      </c>
      <c r="IF12">
        <v>0</v>
      </c>
      <c r="IG12">
        <v>0</v>
      </c>
      <c r="IH12">
        <v>0</v>
      </c>
      <c r="II12">
        <v>46.337800049999601</v>
      </c>
      <c r="IJ12">
        <v>463.37800049999902</v>
      </c>
      <c r="IK12">
        <v>9.7837738650982699E-3</v>
      </c>
      <c r="IL12">
        <v>2.1063810018848101E-3</v>
      </c>
      <c r="IM12">
        <v>1.1890154866982999E-2</v>
      </c>
      <c r="IN12">
        <v>1.1795362053978E-3</v>
      </c>
      <c r="IO12">
        <v>0.42024883394373502</v>
      </c>
      <c r="IP12">
        <v>1.7851170196060299E-2</v>
      </c>
      <c r="IQ12">
        <v>1.8988433508131399E-3</v>
      </c>
      <c r="IR12">
        <v>0.30216546534865701</v>
      </c>
      <c r="IS12">
        <v>0.25585740566335202</v>
      </c>
      <c r="IT12">
        <v>0.240533485422218</v>
      </c>
      <c r="IU12">
        <v>0.29326414947289497</v>
      </c>
      <c r="IV12">
        <v>1.32838161016413E-2</v>
      </c>
      <c r="IW12">
        <v>1.44210794137125E-3</v>
      </c>
      <c r="IX12">
        <v>7.53239859851879E-2</v>
      </c>
      <c r="IY12">
        <v>2.7092347178009901E-3</v>
      </c>
      <c r="IZ12">
        <v>2.7092347178009698E-4</v>
      </c>
      <c r="JA12">
        <v>7.5137567431924901E-2</v>
      </c>
      <c r="JB12">
        <v>2.7025296608402301E-3</v>
      </c>
      <c r="JC12">
        <v>2.7025296608402101E-4</v>
      </c>
      <c r="JD12">
        <v>1.6425813371037399E-4</v>
      </c>
      <c r="JE12">
        <v>3.0838994334817498E-3</v>
      </c>
      <c r="JF12" s="159">
        <v>-1.54498809579184E-18</v>
      </c>
      <c r="JG12">
        <v>0</v>
      </c>
      <c r="JH12">
        <v>4.0961908954985299E-3</v>
      </c>
      <c r="JI12">
        <v>5.3282470205747096E-4</v>
      </c>
      <c r="JJ12">
        <v>-0.49369571512521598</v>
      </c>
      <c r="JK12">
        <v>1.6425813371037399E-4</v>
      </c>
      <c r="JL12" s="159">
        <v>6.5753399999999896E-6</v>
      </c>
      <c r="JM12">
        <v>-0.49369571512521598</v>
      </c>
      <c r="JN12">
        <v>0</v>
      </c>
      <c r="JO12">
        <v>3.3364672767581398</v>
      </c>
      <c r="JP12">
        <v>-3.2305302709435802E-3</v>
      </c>
      <c r="JQ12">
        <v>2.70743642153635E-4</v>
      </c>
      <c r="JR12">
        <v>7.8316653241529297E-2</v>
      </c>
      <c r="JS12">
        <v>1487.14437977034</v>
      </c>
      <c r="JT12">
        <v>5.1914772374728697E-2</v>
      </c>
      <c r="JU12">
        <v>0</v>
      </c>
      <c r="JV12">
        <v>365</v>
      </c>
      <c r="JW12">
        <v>0</v>
      </c>
      <c r="JX12">
        <v>-0.40268092994350901</v>
      </c>
      <c r="JY12">
        <v>0</v>
      </c>
      <c r="JZ12">
        <v>1.29813352079943</v>
      </c>
      <c r="KA12">
        <v>1.3925825620830099</v>
      </c>
      <c r="KB12">
        <v>1.4048723592636201</v>
      </c>
      <c r="KC12">
        <v>0</v>
      </c>
      <c r="KD12">
        <v>0</v>
      </c>
      <c r="KE12">
        <v>0</v>
      </c>
      <c r="KF12">
        <v>3.4741584190073498E-3</v>
      </c>
      <c r="KG12">
        <v>2.1602528498835899E-2</v>
      </c>
      <c r="KH12">
        <v>4.101273567475E-2</v>
      </c>
      <c r="KI12">
        <v>0</v>
      </c>
      <c r="KJ12">
        <v>0</v>
      </c>
      <c r="KK12">
        <v>0</v>
      </c>
      <c r="KL12">
        <v>0</v>
      </c>
      <c r="KM12">
        <v>0</v>
      </c>
      <c r="KN12">
        <v>0</v>
      </c>
      <c r="KO12">
        <v>0</v>
      </c>
      <c r="KP12">
        <v>0</v>
      </c>
      <c r="KQ12">
        <v>0</v>
      </c>
      <c r="KR12">
        <v>0</v>
      </c>
      <c r="KS12">
        <v>0</v>
      </c>
      <c r="KT12">
        <v>0</v>
      </c>
      <c r="KU12">
        <v>0.34999999999999898</v>
      </c>
      <c r="KV12">
        <v>-0.119195598559262</v>
      </c>
      <c r="KW12">
        <v>1.8879684843181601E-3</v>
      </c>
      <c r="KX12">
        <v>31255.661217098801</v>
      </c>
      <c r="KY12">
        <v>0</v>
      </c>
      <c r="KZ12">
        <v>0.21006442618127799</v>
      </c>
      <c r="LA12">
        <v>1.73602675993533E-5</v>
      </c>
      <c r="LB12">
        <v>0</v>
      </c>
      <c r="LC12">
        <v>-12.1713139540919</v>
      </c>
      <c r="LD12">
        <v>1.5696832638399699E-2</v>
      </c>
      <c r="LE12">
        <v>3.3932383381130101E-3</v>
      </c>
      <c r="LF12">
        <v>1.5696832638399699E-2</v>
      </c>
      <c r="LG12">
        <v>0.93616314404981704</v>
      </c>
      <c r="LH12">
        <v>1.22177630005661</v>
      </c>
      <c r="LI12">
        <v>0</v>
      </c>
      <c r="LJ12">
        <v>0</v>
      </c>
      <c r="LK12">
        <v>0.23921745495322999</v>
      </c>
      <c r="LL12">
        <v>0</v>
      </c>
      <c r="LM12">
        <v>0</v>
      </c>
      <c r="LN12">
        <v>0</v>
      </c>
      <c r="LO12">
        <v>0</v>
      </c>
      <c r="LP12">
        <v>0</v>
      </c>
      <c r="LQ12">
        <v>0</v>
      </c>
      <c r="LR12">
        <v>0</v>
      </c>
      <c r="LS12">
        <v>0</v>
      </c>
      <c r="LT12">
        <v>-999</v>
      </c>
      <c r="LU12">
        <v>0.42552097836599401</v>
      </c>
      <c r="LV12">
        <v>11</v>
      </c>
      <c r="LW12">
        <v>39.6</v>
      </c>
      <c r="LX12">
        <v>0.37</v>
      </c>
      <c r="LY12">
        <v>0</v>
      </c>
      <c r="LZ12">
        <v>-999</v>
      </c>
      <c r="MA12">
        <v>0</v>
      </c>
      <c r="MB12">
        <v>0</v>
      </c>
      <c r="MC12">
        <v>439.6</v>
      </c>
      <c r="MD12">
        <v>-23.6999999999999</v>
      </c>
      <c r="ME12">
        <v>-33.6</v>
      </c>
      <c r="MF12">
        <v>0</v>
      </c>
      <c r="MG12">
        <v>8.0706896550000007</v>
      </c>
      <c r="MH12">
        <v>0</v>
      </c>
      <c r="MI12">
        <v>0</v>
      </c>
      <c r="MJ12">
        <v>0</v>
      </c>
      <c r="MK12">
        <v>0</v>
      </c>
      <c r="ML12">
        <v>0</v>
      </c>
      <c r="MM12">
        <v>0</v>
      </c>
      <c r="MN12">
        <v>0</v>
      </c>
      <c r="MO12">
        <v>0</v>
      </c>
      <c r="MP12">
        <v>0</v>
      </c>
      <c r="MQ12">
        <v>0</v>
      </c>
      <c r="MR12">
        <v>0</v>
      </c>
      <c r="MS12">
        <v>0</v>
      </c>
      <c r="MT12">
        <v>0</v>
      </c>
      <c r="MU12">
        <v>0</v>
      </c>
      <c r="MV12">
        <v>0</v>
      </c>
    </row>
    <row r="13" spans="1:360" x14ac:dyDescent="0.25">
      <c r="A13">
        <v>4380</v>
      </c>
      <c r="B13">
        <v>0</v>
      </c>
      <c r="C13">
        <v>-33.6</v>
      </c>
      <c r="D13">
        <v>-23.6999999999999</v>
      </c>
      <c r="E13">
        <v>400</v>
      </c>
      <c r="F13">
        <v>0</v>
      </c>
      <c r="G13">
        <v>0</v>
      </c>
      <c r="H13">
        <v>0</v>
      </c>
      <c r="I13">
        <v>0</v>
      </c>
      <c r="J13">
        <v>0</v>
      </c>
      <c r="K13">
        <v>0</v>
      </c>
      <c r="L13" s="159">
        <v>6.5753399999999896E-6</v>
      </c>
      <c r="M13">
        <v>0</v>
      </c>
      <c r="N13">
        <v>0</v>
      </c>
      <c r="O13">
        <v>0</v>
      </c>
      <c r="P13">
        <v>0</v>
      </c>
      <c r="Q13">
        <v>0</v>
      </c>
      <c r="R13">
        <v>0</v>
      </c>
      <c r="S13">
        <v>0</v>
      </c>
      <c r="T13">
        <v>0</v>
      </c>
      <c r="U13">
        <v>667.31399915536804</v>
      </c>
      <c r="V13">
        <v>13.279208206606199</v>
      </c>
      <c r="W13">
        <v>1.28612678110103</v>
      </c>
      <c r="X13">
        <v>0.386108804471538</v>
      </c>
      <c r="Y13">
        <v>0.28939872645474402</v>
      </c>
      <c r="Z13">
        <v>0.32449246907371598</v>
      </c>
      <c r="AA13">
        <v>0.11317562103100701</v>
      </c>
      <c r="AB13">
        <v>0.48630732647027602</v>
      </c>
      <c r="AC13">
        <v>0.400517052498715</v>
      </c>
      <c r="AD13">
        <v>0.88382058376529704</v>
      </c>
      <c r="AE13">
        <v>4.4940695544798799E-2</v>
      </c>
      <c r="AF13">
        <v>7.1238720689903307E-2</v>
      </c>
      <c r="AG13">
        <v>0</v>
      </c>
      <c r="AH13">
        <v>3392.4341453387701</v>
      </c>
      <c r="AI13">
        <v>80.656015401152899</v>
      </c>
      <c r="AJ13">
        <v>8.1270026563002595</v>
      </c>
      <c r="AK13">
        <v>392.078657273305</v>
      </c>
      <c r="AL13">
        <v>7.2803742860542897</v>
      </c>
      <c r="AM13">
        <v>0.816704478852878</v>
      </c>
      <c r="AN13">
        <v>8708.7078151526694</v>
      </c>
      <c r="AO13">
        <v>313.232674179458</v>
      </c>
      <c r="AP13">
        <v>31.323267417945601</v>
      </c>
      <c r="AQ13">
        <v>2.8749093933424699E-2</v>
      </c>
      <c r="AR13">
        <v>5.8430559260324996E-3</v>
      </c>
      <c r="AS13">
        <v>2.6705212332382201E-2</v>
      </c>
      <c r="AT13">
        <v>9.48</v>
      </c>
      <c r="AU13">
        <v>5.9992083441227297</v>
      </c>
      <c r="AV13">
        <v>0</v>
      </c>
      <c r="AW13">
        <v>83.780491693082098</v>
      </c>
      <c r="AX13">
        <v>66.032569895962595</v>
      </c>
      <c r="AY13">
        <v>361.61582246579798</v>
      </c>
      <c r="AZ13">
        <v>0.54833294000258503</v>
      </c>
      <c r="BA13">
        <v>0.81405601540828199</v>
      </c>
      <c r="BB13">
        <v>1.3746755681446199E-2</v>
      </c>
      <c r="BC13">
        <v>1.14580884380397E-3</v>
      </c>
      <c r="BD13">
        <v>0.59015378949183706</v>
      </c>
      <c r="BE13">
        <v>9.1508363195511901E-3</v>
      </c>
      <c r="BF13">
        <v>7.5386846723856499E-4</v>
      </c>
      <c r="BG13">
        <v>766.29999847710098</v>
      </c>
      <c r="BH13">
        <v>-1626.59999865293</v>
      </c>
      <c r="BI13">
        <v>417.45669032489502</v>
      </c>
      <c r="BJ13">
        <v>208.612493404383</v>
      </c>
      <c r="BK13">
        <v>4.7978849322785901</v>
      </c>
      <c r="BL13">
        <v>4.5677389098718297</v>
      </c>
      <c r="BM13">
        <v>190.187820205908</v>
      </c>
      <c r="BN13">
        <v>21.356291693281399</v>
      </c>
      <c r="BO13">
        <v>211.54411189918901</v>
      </c>
      <c r="BP13">
        <v>3.3901442338303198</v>
      </c>
      <c r="BQ13">
        <v>0.28450592559862098</v>
      </c>
      <c r="BR13">
        <v>203.814608472104</v>
      </c>
      <c r="BS13">
        <v>2.16201855313169</v>
      </c>
      <c r="BT13">
        <v>0.286148283025567</v>
      </c>
      <c r="BU13">
        <v>3.42405558575375</v>
      </c>
      <c r="BV13">
        <v>1.63857654433224</v>
      </c>
      <c r="BW13">
        <v>0.55095501172641204</v>
      </c>
      <c r="BX13">
        <v>1.2345240296950899</v>
      </c>
      <c r="BY13">
        <v>0</v>
      </c>
      <c r="BZ13">
        <v>2.9935865686655401</v>
      </c>
      <c r="CA13">
        <v>0.39655766516477298</v>
      </c>
      <c r="CB13">
        <v>0.28697177289583597</v>
      </c>
      <c r="CC13">
        <v>0.240020517494825</v>
      </c>
      <c r="CD13">
        <v>4.4485408103796198E-2</v>
      </c>
      <c r="CE13">
        <v>20.986562534984198</v>
      </c>
      <c r="CF13">
        <v>161.18430673975899</v>
      </c>
      <c r="CG13">
        <v>42.462629554569801</v>
      </c>
      <c r="CH13">
        <v>0.38969229106970998</v>
      </c>
      <c r="CI13">
        <v>6.9718641496558202</v>
      </c>
      <c r="CJ13">
        <v>1.67760543558149</v>
      </c>
      <c r="CK13">
        <v>9.2781718650332596</v>
      </c>
      <c r="CL13">
        <v>1.5272854814266601</v>
      </c>
      <c r="CM13">
        <v>9.2277455320728896E-2</v>
      </c>
      <c r="CN13">
        <v>4.3715257895560598E-2</v>
      </c>
      <c r="CO13">
        <v>0.77564991949071105</v>
      </c>
      <c r="CP13">
        <v>0.90846657518270502</v>
      </c>
      <c r="CQ13">
        <v>0.15272854814266501</v>
      </c>
      <c r="CR13">
        <v>42.6303017323457</v>
      </c>
      <c r="CS13">
        <v>1.5333162733357599</v>
      </c>
      <c r="CT13">
        <v>0.153331627333574</v>
      </c>
      <c r="CU13">
        <v>1.46999999999993E-2</v>
      </c>
      <c r="CV13">
        <v>1.8785534435592601E-3</v>
      </c>
      <c r="CW13">
        <v>2.2137888232332199</v>
      </c>
      <c r="CX13">
        <v>2.0299999999998999E-2</v>
      </c>
      <c r="CY13">
        <v>5.5058263825095996E-3</v>
      </c>
      <c r="CZ13">
        <v>0</v>
      </c>
      <c r="DA13">
        <v>2.3999991000028401E-3</v>
      </c>
      <c r="DB13">
        <v>1.49982370844736E-3</v>
      </c>
      <c r="DC13">
        <v>1.9999999999999098E-3</v>
      </c>
      <c r="DD13">
        <v>4.0901392144561798E-3</v>
      </c>
      <c r="DE13">
        <v>1.33692063920031E-3</v>
      </c>
      <c r="DF13">
        <v>2.3999990999999899E-3</v>
      </c>
      <c r="DG13">
        <v>0</v>
      </c>
      <c r="DH13">
        <v>0</v>
      </c>
      <c r="DI13">
        <v>0.23180769399998899</v>
      </c>
      <c r="DJ13">
        <v>1.88461551999991E-2</v>
      </c>
      <c r="DK13">
        <v>2.1807390781265998</v>
      </c>
      <c r="DL13">
        <v>0.142345892828107</v>
      </c>
      <c r="DM13">
        <v>91.309871879600294</v>
      </c>
      <c r="DN13">
        <v>204.231642869279</v>
      </c>
      <c r="DO13">
        <v>327.66000000000003</v>
      </c>
      <c r="DP13">
        <v>32.041543381727102</v>
      </c>
      <c r="DQ13">
        <v>157.94999999999899</v>
      </c>
      <c r="DR13">
        <v>169.71</v>
      </c>
      <c r="DS13">
        <v>154.824043523261</v>
      </c>
      <c r="DT13">
        <v>0</v>
      </c>
      <c r="DU13">
        <v>0</v>
      </c>
      <c r="DV13">
        <v>0</v>
      </c>
      <c r="DW13">
        <v>0</v>
      </c>
      <c r="DX13">
        <v>0</v>
      </c>
      <c r="DY13">
        <v>0</v>
      </c>
      <c r="DZ13">
        <v>0</v>
      </c>
      <c r="EA13">
        <v>0</v>
      </c>
      <c r="EB13">
        <v>0</v>
      </c>
      <c r="EC13">
        <v>0</v>
      </c>
      <c r="ED13">
        <v>0</v>
      </c>
      <c r="EE13">
        <v>0</v>
      </c>
      <c r="EF13">
        <v>1.3361248165002499</v>
      </c>
      <c r="EG13">
        <v>0</v>
      </c>
      <c r="EH13">
        <v>0</v>
      </c>
      <c r="EI13">
        <v>0</v>
      </c>
      <c r="EJ13">
        <v>0</v>
      </c>
      <c r="EK13">
        <v>0</v>
      </c>
      <c r="EL13">
        <v>0</v>
      </c>
      <c r="EM13">
        <v>0</v>
      </c>
      <c r="EN13">
        <v>0</v>
      </c>
      <c r="EO13">
        <v>0</v>
      </c>
      <c r="EP13">
        <v>0</v>
      </c>
      <c r="EQ13">
        <v>0</v>
      </c>
      <c r="ER13">
        <v>0</v>
      </c>
      <c r="ES13">
        <v>0</v>
      </c>
      <c r="ET13">
        <v>0</v>
      </c>
      <c r="EU13">
        <v>0</v>
      </c>
      <c r="EV13">
        <v>782.59000504975404</v>
      </c>
      <c r="EW13">
        <v>-28.649999999999899</v>
      </c>
      <c r="EX13">
        <v>1404.87157716919</v>
      </c>
      <c r="EY13">
        <v>815.90585003420699</v>
      </c>
      <c r="EZ13">
        <v>103.554963996593</v>
      </c>
      <c r="FA13">
        <v>627.05167688147799</v>
      </c>
      <c r="FB13">
        <v>674.26495361328102</v>
      </c>
      <c r="FC13">
        <v>0.44663255971730598</v>
      </c>
      <c r="FD13">
        <v>0.81452804880772001</v>
      </c>
      <c r="FE13">
        <v>0</v>
      </c>
      <c r="FF13">
        <v>1</v>
      </c>
      <c r="FG13" s="159">
        <v>5.9102903510557103E-13</v>
      </c>
      <c r="FH13">
        <v>0</v>
      </c>
      <c r="FI13">
        <v>5.4512674794765098E-5</v>
      </c>
      <c r="FJ13">
        <v>-5.8986691449123699E-3</v>
      </c>
      <c r="FK13" s="159">
        <v>6.57534000000779E-6</v>
      </c>
      <c r="FL13" s="159">
        <v>3.2162917318387398E-6</v>
      </c>
      <c r="FM13" s="159">
        <v>4.1090579320335303E-6</v>
      </c>
      <c r="FN13">
        <v>0</v>
      </c>
      <c r="FO13">
        <v>0</v>
      </c>
      <c r="FP13">
        <v>0</v>
      </c>
      <c r="FQ13">
        <v>0</v>
      </c>
      <c r="FR13">
        <v>0</v>
      </c>
      <c r="FS13">
        <v>0</v>
      </c>
      <c r="FT13">
        <v>0</v>
      </c>
      <c r="FU13">
        <v>0</v>
      </c>
      <c r="FV13">
        <v>-999</v>
      </c>
      <c r="FW13">
        <v>0.46369777224497699</v>
      </c>
      <c r="FX13">
        <v>3.1409406154063501E-3</v>
      </c>
      <c r="FY13">
        <v>1.14020311277514</v>
      </c>
      <c r="FZ13">
        <v>9.7850668570843499E-4</v>
      </c>
      <c r="GA13">
        <v>43.749481946534999</v>
      </c>
      <c r="GB13">
        <v>1.0810836465448601E-2</v>
      </c>
      <c r="GC13">
        <v>2.9218476933644899E-3</v>
      </c>
      <c r="GD13">
        <v>0</v>
      </c>
      <c r="GE13">
        <v>7.0412949944792802E-3</v>
      </c>
      <c r="GF13">
        <v>0.51739461844719403</v>
      </c>
      <c r="GG13">
        <v>5.6038300601074596E-4</v>
      </c>
      <c r="GH13">
        <v>9.4522577169393E-3</v>
      </c>
      <c r="GI13">
        <v>1.8684244165411899E-2</v>
      </c>
      <c r="GJ13">
        <v>9.1547640510499103E-4</v>
      </c>
      <c r="GK13">
        <v>1.7835446756550499E-3</v>
      </c>
      <c r="GL13">
        <v>0.37702517542476299</v>
      </c>
      <c r="GM13">
        <v>6.2650584150336303E-3</v>
      </c>
      <c r="GN13">
        <v>5.1960739080540198E-4</v>
      </c>
      <c r="GO13">
        <v>0</v>
      </c>
      <c r="GP13">
        <v>0</v>
      </c>
      <c r="GQ13">
        <v>0</v>
      </c>
      <c r="GR13">
        <v>5.9026010098920299E-2</v>
      </c>
      <c r="GS13">
        <v>1.09603376302375E-3</v>
      </c>
      <c r="GT13">
        <v>1.22951876931674E-4</v>
      </c>
      <c r="GU13">
        <v>3.6990751850287301E-2</v>
      </c>
      <c r="GV13">
        <v>6.8686860046279601E-4</v>
      </c>
      <c r="GW13">
        <v>7.7052173465301199E-5</v>
      </c>
      <c r="GX13">
        <v>0.114831456631574</v>
      </c>
      <c r="GY13">
        <v>0.12565186375165499</v>
      </c>
      <c r="GZ13">
        <v>59.237294544891697</v>
      </c>
      <c r="HA13">
        <v>678.61628867223396</v>
      </c>
      <c r="HB13">
        <v>0</v>
      </c>
      <c r="HC13">
        <v>0.99981316368517503</v>
      </c>
      <c r="HD13">
        <v>0.398431106091793</v>
      </c>
      <c r="HE13">
        <v>1.0349330259970599E-2</v>
      </c>
      <c r="HF13">
        <v>8.9687436365054303E-4</v>
      </c>
      <c r="HG13">
        <v>1.2019864461997201E-2</v>
      </c>
      <c r="HH13" s="159">
        <v>4.76187444582857E-7</v>
      </c>
      <c r="HI13" s="159">
        <v>3.3333254686016E-7</v>
      </c>
      <c r="HJ13">
        <v>0</v>
      </c>
      <c r="HK13">
        <v>0</v>
      </c>
      <c r="HL13">
        <v>0</v>
      </c>
      <c r="HM13">
        <v>0</v>
      </c>
      <c r="HN13">
        <v>0</v>
      </c>
      <c r="HO13">
        <v>1.0623448771961299E-2</v>
      </c>
      <c r="HP13">
        <v>0.52408296984344804</v>
      </c>
      <c r="HQ13">
        <v>1.0349330259970599E-2</v>
      </c>
      <c r="HR13">
        <v>8.9687436365054303E-4</v>
      </c>
      <c r="HS13">
        <v>0.73502363018988903</v>
      </c>
      <c r="HT13">
        <v>-999</v>
      </c>
      <c r="HU13">
        <v>1</v>
      </c>
      <c r="HV13">
        <v>0.76853435583920404</v>
      </c>
      <c r="HW13">
        <v>0.23146564416079499</v>
      </c>
      <c r="HX13">
        <v>12493.2206177647</v>
      </c>
      <c r="HY13">
        <v>401.16906386666602</v>
      </c>
      <c r="HZ13">
        <v>40.266974553098699</v>
      </c>
      <c r="IA13">
        <v>-0.12565186375165499</v>
      </c>
      <c r="IB13">
        <v>0</v>
      </c>
      <c r="IC13">
        <v>0</v>
      </c>
      <c r="ID13">
        <v>0</v>
      </c>
      <c r="IE13">
        <v>0</v>
      </c>
      <c r="IF13">
        <v>0</v>
      </c>
      <c r="IG13">
        <v>0</v>
      </c>
      <c r="IH13">
        <v>0</v>
      </c>
      <c r="II13">
        <v>46.337800049999601</v>
      </c>
      <c r="IJ13">
        <v>463.37800049999902</v>
      </c>
      <c r="IK13">
        <v>9.8214717227199707E-3</v>
      </c>
      <c r="IL13">
        <v>2.1163866147374498E-3</v>
      </c>
      <c r="IM13">
        <v>1.19378583374574E-2</v>
      </c>
      <c r="IN13">
        <v>1.1655227436572001E-3</v>
      </c>
      <c r="IO13">
        <v>0.42038260625359503</v>
      </c>
      <c r="IP13">
        <v>1.7896657148203699E-2</v>
      </c>
      <c r="IQ13">
        <v>1.88468435380697E-3</v>
      </c>
      <c r="IR13">
        <v>0.30176860163730901</v>
      </c>
      <c r="IS13">
        <v>0.25495304829883197</v>
      </c>
      <c r="IT13">
        <v>0.242099282305652</v>
      </c>
      <c r="IU13">
        <v>0.29352433501179997</v>
      </c>
      <c r="IV13">
        <v>1.333384985391E-2</v>
      </c>
      <c r="IW13">
        <v>1.4284036243776099E-3</v>
      </c>
      <c r="IX13">
        <v>7.5295291520328295E-2</v>
      </c>
      <c r="IY13">
        <v>2.7082026423022E-3</v>
      </c>
      <c r="IZ13">
        <v>2.7082026423021899E-4</v>
      </c>
      <c r="JA13">
        <v>7.5137643962232395E-2</v>
      </c>
      <c r="JB13">
        <v>2.7025324134636198E-3</v>
      </c>
      <c r="JC13">
        <v>2.70253241346361E-4</v>
      </c>
      <c r="JD13">
        <v>1.6468662338578401E-4</v>
      </c>
      <c r="JE13">
        <v>3.09248545472677E-3</v>
      </c>
      <c r="JF13" s="159">
        <v>-7.1828393927164601E-19</v>
      </c>
      <c r="JG13">
        <v>0</v>
      </c>
      <c r="JH13">
        <v>4.0985239299163E-3</v>
      </c>
      <c r="JI13">
        <v>5.3313412206676598E-4</v>
      </c>
      <c r="JJ13">
        <v>-0.49431384272568701</v>
      </c>
      <c r="JK13">
        <v>1.6468662338578401E-4</v>
      </c>
      <c r="JL13" s="159">
        <v>6.5753399999999896E-6</v>
      </c>
      <c r="JM13">
        <v>-0.49431384272568701</v>
      </c>
      <c r="JN13">
        <v>0</v>
      </c>
      <c r="JO13">
        <v>2.8489535481516501</v>
      </c>
      <c r="JP13">
        <v>-3.6066621334500202E-3</v>
      </c>
      <c r="JQ13">
        <v>3.09859885543716E-4</v>
      </c>
      <c r="JR13">
        <v>7.6941869392854301E-2</v>
      </c>
      <c r="JS13">
        <v>1490.1707863199499</v>
      </c>
      <c r="JT13">
        <v>5.1661575324824897E-2</v>
      </c>
      <c r="JU13">
        <v>0</v>
      </c>
      <c r="JV13">
        <v>365</v>
      </c>
      <c r="JW13">
        <v>0</v>
      </c>
      <c r="JX13">
        <v>-0.40268092994350901</v>
      </c>
      <c r="JY13">
        <v>0</v>
      </c>
      <c r="JZ13">
        <v>1.3000657961389399</v>
      </c>
      <c r="KA13">
        <v>1.3929811176728499</v>
      </c>
      <c r="KB13">
        <v>1.40617951783978</v>
      </c>
      <c r="KC13">
        <v>0</v>
      </c>
      <c r="KD13">
        <v>0</v>
      </c>
      <c r="KE13">
        <v>0</v>
      </c>
      <c r="KF13">
        <v>3.4785334674606399E-3</v>
      </c>
      <c r="KG13">
        <v>2.1646230139418101E-2</v>
      </c>
      <c r="KH13">
        <v>4.0885486364143499E-2</v>
      </c>
      <c r="KI13">
        <v>0</v>
      </c>
      <c r="KJ13">
        <v>0</v>
      </c>
      <c r="KK13">
        <v>0</v>
      </c>
      <c r="KL13">
        <v>0</v>
      </c>
      <c r="KM13">
        <v>0</v>
      </c>
      <c r="KN13">
        <v>0</v>
      </c>
      <c r="KO13">
        <v>0</v>
      </c>
      <c r="KP13">
        <v>0</v>
      </c>
      <c r="KQ13">
        <v>0</v>
      </c>
      <c r="KR13">
        <v>0</v>
      </c>
      <c r="KS13">
        <v>0</v>
      </c>
      <c r="KT13">
        <v>0</v>
      </c>
      <c r="KU13">
        <v>0.34999999999999898</v>
      </c>
      <c r="KV13">
        <v>-0.119004934984827</v>
      </c>
      <c r="KW13">
        <v>1.8850480152210101E-3</v>
      </c>
      <c r="KX13">
        <v>31352.583844073899</v>
      </c>
      <c r="KY13">
        <v>0</v>
      </c>
      <c r="KZ13">
        <v>0.210079062691895</v>
      </c>
      <c r="LA13">
        <v>1.73602675993533E-5</v>
      </c>
      <c r="LB13">
        <v>0</v>
      </c>
      <c r="LC13">
        <v>-12.1699904835871</v>
      </c>
      <c r="LD13">
        <v>1.5697586626901301E-2</v>
      </c>
      <c r="LE13">
        <v>3.39394964802013E-3</v>
      </c>
      <c r="LF13">
        <v>1.5697586626901301E-2</v>
      </c>
      <c r="LG13">
        <v>0.93672443751221501</v>
      </c>
      <c r="LH13">
        <v>1.2224141335365999</v>
      </c>
      <c r="LI13">
        <v>0</v>
      </c>
      <c r="LJ13">
        <v>0</v>
      </c>
      <c r="LK13">
        <v>0.239372833408806</v>
      </c>
      <c r="LL13">
        <v>0</v>
      </c>
      <c r="LM13">
        <v>0</v>
      </c>
      <c r="LN13">
        <v>0</v>
      </c>
      <c r="LO13">
        <v>0</v>
      </c>
      <c r="LP13">
        <v>0</v>
      </c>
      <c r="LQ13">
        <v>0</v>
      </c>
      <c r="LR13">
        <v>0</v>
      </c>
      <c r="LS13">
        <v>0</v>
      </c>
      <c r="LT13">
        <v>-999</v>
      </c>
      <c r="LU13">
        <v>0.42552960450552402</v>
      </c>
      <c r="LV13">
        <v>12</v>
      </c>
      <c r="LW13">
        <v>43.56</v>
      </c>
      <c r="LX13">
        <v>0.40699999999999897</v>
      </c>
      <c r="LY13">
        <v>0</v>
      </c>
      <c r="LZ13">
        <v>-999</v>
      </c>
      <c r="MA13">
        <v>0</v>
      </c>
      <c r="MB13">
        <v>0</v>
      </c>
      <c r="MC13">
        <v>443.56</v>
      </c>
      <c r="MD13">
        <v>-23.6999999999999</v>
      </c>
      <c r="ME13">
        <v>-33.6</v>
      </c>
      <c r="MF13">
        <v>0</v>
      </c>
      <c r="MG13">
        <v>8.0706896550000007</v>
      </c>
      <c r="MH13">
        <v>0</v>
      </c>
      <c r="MI13">
        <v>0</v>
      </c>
      <c r="MJ13">
        <v>0</v>
      </c>
      <c r="MK13">
        <v>0</v>
      </c>
      <c r="ML13">
        <v>0</v>
      </c>
      <c r="MM13">
        <v>0</v>
      </c>
      <c r="MN13">
        <v>0</v>
      </c>
      <c r="MO13">
        <v>0</v>
      </c>
      <c r="MP13">
        <v>0</v>
      </c>
      <c r="MQ13">
        <v>0</v>
      </c>
      <c r="MR13">
        <v>0</v>
      </c>
      <c r="MS13">
        <v>0</v>
      </c>
      <c r="MT13">
        <v>0</v>
      </c>
      <c r="MU13">
        <v>0</v>
      </c>
      <c r="MV13">
        <v>0</v>
      </c>
    </row>
    <row r="14" spans="1:360" x14ac:dyDescent="0.25">
      <c r="A14">
        <v>4745</v>
      </c>
      <c r="B14">
        <v>0</v>
      </c>
      <c r="C14">
        <v>-33.6</v>
      </c>
      <c r="D14">
        <v>-23.6999999999999</v>
      </c>
      <c r="E14">
        <v>400</v>
      </c>
      <c r="F14">
        <v>0</v>
      </c>
      <c r="G14">
        <v>0</v>
      </c>
      <c r="H14">
        <v>0</v>
      </c>
      <c r="I14">
        <v>0</v>
      </c>
      <c r="J14">
        <v>0</v>
      </c>
      <c r="K14">
        <v>0</v>
      </c>
      <c r="L14" s="159">
        <v>6.5753399999999896E-6</v>
      </c>
      <c r="M14">
        <v>0</v>
      </c>
      <c r="N14">
        <v>0</v>
      </c>
      <c r="O14">
        <v>0</v>
      </c>
      <c r="P14">
        <v>0</v>
      </c>
      <c r="Q14">
        <v>0</v>
      </c>
      <c r="R14">
        <v>0</v>
      </c>
      <c r="S14">
        <v>0</v>
      </c>
      <c r="T14">
        <v>0</v>
      </c>
      <c r="U14">
        <v>668.82222090047901</v>
      </c>
      <c r="V14">
        <v>13.3091427891798</v>
      </c>
      <c r="W14">
        <v>1.2884508753913499</v>
      </c>
      <c r="X14">
        <v>0.38355722963039302</v>
      </c>
      <c r="Y14">
        <v>0.288597336365292</v>
      </c>
      <c r="Z14">
        <v>0.32784543400431398</v>
      </c>
      <c r="AA14">
        <v>0.113145366785875</v>
      </c>
      <c r="AB14">
        <v>0.48678555625539199</v>
      </c>
      <c r="AC14">
        <v>0.40006907695873101</v>
      </c>
      <c r="AD14">
        <v>0.88386616405945595</v>
      </c>
      <c r="AE14">
        <v>4.4803300380803802E-2</v>
      </c>
      <c r="AF14">
        <v>7.1330535559739505E-2</v>
      </c>
      <c r="AG14">
        <v>0</v>
      </c>
      <c r="AH14">
        <v>3393.48804615681</v>
      </c>
      <c r="AI14">
        <v>80.6213594664992</v>
      </c>
      <c r="AJ14">
        <v>8.1253658751670201</v>
      </c>
      <c r="AK14">
        <v>392.46502116135599</v>
      </c>
      <c r="AL14">
        <v>7.2875485447482102</v>
      </c>
      <c r="AM14">
        <v>0.81750927939987705</v>
      </c>
      <c r="AN14">
        <v>8708.5270195574994</v>
      </c>
      <c r="AO14">
        <v>313.22617136768002</v>
      </c>
      <c r="AP14">
        <v>31.3226171367678</v>
      </c>
      <c r="AQ14">
        <v>2.8820716103475499E-2</v>
      </c>
      <c r="AR14">
        <v>5.8627616992911399E-3</v>
      </c>
      <c r="AS14">
        <v>2.6386558552775101E-2</v>
      </c>
      <c r="AT14">
        <v>9.48</v>
      </c>
      <c r="AU14">
        <v>5.9990288547530897</v>
      </c>
      <c r="AV14">
        <v>0</v>
      </c>
      <c r="AW14">
        <v>83.828282695619706</v>
      </c>
      <c r="AX14">
        <v>66.052201000678195</v>
      </c>
      <c r="AY14">
        <v>361.610868226283</v>
      </c>
      <c r="AZ14">
        <v>0.54833294000258503</v>
      </c>
      <c r="BA14">
        <v>0.81519107115394596</v>
      </c>
      <c r="BB14">
        <v>1.37612316055797E-2</v>
      </c>
      <c r="BC14">
        <v>1.14699663397938E-3</v>
      </c>
      <c r="BD14">
        <v>0.59042597740604996</v>
      </c>
      <c r="BE14">
        <v>9.1501320626899505E-3</v>
      </c>
      <c r="BF14">
        <v>7.5356222511554995E-4</v>
      </c>
      <c r="BG14">
        <v>766.29999847710098</v>
      </c>
      <c r="BH14">
        <v>-1626.59999865293</v>
      </c>
      <c r="BI14">
        <v>417.84551959386101</v>
      </c>
      <c r="BJ14">
        <v>208.65188409872499</v>
      </c>
      <c r="BK14">
        <v>4.72481644725032</v>
      </c>
      <c r="BL14">
        <v>4.5659377397109697</v>
      </c>
      <c r="BM14">
        <v>190.32159337231499</v>
      </c>
      <c r="BN14">
        <v>21.388006721009901</v>
      </c>
      <c r="BO14">
        <v>211.70960009332501</v>
      </c>
      <c r="BP14">
        <v>3.39496822635481</v>
      </c>
      <c r="BQ14">
        <v>0.28482303185255098</v>
      </c>
      <c r="BR14">
        <v>203.927067651475</v>
      </c>
      <c r="BS14">
        <v>2.1633748601739802</v>
      </c>
      <c r="BT14">
        <v>0.286305293616608</v>
      </c>
      <c r="BU14">
        <v>3.4249028089284401</v>
      </c>
      <c r="BV14">
        <v>1.64099315467927</v>
      </c>
      <c r="BW14">
        <v>0.54987242730026498</v>
      </c>
      <c r="BX14">
        <v>1.2340372269489099</v>
      </c>
      <c r="BY14">
        <v>0</v>
      </c>
      <c r="BZ14">
        <v>2.9978216557036799</v>
      </c>
      <c r="CA14">
        <v>0.39714657065114201</v>
      </c>
      <c r="CB14">
        <v>0.28714712614286902</v>
      </c>
      <c r="CC14">
        <v>0.24027156097101299</v>
      </c>
      <c r="CD14">
        <v>4.4551470881538401E-2</v>
      </c>
      <c r="CE14">
        <v>21.001642832957199</v>
      </c>
      <c r="CF14">
        <v>161.308096288211</v>
      </c>
      <c r="CG14">
        <v>42.438175768101502</v>
      </c>
      <c r="CH14">
        <v>0.38997231195723298</v>
      </c>
      <c r="CI14">
        <v>6.9883222675868097</v>
      </c>
      <c r="CJ14">
        <v>1.68147662236766</v>
      </c>
      <c r="CK14">
        <v>9.3002650047385291</v>
      </c>
      <c r="CL14">
        <v>1.5264059336117799</v>
      </c>
      <c r="CM14">
        <v>9.2493980572530402E-2</v>
      </c>
      <c r="CN14">
        <v>4.3746670334540702E-2</v>
      </c>
      <c r="CO14">
        <v>0.76672466500199898</v>
      </c>
      <c r="CP14">
        <v>0.899739084079616</v>
      </c>
      <c r="CQ14">
        <v>0.152640593361177</v>
      </c>
      <c r="CR14">
        <v>42.618971363264002</v>
      </c>
      <c r="CS14">
        <v>1.5329087453899</v>
      </c>
      <c r="CT14">
        <v>0.15329087453898901</v>
      </c>
      <c r="CU14">
        <v>1.4699999999999601E-2</v>
      </c>
      <c r="CV14">
        <v>1.88761148687952E-3</v>
      </c>
      <c r="CW14">
        <v>2.2165990942054399</v>
      </c>
      <c r="CX14">
        <v>2.0299999999999499E-2</v>
      </c>
      <c r="CY14">
        <v>5.53033876425762E-3</v>
      </c>
      <c r="CZ14">
        <v>0</v>
      </c>
      <c r="DA14">
        <v>2.3999991000028301E-3</v>
      </c>
      <c r="DB14">
        <v>1.49978096242833E-3</v>
      </c>
      <c r="DC14">
        <v>1.9999999999999502E-3</v>
      </c>
      <c r="DD14">
        <v>4.0563097229671004E-3</v>
      </c>
      <c r="DE14">
        <v>1.32029159280975E-3</v>
      </c>
      <c r="DF14">
        <v>2.3999990999999899E-3</v>
      </c>
      <c r="DG14">
        <v>0</v>
      </c>
      <c r="DH14">
        <v>0</v>
      </c>
      <c r="DI14">
        <v>0.23180769399999401</v>
      </c>
      <c r="DJ14">
        <v>1.8846155199999499E-2</v>
      </c>
      <c r="DK14">
        <v>2.1889332852179901</v>
      </c>
      <c r="DL14">
        <v>0.14288076274268899</v>
      </c>
      <c r="DM14">
        <v>90.610285181814007</v>
      </c>
      <c r="DN14">
        <v>205.02303871618099</v>
      </c>
      <c r="DO14">
        <v>327.66000000000003</v>
      </c>
      <c r="DP14">
        <v>31.959260044199301</v>
      </c>
      <c r="DQ14">
        <v>157.94999999999899</v>
      </c>
      <c r="DR14">
        <v>169.71</v>
      </c>
      <c r="DS14">
        <v>154.88057780666</v>
      </c>
      <c r="DT14">
        <v>0</v>
      </c>
      <c r="DU14">
        <v>0</v>
      </c>
      <c r="DV14">
        <v>0</v>
      </c>
      <c r="DW14">
        <v>0</v>
      </c>
      <c r="DX14">
        <v>0</v>
      </c>
      <c r="DY14">
        <v>0</v>
      </c>
      <c r="DZ14">
        <v>0</v>
      </c>
      <c r="EA14">
        <v>0</v>
      </c>
      <c r="EB14">
        <v>0</v>
      </c>
      <c r="EC14">
        <v>0</v>
      </c>
      <c r="ED14">
        <v>0</v>
      </c>
      <c r="EE14">
        <v>0</v>
      </c>
      <c r="EF14">
        <v>1.3335044357411101</v>
      </c>
      <c r="EG14">
        <v>0</v>
      </c>
      <c r="EH14">
        <v>0</v>
      </c>
      <c r="EI14">
        <v>0</v>
      </c>
      <c r="EJ14">
        <v>0</v>
      </c>
      <c r="EK14">
        <v>0</v>
      </c>
      <c r="EL14">
        <v>0</v>
      </c>
      <c r="EM14">
        <v>0</v>
      </c>
      <c r="EN14">
        <v>0</v>
      </c>
      <c r="EO14">
        <v>0</v>
      </c>
      <c r="EP14">
        <v>0</v>
      </c>
      <c r="EQ14">
        <v>0</v>
      </c>
      <c r="ER14">
        <v>0</v>
      </c>
      <c r="ES14">
        <v>0</v>
      </c>
      <c r="ET14">
        <v>0</v>
      </c>
      <c r="EU14">
        <v>0</v>
      </c>
      <c r="EV14">
        <v>784.14231505918303</v>
      </c>
      <c r="EW14">
        <v>-28.649999999999899</v>
      </c>
      <c r="EX14">
        <v>1408.0467808431099</v>
      </c>
      <c r="EY14">
        <v>816.83189344940604</v>
      </c>
      <c r="EZ14">
        <v>103.064344079161</v>
      </c>
      <c r="FA14">
        <v>628.87246850828205</v>
      </c>
      <c r="FB14">
        <v>676.10998535156205</v>
      </c>
      <c r="FC14">
        <v>0.44451651601342401</v>
      </c>
      <c r="FD14">
        <v>0.81066899977106599</v>
      </c>
      <c r="FE14">
        <v>0</v>
      </c>
      <c r="FF14">
        <v>1</v>
      </c>
      <c r="FG14" s="159">
        <v>5.9107978899437298E-13</v>
      </c>
      <c r="FH14">
        <v>0</v>
      </c>
      <c r="FI14">
        <v>5.4512674794765098E-5</v>
      </c>
      <c r="FJ14">
        <v>-5.8700635285910503E-3</v>
      </c>
      <c r="FK14" s="159">
        <v>6.57534000000779E-6</v>
      </c>
      <c r="FL14" s="159">
        <v>3.1776983822915499E-6</v>
      </c>
      <c r="FM14" s="159">
        <v>4.1089349937763997E-6</v>
      </c>
      <c r="FN14">
        <v>0</v>
      </c>
      <c r="FO14">
        <v>0</v>
      </c>
      <c r="FP14">
        <v>0</v>
      </c>
      <c r="FQ14">
        <v>0</v>
      </c>
      <c r="FR14">
        <v>0</v>
      </c>
      <c r="FS14">
        <v>0</v>
      </c>
      <c r="FT14">
        <v>0</v>
      </c>
      <c r="FU14">
        <v>0</v>
      </c>
      <c r="FV14">
        <v>-999</v>
      </c>
      <c r="FW14">
        <v>0.464848626189587</v>
      </c>
      <c r="FX14">
        <v>3.1443513910960801E-3</v>
      </c>
      <c r="FY14">
        <v>1.1439099677014599</v>
      </c>
      <c r="FZ14">
        <v>9.771769364903041E-4</v>
      </c>
      <c r="GA14">
        <v>43.692179226237897</v>
      </c>
      <c r="GB14">
        <v>1.0794598027717E-2</v>
      </c>
      <c r="GC14">
        <v>2.9174589264099899E-3</v>
      </c>
      <c r="GD14">
        <v>0</v>
      </c>
      <c r="GE14">
        <v>7.0389872539963899E-3</v>
      </c>
      <c r="GF14">
        <v>0.51118622908813804</v>
      </c>
      <c r="GG14">
        <v>5.6015030442624098E-4</v>
      </c>
      <c r="GH14">
        <v>9.4522021357916295E-3</v>
      </c>
      <c r="GI14">
        <v>1.8676055361071399E-2</v>
      </c>
      <c r="GJ14">
        <v>9.1506254829107998E-4</v>
      </c>
      <c r="GK14">
        <v>1.7828419988915199E-3</v>
      </c>
      <c r="GL14">
        <v>0.37792419838056801</v>
      </c>
      <c r="GM14">
        <v>6.2827557265302501E-3</v>
      </c>
      <c r="GN14">
        <v>5.2084520851878203E-4</v>
      </c>
      <c r="GO14">
        <v>0</v>
      </c>
      <c r="GP14">
        <v>0</v>
      </c>
      <c r="GQ14">
        <v>0</v>
      </c>
      <c r="GR14">
        <v>5.9106713138919E-2</v>
      </c>
      <c r="GS14">
        <v>1.09753231012983E-3</v>
      </c>
      <c r="GT14">
        <v>1.2311998231818601E-4</v>
      </c>
      <c r="GU14">
        <v>3.7027830256469801E-2</v>
      </c>
      <c r="GV14">
        <v>6.8755709668653203E-4</v>
      </c>
      <c r="GW14">
        <v>7.7129408223777196E-5</v>
      </c>
      <c r="GX14">
        <v>0.11516733158253301</v>
      </c>
      <c r="GY14">
        <v>0.12597177992839301</v>
      </c>
      <c r="GZ14">
        <v>59.215969532438798</v>
      </c>
      <c r="HA14">
        <v>678.65611020290305</v>
      </c>
      <c r="HB14">
        <v>0</v>
      </c>
      <c r="HC14">
        <v>0.99981315782173097</v>
      </c>
      <c r="HD14">
        <v>0.39936368295699598</v>
      </c>
      <c r="HE14">
        <v>1.03740751046685E-2</v>
      </c>
      <c r="HF14">
        <v>8.9886284744687E-4</v>
      </c>
      <c r="HG14">
        <v>1.20672200103353E-2</v>
      </c>
      <c r="HH14" s="159">
        <v>4.7618745827735402E-7</v>
      </c>
      <c r="HI14" s="159">
        <v>3.3333254685715002E-7</v>
      </c>
      <c r="HJ14">
        <v>0</v>
      </c>
      <c r="HK14">
        <v>0</v>
      </c>
      <c r="HL14">
        <v>0</v>
      </c>
      <c r="HM14">
        <v>0</v>
      </c>
      <c r="HN14">
        <v>0</v>
      </c>
      <c r="HO14">
        <v>1.06658525729554E-2</v>
      </c>
      <c r="HP14">
        <v>0.52533546288539001</v>
      </c>
      <c r="HQ14">
        <v>1.03740751046685E-2</v>
      </c>
      <c r="HR14">
        <v>8.9886284744687E-4</v>
      </c>
      <c r="HS14">
        <v>0.73418462306551002</v>
      </c>
      <c r="HT14">
        <v>-999</v>
      </c>
      <c r="HU14">
        <v>1</v>
      </c>
      <c r="HV14">
        <v>0.76989215718868598</v>
      </c>
      <c r="HW14">
        <v>0.230107842811313</v>
      </c>
      <c r="HX14">
        <v>12494.480086875599</v>
      </c>
      <c r="HY14">
        <v>401.135079378927</v>
      </c>
      <c r="HZ14">
        <v>40.265492291334702</v>
      </c>
      <c r="IA14">
        <v>-0.12597177992839301</v>
      </c>
      <c r="IB14">
        <v>0</v>
      </c>
      <c r="IC14">
        <v>0</v>
      </c>
      <c r="ID14">
        <v>0</v>
      </c>
      <c r="IE14">
        <v>0</v>
      </c>
      <c r="IF14">
        <v>0</v>
      </c>
      <c r="IG14">
        <v>0</v>
      </c>
      <c r="IH14">
        <v>0</v>
      </c>
      <c r="II14">
        <v>46.337800049999601</v>
      </c>
      <c r="IJ14">
        <v>463.37800049999902</v>
      </c>
      <c r="IK14">
        <v>9.8561431458627502E-3</v>
      </c>
      <c r="IL14">
        <v>2.1253817320299501E-3</v>
      </c>
      <c r="IM14">
        <v>1.19815248778927E-2</v>
      </c>
      <c r="IN14">
        <v>1.1528533038089801E-3</v>
      </c>
      <c r="IO14">
        <v>0.42052032187350302</v>
      </c>
      <c r="IP14">
        <v>1.79383460398965E-2</v>
      </c>
      <c r="IQ14">
        <v>1.8718822464488601E-3</v>
      </c>
      <c r="IR14">
        <v>0.30139895882919598</v>
      </c>
      <c r="IS14">
        <v>0.25413218866586701</v>
      </c>
      <c r="IT14">
        <v>0.24353621328547101</v>
      </c>
      <c r="IU14">
        <v>0.29377593469431101</v>
      </c>
      <c r="IV14">
        <v>1.33796348997319E-2</v>
      </c>
      <c r="IW14">
        <v>1.4160111324323999E-3</v>
      </c>
      <c r="IX14">
        <v>7.5272431841788195E-2</v>
      </c>
      <c r="IY14">
        <v>2.70738043097166E-3</v>
      </c>
      <c r="IZ14">
        <v>2.7073804309716399E-4</v>
      </c>
      <c r="JA14">
        <v>7.5137356022713098E-2</v>
      </c>
      <c r="JB14">
        <v>2.70252205692537E-3</v>
      </c>
      <c r="JC14">
        <v>2.7025220569253501E-4</v>
      </c>
      <c r="JD14">
        <v>1.65100520627869E-4</v>
      </c>
      <c r="JE14">
        <v>3.1001625581391101E-3</v>
      </c>
      <c r="JF14" s="159">
        <v>2.3039296165316902E-19</v>
      </c>
      <c r="JG14">
        <v>0</v>
      </c>
      <c r="JH14">
        <v>4.1006320787645902E-3</v>
      </c>
      <c r="JI14">
        <v>5.3341003431595102E-4</v>
      </c>
      <c r="JJ14">
        <v>-0.49488507064541698</v>
      </c>
      <c r="JK14">
        <v>1.65100520627869E-4</v>
      </c>
      <c r="JL14" s="159">
        <v>6.5753399999999896E-6</v>
      </c>
      <c r="JM14">
        <v>-0.49488507064541698</v>
      </c>
      <c r="JN14">
        <v>0</v>
      </c>
      <c r="JO14">
        <v>2.7676908560315701</v>
      </c>
      <c r="JP14">
        <v>-3.9585772212970601E-3</v>
      </c>
      <c r="JQ14">
        <v>3.4368937703283903E-4</v>
      </c>
      <c r="JR14">
        <v>6.7416057805019095E-2</v>
      </c>
      <c r="JS14">
        <v>1492.9418616999901</v>
      </c>
      <c r="JT14">
        <v>5.1416814505632402E-2</v>
      </c>
      <c r="JU14">
        <v>0</v>
      </c>
      <c r="JV14">
        <v>365</v>
      </c>
      <c r="JW14">
        <v>0</v>
      </c>
      <c r="JX14">
        <v>-0.40268092994350901</v>
      </c>
      <c r="JY14">
        <v>0</v>
      </c>
      <c r="JZ14">
        <v>1.30104928071194</v>
      </c>
      <c r="KA14">
        <v>1.3942512793567099</v>
      </c>
      <c r="KB14">
        <v>1.4078158590879399</v>
      </c>
      <c r="KC14">
        <v>0</v>
      </c>
      <c r="KD14">
        <v>0</v>
      </c>
      <c r="KE14">
        <v>0</v>
      </c>
      <c r="KF14">
        <v>3.4825675523167299E-3</v>
      </c>
      <c r="KG14">
        <v>2.1684241887632599E-2</v>
      </c>
      <c r="KH14">
        <v>4.0772112058132803E-2</v>
      </c>
      <c r="KI14">
        <v>0</v>
      </c>
      <c r="KJ14">
        <v>0</v>
      </c>
      <c r="KK14">
        <v>0</v>
      </c>
      <c r="KL14">
        <v>0</v>
      </c>
      <c r="KM14">
        <v>0</v>
      </c>
      <c r="KN14">
        <v>0</v>
      </c>
      <c r="KO14">
        <v>0</v>
      </c>
      <c r="KP14">
        <v>0</v>
      </c>
      <c r="KQ14">
        <v>0</v>
      </c>
      <c r="KR14">
        <v>0</v>
      </c>
      <c r="KS14">
        <v>0</v>
      </c>
      <c r="KT14">
        <v>0</v>
      </c>
      <c r="KU14">
        <v>0.34999999999999898</v>
      </c>
      <c r="KV14">
        <v>-0.11882646787069701</v>
      </c>
      <c r="KW14">
        <v>1.8823171215895001E-3</v>
      </c>
      <c r="KX14">
        <v>31443.623425414102</v>
      </c>
      <c r="KY14">
        <v>0</v>
      </c>
      <c r="KZ14">
        <v>0.21009422003220601</v>
      </c>
      <c r="LA14">
        <v>1.73602675993533E-5</v>
      </c>
      <c r="LB14">
        <v>0</v>
      </c>
      <c r="LC14">
        <v>-12.168837800233399</v>
      </c>
      <c r="LD14">
        <v>1.5698238223524199E-2</v>
      </c>
      <c r="LE14">
        <v>3.3945643618153399E-3</v>
      </c>
      <c r="LF14">
        <v>1.5698238223524199E-2</v>
      </c>
      <c r="LG14">
        <v>0.93721564356614395</v>
      </c>
      <c r="LH14">
        <v>1.2229723222342499</v>
      </c>
      <c r="LI14">
        <v>0</v>
      </c>
      <c r="LJ14">
        <v>0</v>
      </c>
      <c r="LK14">
        <v>0.23950937913034201</v>
      </c>
      <c r="LL14">
        <v>0</v>
      </c>
      <c r="LM14">
        <v>0</v>
      </c>
      <c r="LN14">
        <v>0</v>
      </c>
      <c r="LO14">
        <v>0</v>
      </c>
      <c r="LP14">
        <v>0</v>
      </c>
      <c r="LQ14">
        <v>0</v>
      </c>
      <c r="LR14">
        <v>0</v>
      </c>
      <c r="LS14">
        <v>0</v>
      </c>
      <c r="LT14">
        <v>-999</v>
      </c>
      <c r="LU14">
        <v>0.425536808089713</v>
      </c>
      <c r="LV14">
        <v>13</v>
      </c>
      <c r="LW14">
        <v>47.519999999999897</v>
      </c>
      <c r="LX14">
        <v>0.44399999999999901</v>
      </c>
      <c r="LY14">
        <v>0</v>
      </c>
      <c r="LZ14">
        <v>-999</v>
      </c>
      <c r="MA14">
        <v>0</v>
      </c>
      <c r="MB14">
        <v>0</v>
      </c>
      <c r="MC14">
        <v>447.51999999999902</v>
      </c>
      <c r="MD14">
        <v>-23.6999999999999</v>
      </c>
      <c r="ME14">
        <v>-33.6</v>
      </c>
      <c r="MF14">
        <v>0</v>
      </c>
      <c r="MG14">
        <v>8.0706896550000007</v>
      </c>
      <c r="MH14">
        <v>0</v>
      </c>
      <c r="MI14">
        <v>0</v>
      </c>
      <c r="MJ14">
        <v>0</v>
      </c>
      <c r="MK14">
        <v>0</v>
      </c>
      <c r="ML14">
        <v>0</v>
      </c>
      <c r="MM14">
        <v>0</v>
      </c>
      <c r="MN14">
        <v>0</v>
      </c>
      <c r="MO14">
        <v>0</v>
      </c>
      <c r="MP14">
        <v>0</v>
      </c>
      <c r="MQ14">
        <v>0</v>
      </c>
      <c r="MR14">
        <v>0</v>
      </c>
      <c r="MS14">
        <v>0</v>
      </c>
      <c r="MT14">
        <v>0</v>
      </c>
      <c r="MU14">
        <v>0</v>
      </c>
      <c r="MV14">
        <v>0</v>
      </c>
    </row>
    <row r="15" spans="1:360" x14ac:dyDescent="0.25">
      <c r="A15">
        <v>5110</v>
      </c>
      <c r="B15">
        <v>0</v>
      </c>
      <c r="C15">
        <v>-33.6</v>
      </c>
      <c r="D15">
        <v>-23.6999999999999</v>
      </c>
      <c r="E15">
        <v>400</v>
      </c>
      <c r="F15">
        <v>0</v>
      </c>
      <c r="G15">
        <v>0</v>
      </c>
      <c r="H15">
        <v>0</v>
      </c>
      <c r="I15">
        <v>0</v>
      </c>
      <c r="J15">
        <v>0</v>
      </c>
      <c r="K15">
        <v>0</v>
      </c>
      <c r="L15" s="159">
        <v>6.5753399999999896E-6</v>
      </c>
      <c r="M15">
        <v>0</v>
      </c>
      <c r="N15">
        <v>0</v>
      </c>
      <c r="O15">
        <v>0</v>
      </c>
      <c r="P15">
        <v>0</v>
      </c>
      <c r="Q15">
        <v>0</v>
      </c>
      <c r="R15">
        <v>0</v>
      </c>
      <c r="S15">
        <v>0</v>
      </c>
      <c r="T15">
        <v>0</v>
      </c>
      <c r="U15">
        <v>670.11094885936598</v>
      </c>
      <c r="V15">
        <v>13.3371405991694</v>
      </c>
      <c r="W15">
        <v>1.2907418423624899</v>
      </c>
      <c r="X15">
        <v>0.38120574460533002</v>
      </c>
      <c r="Y15">
        <v>0.28784985648860101</v>
      </c>
      <c r="Z15">
        <v>0.33094439890606803</v>
      </c>
      <c r="AA15">
        <v>0.113111745875581</v>
      </c>
      <c r="AB15">
        <v>0.48728612955546002</v>
      </c>
      <c r="AC15">
        <v>0.399602124568957</v>
      </c>
      <c r="AD15">
        <v>0.88392019038210401</v>
      </c>
      <c r="AE15">
        <v>4.46749118966999E-2</v>
      </c>
      <c r="AF15">
        <v>7.1404897721195904E-2</v>
      </c>
      <c r="AG15">
        <v>0</v>
      </c>
      <c r="AH15">
        <v>3394.47947071825</v>
      </c>
      <c r="AI15">
        <v>80.588600514837694</v>
      </c>
      <c r="AJ15">
        <v>8.1238087142579403</v>
      </c>
      <c r="AK15">
        <v>392.85607982471601</v>
      </c>
      <c r="AL15">
        <v>7.2948099791166898</v>
      </c>
      <c r="AM15">
        <v>0.81832385921934903</v>
      </c>
      <c r="AN15">
        <v>8708.3352724011202</v>
      </c>
      <c r="AO15">
        <v>313.21927465282499</v>
      </c>
      <c r="AP15">
        <v>31.3219274652823</v>
      </c>
      <c r="AQ15">
        <v>2.8888717641829299E-2</v>
      </c>
      <c r="AR15">
        <v>5.8815895918671E-3</v>
      </c>
      <c r="AS15">
        <v>2.60974472929432E-2</v>
      </c>
      <c r="AT15">
        <v>9.48</v>
      </c>
      <c r="AU15">
        <v>5.9988339160173201</v>
      </c>
      <c r="AV15">
        <v>0</v>
      </c>
      <c r="AW15">
        <v>83.876849778661693</v>
      </c>
      <c r="AX15">
        <v>66.071604783881696</v>
      </c>
      <c r="AY15">
        <v>361.60580120485002</v>
      </c>
      <c r="AZ15">
        <v>0.54833294000258603</v>
      </c>
      <c r="BA15">
        <v>0.81622915064117596</v>
      </c>
      <c r="BB15">
        <v>1.3773017257752301E-2</v>
      </c>
      <c r="BC15">
        <v>1.148005706348E-3</v>
      </c>
      <c r="BD15">
        <v>0.59045016644406001</v>
      </c>
      <c r="BE15">
        <v>9.1522106101830994E-3</v>
      </c>
      <c r="BF15">
        <v>7.5344086724057099E-4</v>
      </c>
      <c r="BG15">
        <v>766.29999847710098</v>
      </c>
      <c r="BH15">
        <v>-1626.59999865293</v>
      </c>
      <c r="BI15">
        <v>418.04103811608701</v>
      </c>
      <c r="BJ15">
        <v>208.556118099191</v>
      </c>
      <c r="BK15">
        <v>4.4452061882383296</v>
      </c>
      <c r="BL15">
        <v>4.5666576388688398</v>
      </c>
      <c r="BM15">
        <v>190.418276069092</v>
      </c>
      <c r="BN15">
        <v>21.415771710080602</v>
      </c>
      <c r="BO15">
        <v>211.83404777917201</v>
      </c>
      <c r="BP15">
        <v>3.3992981721700999</v>
      </c>
      <c r="BQ15">
        <v>0.28513678174169899</v>
      </c>
      <c r="BR15">
        <v>204.11091191095301</v>
      </c>
      <c r="BS15">
        <v>2.1655967809016099</v>
      </c>
      <c r="BT15">
        <v>0.28656903431687297</v>
      </c>
      <c r="BU15">
        <v>3.4272959821596798</v>
      </c>
      <c r="BV15">
        <v>1.64397723147062</v>
      </c>
      <c r="BW15">
        <v>0.54908695640017102</v>
      </c>
      <c r="BX15">
        <v>1.2342317942888701</v>
      </c>
      <c r="BY15">
        <v>0</v>
      </c>
      <c r="BZ15">
        <v>3.0016360429473998</v>
      </c>
      <c r="CA15">
        <v>0.397662129222702</v>
      </c>
      <c r="CB15">
        <v>0.28742774871283699</v>
      </c>
      <c r="CC15">
        <v>0.240527476059647</v>
      </c>
      <c r="CD15">
        <v>4.4609305682052701E-2</v>
      </c>
      <c r="CE15">
        <v>21.024713046719899</v>
      </c>
      <c r="CF15">
        <v>161.48837598439499</v>
      </c>
      <c r="CG15">
        <v>42.430788770169698</v>
      </c>
      <c r="CH15">
        <v>0.39040069485422801</v>
      </c>
      <c r="CI15">
        <v>7.0030698483724896</v>
      </c>
      <c r="CJ15">
        <v>1.68457500231407</v>
      </c>
      <c r="CK15">
        <v>9.3202046768569495</v>
      </c>
      <c r="CL15">
        <v>1.5261402398756401</v>
      </c>
      <c r="CM15">
        <v>9.2733217691391007E-2</v>
      </c>
      <c r="CN15">
        <v>4.3794725862579903E-2</v>
      </c>
      <c r="CO15">
        <v>0.75865943518858703</v>
      </c>
      <c r="CP15">
        <v>0.89192477403233805</v>
      </c>
      <c r="CQ15">
        <v>0.15261402398756299</v>
      </c>
      <c r="CR15">
        <v>42.622535926557802</v>
      </c>
      <c r="CS15">
        <v>1.5330369547312299</v>
      </c>
      <c r="CT15">
        <v>0.153303695473122</v>
      </c>
      <c r="CU15">
        <v>1.47000000000001E-2</v>
      </c>
      <c r="CV15">
        <v>1.89559113392989E-3</v>
      </c>
      <c r="CW15">
        <v>2.2189309590727802</v>
      </c>
      <c r="CX15">
        <v>2.0300000000000099E-2</v>
      </c>
      <c r="CY15">
        <v>5.5501724659600604E-3</v>
      </c>
      <c r="CZ15">
        <v>0</v>
      </c>
      <c r="DA15">
        <v>2.39999910000287E-3</v>
      </c>
      <c r="DB15">
        <v>1.49973421008823E-3</v>
      </c>
      <c r="DC15">
        <v>2.00000000000002E-3</v>
      </c>
      <c r="DD15">
        <v>4.0253346996317503E-3</v>
      </c>
      <c r="DE15">
        <v>1.3047954743272601E-3</v>
      </c>
      <c r="DF15">
        <v>2.3999991000000199E-3</v>
      </c>
      <c r="DG15">
        <v>0</v>
      </c>
      <c r="DH15">
        <v>0</v>
      </c>
      <c r="DI15">
        <v>0.23180769400000201</v>
      </c>
      <c r="DJ15">
        <v>1.88461552000001E-2</v>
      </c>
      <c r="DK15">
        <v>2.19754985493535</v>
      </c>
      <c r="DL15">
        <v>0.14344320201927799</v>
      </c>
      <c r="DM15">
        <v>89.878076056512398</v>
      </c>
      <c r="DN15">
        <v>205.84474666835001</v>
      </c>
      <c r="DO15">
        <v>327.66000000000003</v>
      </c>
      <c r="DP15">
        <v>31.869212163848299</v>
      </c>
      <c r="DQ15">
        <v>157.94999999999899</v>
      </c>
      <c r="DR15">
        <v>169.71</v>
      </c>
      <c r="DS15">
        <v>154.937045677307</v>
      </c>
      <c r="DT15">
        <v>0</v>
      </c>
      <c r="DU15">
        <v>0</v>
      </c>
      <c r="DV15">
        <v>0</v>
      </c>
      <c r="DW15">
        <v>0</v>
      </c>
      <c r="DX15">
        <v>0</v>
      </c>
      <c r="DY15">
        <v>0</v>
      </c>
      <c r="DZ15">
        <v>0</v>
      </c>
      <c r="EA15">
        <v>0</v>
      </c>
      <c r="EB15">
        <v>0</v>
      </c>
      <c r="EC15">
        <v>0</v>
      </c>
      <c r="ED15">
        <v>0</v>
      </c>
      <c r="EE15">
        <v>0</v>
      </c>
      <c r="EF15">
        <v>1.3304215255387799</v>
      </c>
      <c r="EG15">
        <v>0</v>
      </c>
      <c r="EH15">
        <v>0</v>
      </c>
      <c r="EI15">
        <v>0</v>
      </c>
      <c r="EJ15">
        <v>0</v>
      </c>
      <c r="EK15">
        <v>0</v>
      </c>
      <c r="EL15">
        <v>0</v>
      </c>
      <c r="EM15">
        <v>0</v>
      </c>
      <c r="EN15">
        <v>0</v>
      </c>
      <c r="EO15">
        <v>0</v>
      </c>
      <c r="EP15">
        <v>0</v>
      </c>
      <c r="EQ15">
        <v>0</v>
      </c>
      <c r="ER15">
        <v>0</v>
      </c>
      <c r="ES15">
        <v>0</v>
      </c>
      <c r="ET15">
        <v>0</v>
      </c>
      <c r="EU15">
        <v>0</v>
      </c>
      <c r="EV15">
        <v>785.459114522292</v>
      </c>
      <c r="EW15">
        <v>-28.649999999999899</v>
      </c>
      <c r="EX15">
        <v>1410.7598923354999</v>
      </c>
      <c r="EY15">
        <v>817.612534029779</v>
      </c>
      <c r="EZ15">
        <v>102.610182504075</v>
      </c>
      <c r="FA15">
        <v>630.481367874429</v>
      </c>
      <c r="FB15">
        <v>677.66833496093705</v>
      </c>
      <c r="FC15">
        <v>0.44255771714007802</v>
      </c>
      <c r="FD15">
        <v>0.80709671962802498</v>
      </c>
      <c r="FE15">
        <v>0</v>
      </c>
      <c r="FF15">
        <v>1</v>
      </c>
      <c r="FG15" s="159">
        <v>5.9113054288317504E-13</v>
      </c>
      <c r="FH15">
        <v>0</v>
      </c>
      <c r="FI15">
        <v>5.4512674794765098E-5</v>
      </c>
      <c r="FJ15">
        <v>-5.8411520810172802E-3</v>
      </c>
      <c r="FK15" s="159">
        <v>6.57534000000779E-6</v>
      </c>
      <c r="FL15" s="159">
        <v>3.14267771783835E-6</v>
      </c>
      <c r="FM15" s="159">
        <v>4.1088014737330004E-6</v>
      </c>
      <c r="FN15">
        <v>0</v>
      </c>
      <c r="FO15">
        <v>0</v>
      </c>
      <c r="FP15">
        <v>0</v>
      </c>
      <c r="FQ15">
        <v>0</v>
      </c>
      <c r="FR15">
        <v>0</v>
      </c>
      <c r="FS15">
        <v>0</v>
      </c>
      <c r="FT15">
        <v>0</v>
      </c>
      <c r="FU15">
        <v>0</v>
      </c>
      <c r="FV15">
        <v>-999</v>
      </c>
      <c r="FW15">
        <v>0.46594094639037098</v>
      </c>
      <c r="FX15">
        <v>3.14734765522883E-3</v>
      </c>
      <c r="FY15">
        <v>1.14744171187917</v>
      </c>
      <c r="FZ15">
        <v>9.7587531836813401E-4</v>
      </c>
      <c r="GA15">
        <v>43.636388417320497</v>
      </c>
      <c r="GB15">
        <v>1.0776065820026401E-2</v>
      </c>
      <c r="GC15">
        <v>2.9124502216287601E-3</v>
      </c>
      <c r="GD15">
        <v>0</v>
      </c>
      <c r="GE15">
        <v>7.0356731952257202E-3</v>
      </c>
      <c r="GF15">
        <v>0.50555256621385303</v>
      </c>
      <c r="GG15">
        <v>5.5987470149876004E-4</v>
      </c>
      <c r="GH15">
        <v>9.4538699828571292E-3</v>
      </c>
      <c r="GI15">
        <v>1.86686345963313E-2</v>
      </c>
      <c r="GJ15">
        <v>9.1492666425728399E-4</v>
      </c>
      <c r="GK15">
        <v>1.7821933721662701E-3</v>
      </c>
      <c r="GL15">
        <v>0.37870845287342902</v>
      </c>
      <c r="GM15">
        <v>6.2994346025086398E-3</v>
      </c>
      <c r="GN15">
        <v>5.2206177227038597E-4</v>
      </c>
      <c r="GO15">
        <v>0</v>
      </c>
      <c r="GP15">
        <v>0</v>
      </c>
      <c r="GQ15">
        <v>0</v>
      </c>
      <c r="GR15">
        <v>5.9174790753134303E-2</v>
      </c>
      <c r="GS15">
        <v>1.0987964200292E-3</v>
      </c>
      <c r="GT15">
        <v>1.2326178879351401E-4</v>
      </c>
      <c r="GU15">
        <v>3.7065313711515203E-2</v>
      </c>
      <c r="GV15">
        <v>6.8825311412385804E-4</v>
      </c>
      <c r="GW15">
        <v>7.7207486703823397E-5</v>
      </c>
      <c r="GX15">
        <v>0.115482701519298</v>
      </c>
      <c r="GY15">
        <v>0.126269390352758</v>
      </c>
      <c r="GZ15">
        <v>59.187560146824701</v>
      </c>
      <c r="HA15">
        <v>678.54835937596295</v>
      </c>
      <c r="HB15">
        <v>0</v>
      </c>
      <c r="HC15">
        <v>0.99981315088018397</v>
      </c>
      <c r="HD15">
        <v>0.40022151233291497</v>
      </c>
      <c r="HE15">
        <v>1.0396313180756799E-2</v>
      </c>
      <c r="HF15">
        <v>9.0066189990080901E-4</v>
      </c>
      <c r="HG15">
        <v>1.21107176843771E-2</v>
      </c>
      <c r="HH15" s="159">
        <v>4.7618747086011898E-7</v>
      </c>
      <c r="HI15" s="159">
        <v>3.33332546736496E-7</v>
      </c>
      <c r="HJ15">
        <v>0</v>
      </c>
      <c r="HK15">
        <v>0</v>
      </c>
      <c r="HL15">
        <v>0</v>
      </c>
      <c r="HM15">
        <v>0</v>
      </c>
      <c r="HN15">
        <v>0</v>
      </c>
      <c r="HO15">
        <v>1.07049529564482E-2</v>
      </c>
      <c r="HP15">
        <v>0.526490902685673</v>
      </c>
      <c r="HQ15">
        <v>1.0396313180756799E-2</v>
      </c>
      <c r="HR15">
        <v>9.0066189990080901E-4</v>
      </c>
      <c r="HS15">
        <v>0.73345285704462604</v>
      </c>
      <c r="HT15">
        <v>-999</v>
      </c>
      <c r="HU15">
        <v>1</v>
      </c>
      <c r="HV15">
        <v>0.77112488083685005</v>
      </c>
      <c r="HW15">
        <v>0.22887511916314901</v>
      </c>
      <c r="HX15">
        <v>12495.670822944099</v>
      </c>
      <c r="HY15">
        <v>401.10268514677898</v>
      </c>
      <c r="HZ15">
        <v>40.264060038759602</v>
      </c>
      <c r="IA15">
        <v>-0.126269390352758</v>
      </c>
      <c r="IB15">
        <v>0</v>
      </c>
      <c r="IC15">
        <v>0</v>
      </c>
      <c r="ID15">
        <v>0</v>
      </c>
      <c r="IE15">
        <v>0</v>
      </c>
      <c r="IF15">
        <v>0</v>
      </c>
      <c r="IG15">
        <v>0</v>
      </c>
      <c r="IH15">
        <v>0</v>
      </c>
      <c r="II15">
        <v>46.337800049999601</v>
      </c>
      <c r="IJ15">
        <v>463.37800049999902</v>
      </c>
      <c r="IK15">
        <v>9.8890380912244093E-3</v>
      </c>
      <c r="IL15">
        <v>2.1339432481323299E-3</v>
      </c>
      <c r="IM15">
        <v>1.2022981339356699E-2</v>
      </c>
      <c r="IN15">
        <v>1.1413645480354701E-3</v>
      </c>
      <c r="IO15">
        <v>0.42064985565838803</v>
      </c>
      <c r="IP15">
        <v>1.7977931840959801E-2</v>
      </c>
      <c r="IQ15">
        <v>1.8602671051774499E-3</v>
      </c>
      <c r="IR15">
        <v>0.30106339067282201</v>
      </c>
      <c r="IS15">
        <v>0.25336831402847299</v>
      </c>
      <c r="IT15">
        <v>0.244859368183489</v>
      </c>
      <c r="IU15">
        <v>0.29400758382783998</v>
      </c>
      <c r="IV15">
        <v>1.3422893560696999E-2</v>
      </c>
      <c r="IW15">
        <v>1.4047632771511699E-3</v>
      </c>
      <c r="IX15">
        <v>7.52505992982727E-2</v>
      </c>
      <c r="IY15">
        <v>2.7065951633826399E-3</v>
      </c>
      <c r="IZ15">
        <v>2.7065951633826199E-4</v>
      </c>
      <c r="JA15">
        <v>7.5136894216277894E-2</v>
      </c>
      <c r="JB15">
        <v>2.7025054467843799E-3</v>
      </c>
      <c r="JC15">
        <v>2.7025054467843602E-4</v>
      </c>
      <c r="JD15">
        <v>1.6549132365508001E-4</v>
      </c>
      <c r="JE15">
        <v>3.1074485986197801E-3</v>
      </c>
      <c r="JF15" s="159">
        <v>9.35124373768747E-19</v>
      </c>
      <c r="JG15">
        <v>0</v>
      </c>
      <c r="JH15">
        <v>4.1024176681246803E-3</v>
      </c>
      <c r="JI15">
        <v>5.3364927379413599E-4</v>
      </c>
      <c r="JJ15">
        <v>-0.49541386839687601</v>
      </c>
      <c r="JK15">
        <v>1.6549132365508001E-4</v>
      </c>
      <c r="JL15" s="159">
        <v>6.5753399999999896E-6</v>
      </c>
      <c r="JM15">
        <v>-0.49541386839687601</v>
      </c>
      <c r="JN15">
        <v>0</v>
      </c>
      <c r="JO15">
        <v>2.4794640273028401</v>
      </c>
      <c r="JP15">
        <v>-4.3095927277774998E-3</v>
      </c>
      <c r="JQ15">
        <v>3.7466440036829302E-4</v>
      </c>
      <c r="JR15">
        <v>6.7965111288355404E-2</v>
      </c>
      <c r="JS15">
        <v>1495.28087598194</v>
      </c>
      <c r="JT15">
        <v>5.1190242050634001E-2</v>
      </c>
      <c r="JU15">
        <v>0</v>
      </c>
      <c r="JV15">
        <v>365</v>
      </c>
      <c r="JW15">
        <v>0</v>
      </c>
      <c r="JX15">
        <v>-0.40268092994350901</v>
      </c>
      <c r="JY15">
        <v>0</v>
      </c>
      <c r="JZ15">
        <v>1.30234968691411</v>
      </c>
      <c r="KA15">
        <v>1.3949590304016399</v>
      </c>
      <c r="KB15">
        <v>1.40899724397588</v>
      </c>
      <c r="KC15">
        <v>0</v>
      </c>
      <c r="KD15">
        <v>0</v>
      </c>
      <c r="KE15">
        <v>0</v>
      </c>
      <c r="KF15">
        <v>3.4860683474219299E-3</v>
      </c>
      <c r="KG15">
        <v>2.1718632099085401E-2</v>
      </c>
      <c r="KH15">
        <v>4.0660272708954302E-2</v>
      </c>
      <c r="KI15">
        <v>0</v>
      </c>
      <c r="KJ15">
        <v>0</v>
      </c>
      <c r="KK15">
        <v>0</v>
      </c>
      <c r="KL15">
        <v>0</v>
      </c>
      <c r="KM15">
        <v>0</v>
      </c>
      <c r="KN15">
        <v>0</v>
      </c>
      <c r="KO15">
        <v>0</v>
      </c>
      <c r="KP15">
        <v>0</v>
      </c>
      <c r="KQ15">
        <v>0</v>
      </c>
      <c r="KR15">
        <v>0</v>
      </c>
      <c r="KS15">
        <v>0</v>
      </c>
      <c r="KT15">
        <v>0</v>
      </c>
      <c r="KU15">
        <v>0.34999999999999898</v>
      </c>
      <c r="KV15">
        <v>-0.11866926928954601</v>
      </c>
      <c r="KW15">
        <v>1.8799138837643501E-3</v>
      </c>
      <c r="KX15">
        <v>31524.068393721402</v>
      </c>
      <c r="KY15">
        <v>0</v>
      </c>
      <c r="KZ15">
        <v>0.21010810264595101</v>
      </c>
      <c r="LA15">
        <v>1.73602675993533E-5</v>
      </c>
      <c r="LB15">
        <v>0</v>
      </c>
      <c r="LC15">
        <v>-12.167683290531301</v>
      </c>
      <c r="LD15">
        <v>1.5698907720687601E-2</v>
      </c>
      <c r="LE15">
        <v>3.3951959629128299E-3</v>
      </c>
      <c r="LF15">
        <v>1.5698907720687601E-2</v>
      </c>
      <c r="LG15">
        <v>0.93771619351690905</v>
      </c>
      <c r="LH15">
        <v>1.2235411289964799</v>
      </c>
      <c r="LI15">
        <v>0</v>
      </c>
      <c r="LJ15">
        <v>0</v>
      </c>
      <c r="LK15">
        <v>0.23964814222474801</v>
      </c>
      <c r="LL15">
        <v>0</v>
      </c>
      <c r="LM15">
        <v>0</v>
      </c>
      <c r="LN15">
        <v>0</v>
      </c>
      <c r="LO15">
        <v>0</v>
      </c>
      <c r="LP15">
        <v>0</v>
      </c>
      <c r="LQ15">
        <v>0</v>
      </c>
      <c r="LR15">
        <v>0</v>
      </c>
      <c r="LS15">
        <v>0</v>
      </c>
      <c r="LT15">
        <v>-999</v>
      </c>
      <c r="LU15">
        <v>0.42554356242653402</v>
      </c>
      <c r="LV15">
        <v>14</v>
      </c>
      <c r="LW15">
        <v>51.479999999999897</v>
      </c>
      <c r="LX15">
        <v>0.48099999999999898</v>
      </c>
      <c r="LY15">
        <v>0</v>
      </c>
      <c r="LZ15">
        <v>-999</v>
      </c>
      <c r="MA15">
        <v>0</v>
      </c>
      <c r="MB15">
        <v>0</v>
      </c>
      <c r="MC15">
        <v>451.48</v>
      </c>
      <c r="MD15">
        <v>-23.6999999999999</v>
      </c>
      <c r="ME15">
        <v>-33.6</v>
      </c>
      <c r="MF15">
        <v>0</v>
      </c>
      <c r="MG15">
        <v>8.0706896550000007</v>
      </c>
      <c r="MH15">
        <v>0</v>
      </c>
      <c r="MI15">
        <v>0</v>
      </c>
      <c r="MJ15">
        <v>0</v>
      </c>
      <c r="MK15">
        <v>0</v>
      </c>
      <c r="ML15">
        <v>0</v>
      </c>
      <c r="MM15">
        <v>0</v>
      </c>
      <c r="MN15">
        <v>0</v>
      </c>
      <c r="MO15">
        <v>0</v>
      </c>
      <c r="MP15">
        <v>0</v>
      </c>
      <c r="MQ15">
        <v>0</v>
      </c>
      <c r="MR15">
        <v>0</v>
      </c>
      <c r="MS15">
        <v>0</v>
      </c>
      <c r="MT15">
        <v>0</v>
      </c>
      <c r="MU15">
        <v>0</v>
      </c>
      <c r="MV15">
        <v>0</v>
      </c>
    </row>
    <row r="16" spans="1:360" x14ac:dyDescent="0.25">
      <c r="A16">
        <v>5475</v>
      </c>
      <c r="B16">
        <v>0</v>
      </c>
      <c r="C16">
        <v>-33.6</v>
      </c>
      <c r="D16">
        <v>-23.6999999999999</v>
      </c>
      <c r="E16">
        <v>400</v>
      </c>
      <c r="F16">
        <v>0</v>
      </c>
      <c r="G16">
        <v>0</v>
      </c>
      <c r="H16">
        <v>0</v>
      </c>
      <c r="I16">
        <v>0</v>
      </c>
      <c r="J16">
        <v>0</v>
      </c>
      <c r="K16">
        <v>0</v>
      </c>
      <c r="L16" s="159">
        <v>6.5753399999999896E-6</v>
      </c>
      <c r="M16">
        <v>0</v>
      </c>
      <c r="N16">
        <v>0</v>
      </c>
      <c r="O16">
        <v>0</v>
      </c>
      <c r="P16">
        <v>0</v>
      </c>
      <c r="Q16">
        <v>0</v>
      </c>
      <c r="R16">
        <v>0</v>
      </c>
      <c r="S16">
        <v>0</v>
      </c>
      <c r="T16">
        <v>0</v>
      </c>
      <c r="U16">
        <v>671.30109328272601</v>
      </c>
      <c r="V16">
        <v>13.3626833530071</v>
      </c>
      <c r="W16">
        <v>1.29295715457094</v>
      </c>
      <c r="X16">
        <v>0.37899631442765502</v>
      </c>
      <c r="Y16">
        <v>0.28719252105966298</v>
      </c>
      <c r="Z16">
        <v>0.333811164512681</v>
      </c>
      <c r="AA16">
        <v>0.113076858372124</v>
      </c>
      <c r="AB16">
        <v>0.48780969559857701</v>
      </c>
      <c r="AC16">
        <v>0.39911344602929799</v>
      </c>
      <c r="AD16">
        <v>0.88398017293174003</v>
      </c>
      <c r="AE16">
        <v>4.4559294394621501E-2</v>
      </c>
      <c r="AF16">
        <v>7.1460532673637694E-2</v>
      </c>
      <c r="AG16">
        <v>0</v>
      </c>
      <c r="AH16">
        <v>3395.41928550279</v>
      </c>
      <c r="AI16">
        <v>80.558299332902294</v>
      </c>
      <c r="AJ16">
        <v>8.1223727636669896</v>
      </c>
      <c r="AK16">
        <v>393.24891664096901</v>
      </c>
      <c r="AL16">
        <v>7.3021044313971197</v>
      </c>
      <c r="AM16">
        <v>0.81914214295231702</v>
      </c>
      <c r="AN16">
        <v>8708.1334336090895</v>
      </c>
      <c r="AO16">
        <v>313.21201496448498</v>
      </c>
      <c r="AP16">
        <v>31.3212014964483</v>
      </c>
      <c r="AQ16">
        <v>2.8948498693051598E-2</v>
      </c>
      <c r="AR16">
        <v>5.8980038997346303E-3</v>
      </c>
      <c r="AS16">
        <v>2.5836274163443501E-2</v>
      </c>
      <c r="AT16">
        <v>9.48</v>
      </c>
      <c r="AU16">
        <v>5.9986251266285402</v>
      </c>
      <c r="AV16">
        <v>0</v>
      </c>
      <c r="AW16">
        <v>83.922520632453299</v>
      </c>
      <c r="AX16">
        <v>66.089136728588201</v>
      </c>
      <c r="AY16">
        <v>361.601011229611</v>
      </c>
      <c r="AZ16">
        <v>0.54833294000258603</v>
      </c>
      <c r="BA16">
        <v>0.81720308283869203</v>
      </c>
      <c r="BB16">
        <v>1.37841299958411E-2</v>
      </c>
      <c r="BC16">
        <v>1.14899024589485E-3</v>
      </c>
      <c r="BD16">
        <v>0.59063694383038201</v>
      </c>
      <c r="BE16">
        <v>9.1531731884502594E-3</v>
      </c>
      <c r="BF16">
        <v>7.5333661658982397E-4</v>
      </c>
      <c r="BG16">
        <v>766.29999847710098</v>
      </c>
      <c r="BH16">
        <v>-1626.59999865293</v>
      </c>
      <c r="BI16">
        <v>418.35023821336699</v>
      </c>
      <c r="BJ16">
        <v>208.56987084134599</v>
      </c>
      <c r="BK16">
        <v>4.2948596139497903</v>
      </c>
      <c r="BL16">
        <v>4.5656175388206899</v>
      </c>
      <c r="BM16">
        <v>190.50503510309599</v>
      </c>
      <c r="BN16">
        <v>21.4403088537114</v>
      </c>
      <c r="BO16">
        <v>211.94534395680699</v>
      </c>
      <c r="BP16">
        <v>3.4033200605759899</v>
      </c>
      <c r="BQ16">
        <v>0.28544938109718998</v>
      </c>
      <c r="BR16">
        <v>204.27501122739599</v>
      </c>
      <c r="BS16">
        <v>2.16746231803792</v>
      </c>
      <c r="BT16">
        <v>0.286793016789126</v>
      </c>
      <c r="BU16">
        <v>3.4288628144137299</v>
      </c>
      <c r="BV16">
        <v>1.6465867534949099</v>
      </c>
      <c r="BW16">
        <v>0.54832537475106302</v>
      </c>
      <c r="BX16">
        <v>1.2339506861677501</v>
      </c>
      <c r="BY16">
        <v>0</v>
      </c>
      <c r="BZ16">
        <v>3.00520230953805</v>
      </c>
      <c r="CA16">
        <v>0.39811775103793801</v>
      </c>
      <c r="CB16">
        <v>0.28766469330564298</v>
      </c>
      <c r="CC16">
        <v>0.24078896425483801</v>
      </c>
      <c r="CD16">
        <v>4.46604168423511E-2</v>
      </c>
      <c r="CE16">
        <v>21.047472037459599</v>
      </c>
      <c r="CF16">
        <v>161.64990538971901</v>
      </c>
      <c r="CG16">
        <v>42.423267045653802</v>
      </c>
      <c r="CH16">
        <v>0.39082329875751198</v>
      </c>
      <c r="CI16">
        <v>7.0175614266387001</v>
      </c>
      <c r="CJ16">
        <v>1.6877115825850599</v>
      </c>
      <c r="CK16">
        <v>9.3396059385954402</v>
      </c>
      <c r="CL16">
        <v>1.5258697003266499</v>
      </c>
      <c r="CM16">
        <v>9.29562239486144E-2</v>
      </c>
      <c r="CN16">
        <v>4.3842133109382203E-2</v>
      </c>
      <c r="CO16">
        <v>0.75143094807342803</v>
      </c>
      <c r="CP16">
        <v>0.88491102599593097</v>
      </c>
      <c r="CQ16">
        <v>0.152586970032664</v>
      </c>
      <c r="CR16">
        <v>42.625105837676401</v>
      </c>
      <c r="CS16">
        <v>1.5331293886662301</v>
      </c>
      <c r="CT16">
        <v>0.15331293886662201</v>
      </c>
      <c r="CU16">
        <v>1.4699999999999601E-2</v>
      </c>
      <c r="CV16">
        <v>1.90352486239733E-3</v>
      </c>
      <c r="CW16">
        <v>2.2213238412144398</v>
      </c>
      <c r="CX16">
        <v>2.0299999999999398E-2</v>
      </c>
      <c r="CY16">
        <v>5.5704695704506101E-3</v>
      </c>
      <c r="CZ16">
        <v>0</v>
      </c>
      <c r="DA16">
        <v>2.3999991000028501E-3</v>
      </c>
      <c r="DB16">
        <v>1.4996837897884E-3</v>
      </c>
      <c r="DC16">
        <v>1.9999999999999402E-3</v>
      </c>
      <c r="DD16">
        <v>3.9982851017485001E-3</v>
      </c>
      <c r="DE16">
        <v>1.29089440102561E-3</v>
      </c>
      <c r="DF16">
        <v>2.3999990999999999E-3</v>
      </c>
      <c r="DG16">
        <v>0</v>
      </c>
      <c r="DH16">
        <v>0</v>
      </c>
      <c r="DI16">
        <v>0.23180769399999299</v>
      </c>
      <c r="DJ16">
        <v>1.8846155199999399E-2</v>
      </c>
      <c r="DK16">
        <v>2.2057100758242898</v>
      </c>
      <c r="DL16">
        <v>0.143975853513334</v>
      </c>
      <c r="DM16">
        <v>89.183411386167506</v>
      </c>
      <c r="DN16">
        <v>206.62301913242999</v>
      </c>
      <c r="DO16">
        <v>327.66000000000003</v>
      </c>
      <c r="DP16">
        <v>31.790371677864599</v>
      </c>
      <c r="DQ16">
        <v>157.94999999999899</v>
      </c>
      <c r="DR16">
        <v>169.71</v>
      </c>
      <c r="DS16">
        <v>154.988810863753</v>
      </c>
      <c r="DT16">
        <v>0</v>
      </c>
      <c r="DU16">
        <v>0</v>
      </c>
      <c r="DV16">
        <v>0</v>
      </c>
      <c r="DW16">
        <v>0</v>
      </c>
      <c r="DX16">
        <v>0</v>
      </c>
      <c r="DY16">
        <v>0</v>
      </c>
      <c r="DZ16">
        <v>0</v>
      </c>
      <c r="EA16">
        <v>0</v>
      </c>
      <c r="EB16">
        <v>0</v>
      </c>
      <c r="EC16">
        <v>0</v>
      </c>
      <c r="ED16">
        <v>0</v>
      </c>
      <c r="EE16">
        <v>0</v>
      </c>
      <c r="EF16">
        <v>1.3277872765808301</v>
      </c>
      <c r="EG16">
        <v>0</v>
      </c>
      <c r="EH16">
        <v>0</v>
      </c>
      <c r="EI16">
        <v>0</v>
      </c>
      <c r="EJ16">
        <v>0</v>
      </c>
      <c r="EK16">
        <v>0</v>
      </c>
      <c r="EL16">
        <v>0</v>
      </c>
      <c r="EM16">
        <v>0</v>
      </c>
      <c r="EN16">
        <v>0</v>
      </c>
      <c r="EO16">
        <v>0</v>
      </c>
      <c r="EP16">
        <v>0</v>
      </c>
      <c r="EQ16">
        <v>0</v>
      </c>
      <c r="ER16">
        <v>0</v>
      </c>
      <c r="ES16">
        <v>0</v>
      </c>
      <c r="ET16">
        <v>0</v>
      </c>
      <c r="EU16">
        <v>0</v>
      </c>
      <c r="EV16">
        <v>786.67266202014196</v>
      </c>
      <c r="EW16">
        <v>-28.649999999999899</v>
      </c>
      <c r="EX16">
        <v>1413.2654595425799</v>
      </c>
      <c r="EY16">
        <v>818.33196761860802</v>
      </c>
      <c r="EZ16">
        <v>102.188335591541</v>
      </c>
      <c r="FA16">
        <v>631.97012769146602</v>
      </c>
      <c r="FB16">
        <v>679.10699462890602</v>
      </c>
      <c r="FC16">
        <v>0.44073829140631599</v>
      </c>
      <c r="FD16">
        <v>0.80377861560576302</v>
      </c>
      <c r="FE16">
        <v>0</v>
      </c>
      <c r="FF16">
        <v>1</v>
      </c>
      <c r="FG16" s="159">
        <v>5.9115591982757697E-13</v>
      </c>
      <c r="FH16">
        <v>0</v>
      </c>
      <c r="FI16">
        <v>5.4512674794765098E-5</v>
      </c>
      <c r="FJ16">
        <v>-5.8141098115754297E-3</v>
      </c>
      <c r="FK16" s="159">
        <v>6.57534000000779E-6</v>
      </c>
      <c r="FL16" s="159">
        <v>3.11104179261353E-6</v>
      </c>
      <c r="FM16" s="159">
        <v>4.1086584669152801E-6</v>
      </c>
      <c r="FN16">
        <v>0</v>
      </c>
      <c r="FO16">
        <v>0</v>
      </c>
      <c r="FP16">
        <v>0</v>
      </c>
      <c r="FQ16">
        <v>0</v>
      </c>
      <c r="FR16">
        <v>0</v>
      </c>
      <c r="FS16">
        <v>0</v>
      </c>
      <c r="FT16">
        <v>0</v>
      </c>
      <c r="FU16">
        <v>0</v>
      </c>
      <c r="FV16">
        <v>-999</v>
      </c>
      <c r="FW16">
        <v>0.46690088835955201</v>
      </c>
      <c r="FX16">
        <v>3.1501338733962801E-3</v>
      </c>
      <c r="FY16">
        <v>1.1505095073946401</v>
      </c>
      <c r="FZ16">
        <v>9.7466358384413901E-4</v>
      </c>
      <c r="GA16">
        <v>43.584176138052499</v>
      </c>
      <c r="GB16">
        <v>1.0757969367460599E-2</v>
      </c>
      <c r="GC16">
        <v>2.9075592885028801E-3</v>
      </c>
      <c r="GD16">
        <v>0</v>
      </c>
      <c r="GE16">
        <v>7.03235674574331E-3</v>
      </c>
      <c r="GF16">
        <v>0.50046339557087804</v>
      </c>
      <c r="GG16">
        <v>5.5964648969923799E-4</v>
      </c>
      <c r="GH16">
        <v>9.4551828623421694E-3</v>
      </c>
      <c r="GI16">
        <v>1.86617770907214E-2</v>
      </c>
      <c r="GJ16">
        <v>9.1487211113857204E-4</v>
      </c>
      <c r="GK16">
        <v>1.7815934767895899E-3</v>
      </c>
      <c r="GL16">
        <v>0.37943352401415997</v>
      </c>
      <c r="GM16">
        <v>6.3147162446624897E-3</v>
      </c>
      <c r="GN16">
        <v>5.2322767674272005E-4</v>
      </c>
      <c r="GO16">
        <v>0</v>
      </c>
      <c r="GP16">
        <v>0</v>
      </c>
      <c r="GQ16">
        <v>0</v>
      </c>
      <c r="GR16">
        <v>5.9237570172844603E-2</v>
      </c>
      <c r="GS16">
        <v>1.09996214956962E-3</v>
      </c>
      <c r="GT16">
        <v>1.2339255906704399E-4</v>
      </c>
      <c r="GU16">
        <v>3.7102862633723102E-2</v>
      </c>
      <c r="GV16">
        <v>6.8895034719849697E-4</v>
      </c>
      <c r="GW16">
        <v>7.7285701552742904E-5</v>
      </c>
      <c r="GX16">
        <v>0.115771686479012</v>
      </c>
      <c r="GY16">
        <v>0.126541157870594</v>
      </c>
      <c r="GZ16">
        <v>59.162524773596097</v>
      </c>
      <c r="HA16">
        <v>678.40607190038702</v>
      </c>
      <c r="HB16">
        <v>0</v>
      </c>
      <c r="HC16">
        <v>0.99981314317997805</v>
      </c>
      <c r="HD16">
        <v>0.40102012223014799</v>
      </c>
      <c r="HE16">
        <v>1.0416788613260199E-2</v>
      </c>
      <c r="HF16">
        <v>9.0234663715683895E-4</v>
      </c>
      <c r="HG16">
        <v>1.21495941298522E-2</v>
      </c>
      <c r="HH16" s="159">
        <v>4.7618748189335501E-7</v>
      </c>
      <c r="HI16" s="159">
        <v>3.33332546610019E-7</v>
      </c>
      <c r="HJ16">
        <v>0</v>
      </c>
      <c r="HK16">
        <v>0</v>
      </c>
      <c r="HL16">
        <v>0</v>
      </c>
      <c r="HM16">
        <v>0</v>
      </c>
      <c r="HN16">
        <v>0</v>
      </c>
      <c r="HO16">
        <v>1.07400453586567E-2</v>
      </c>
      <c r="HP16">
        <v>0.52756128010074199</v>
      </c>
      <c r="HQ16">
        <v>1.0416788613260199E-2</v>
      </c>
      <c r="HR16">
        <v>9.0234663715683895E-4</v>
      </c>
      <c r="HS16">
        <v>0.73280750161629504</v>
      </c>
      <c r="HT16">
        <v>-999</v>
      </c>
      <c r="HU16">
        <v>1</v>
      </c>
      <c r="HV16">
        <v>0.77226621065596901</v>
      </c>
      <c r="HW16">
        <v>0.22773378934402999</v>
      </c>
      <c r="HX16">
        <v>12496.801635752799</v>
      </c>
      <c r="HY16">
        <v>401.07241872878399</v>
      </c>
      <c r="HZ16">
        <v>40.2627164030676</v>
      </c>
      <c r="IA16">
        <v>-0.126541157870594</v>
      </c>
      <c r="IB16">
        <v>0</v>
      </c>
      <c r="IC16">
        <v>0</v>
      </c>
      <c r="ID16">
        <v>0</v>
      </c>
      <c r="IE16">
        <v>0</v>
      </c>
      <c r="IF16">
        <v>0</v>
      </c>
      <c r="IG16">
        <v>0</v>
      </c>
      <c r="IH16">
        <v>0</v>
      </c>
      <c r="II16">
        <v>46.337800049999601</v>
      </c>
      <c r="IJ16">
        <v>463.37800049999902</v>
      </c>
      <c r="IK16">
        <v>9.9185701110229302E-3</v>
      </c>
      <c r="IL16">
        <v>2.1415383289057699E-3</v>
      </c>
      <c r="IM16">
        <v>1.2060108439928699E-2</v>
      </c>
      <c r="IN16">
        <v>1.13099602784063E-3</v>
      </c>
      <c r="IO16">
        <v>0.42077182421896397</v>
      </c>
      <c r="IP16">
        <v>1.80133238640083E-2</v>
      </c>
      <c r="IQ16">
        <v>1.84978091703265E-3</v>
      </c>
      <c r="IR16">
        <v>0.30075211554089198</v>
      </c>
      <c r="IS16">
        <v>0.252682300863457</v>
      </c>
      <c r="IT16">
        <v>0.246064173235055</v>
      </c>
      <c r="IU16">
        <v>0.29422380792510999</v>
      </c>
      <c r="IV16">
        <v>1.3461675743852E-2</v>
      </c>
      <c r="IW16">
        <v>1.39461610501702E-3</v>
      </c>
      <c r="IX16">
        <v>7.5230816084605995E-2</v>
      </c>
      <c r="IY16">
        <v>2.7058836055887398E-3</v>
      </c>
      <c r="IZ16">
        <v>2.7058836055887198E-4</v>
      </c>
      <c r="JA16">
        <v>7.5136135744009402E-2</v>
      </c>
      <c r="JB16">
        <v>2.7024781662392098E-3</v>
      </c>
      <c r="JC16">
        <v>2.7024781662391898E-4</v>
      </c>
      <c r="JD16">
        <v>1.6585735586447401E-4</v>
      </c>
      <c r="JE16">
        <v>3.11384895432992E-3</v>
      </c>
      <c r="JF16" s="159">
        <v>1.4907779871675599E-18</v>
      </c>
      <c r="JG16">
        <v>0</v>
      </c>
      <c r="JH16">
        <v>4.1040454701625796E-3</v>
      </c>
      <c r="JI16">
        <v>5.3386789380031299E-4</v>
      </c>
      <c r="JJ16">
        <v>-0.49590110153971401</v>
      </c>
      <c r="JK16">
        <v>1.6585735586447401E-4</v>
      </c>
      <c r="JL16" s="159">
        <v>6.5753399999999896E-6</v>
      </c>
      <c r="JM16">
        <v>-0.49590110153971401</v>
      </c>
      <c r="JN16">
        <v>0</v>
      </c>
      <c r="JO16">
        <v>2.3209572321254202</v>
      </c>
      <c r="JP16">
        <v>-4.6474687975699997E-3</v>
      </c>
      <c r="JQ16">
        <v>4.0171399825145301E-4</v>
      </c>
      <c r="JR16">
        <v>6.3197803537306599E-2</v>
      </c>
      <c r="JS16">
        <v>1497.4389638735599</v>
      </c>
      <c r="JT16">
        <v>5.0979790757853097E-2</v>
      </c>
      <c r="JU16">
        <v>0</v>
      </c>
      <c r="JV16">
        <v>365</v>
      </c>
      <c r="JW16">
        <v>0</v>
      </c>
      <c r="JX16">
        <v>-0.40268092994350901</v>
      </c>
      <c r="JY16">
        <v>0</v>
      </c>
      <c r="JZ16">
        <v>1.30327556439121</v>
      </c>
      <c r="KA16">
        <v>1.3957486604807099</v>
      </c>
      <c r="KB16">
        <v>1.41012859814284</v>
      </c>
      <c r="KC16">
        <v>0</v>
      </c>
      <c r="KD16">
        <v>0</v>
      </c>
      <c r="KE16">
        <v>0</v>
      </c>
      <c r="KF16">
        <v>3.4892725680039402E-3</v>
      </c>
      <c r="KG16">
        <v>2.1748880798070601E-2</v>
      </c>
      <c r="KH16">
        <v>4.0560898916401002E-2</v>
      </c>
      <c r="KI16">
        <v>0</v>
      </c>
      <c r="KJ16">
        <v>0</v>
      </c>
      <c r="KK16">
        <v>0</v>
      </c>
      <c r="KL16">
        <v>0</v>
      </c>
      <c r="KM16">
        <v>0</v>
      </c>
      <c r="KN16">
        <v>0</v>
      </c>
      <c r="KO16">
        <v>0</v>
      </c>
      <c r="KP16">
        <v>0</v>
      </c>
      <c r="KQ16">
        <v>0</v>
      </c>
      <c r="KR16">
        <v>0</v>
      </c>
      <c r="KS16">
        <v>0</v>
      </c>
      <c r="KT16">
        <v>0</v>
      </c>
      <c r="KU16">
        <v>0.34999999999999898</v>
      </c>
      <c r="KV16">
        <v>-0.118524224342665</v>
      </c>
      <c r="KW16">
        <v>1.87769828024915E-3</v>
      </c>
      <c r="KX16">
        <v>31598.506384573298</v>
      </c>
      <c r="KY16">
        <v>0</v>
      </c>
      <c r="KZ16">
        <v>0.210120914106663</v>
      </c>
      <c r="LA16">
        <v>1.73602675993533E-5</v>
      </c>
      <c r="LB16">
        <v>0</v>
      </c>
      <c r="LC16">
        <v>-12.1666220897693</v>
      </c>
      <c r="LD16">
        <v>1.5699538319103999E-2</v>
      </c>
      <c r="LE16">
        <v>3.39579086707926E-3</v>
      </c>
      <c r="LF16">
        <v>1.5699538319103999E-2</v>
      </c>
      <c r="LG16">
        <v>0.93818708548574703</v>
      </c>
      <c r="LH16">
        <v>1.2240762335065301</v>
      </c>
      <c r="LI16">
        <v>0</v>
      </c>
      <c r="LJ16">
        <v>0</v>
      </c>
      <c r="LK16">
        <v>0.239778630378438</v>
      </c>
      <c r="LL16">
        <v>0</v>
      </c>
      <c r="LM16">
        <v>0</v>
      </c>
      <c r="LN16">
        <v>0</v>
      </c>
      <c r="LO16">
        <v>0</v>
      </c>
      <c r="LP16">
        <v>0</v>
      </c>
      <c r="LQ16">
        <v>0</v>
      </c>
      <c r="LR16">
        <v>0</v>
      </c>
      <c r="LS16">
        <v>0</v>
      </c>
      <c r="LT16">
        <v>-999</v>
      </c>
      <c r="LU16">
        <v>0.425549129991669</v>
      </c>
      <c r="LV16">
        <v>15</v>
      </c>
      <c r="LW16">
        <v>55.439999999999898</v>
      </c>
      <c r="LX16">
        <v>0.51800000000000002</v>
      </c>
      <c r="LY16">
        <v>0</v>
      </c>
      <c r="LZ16">
        <v>-999</v>
      </c>
      <c r="MA16">
        <v>0</v>
      </c>
      <c r="MB16">
        <v>0</v>
      </c>
      <c r="MC16">
        <v>455.44</v>
      </c>
      <c r="MD16">
        <v>-23.6999999999999</v>
      </c>
      <c r="ME16">
        <v>-33.6</v>
      </c>
      <c r="MF16">
        <v>0</v>
      </c>
      <c r="MG16">
        <v>8.0706896550000007</v>
      </c>
      <c r="MH16">
        <v>0</v>
      </c>
      <c r="MI16">
        <v>0</v>
      </c>
      <c r="MJ16">
        <v>0</v>
      </c>
      <c r="MK16">
        <v>0</v>
      </c>
      <c r="ML16">
        <v>0</v>
      </c>
      <c r="MM16">
        <v>0</v>
      </c>
      <c r="MN16">
        <v>0</v>
      </c>
      <c r="MO16">
        <v>0</v>
      </c>
      <c r="MP16">
        <v>0</v>
      </c>
      <c r="MQ16">
        <v>0</v>
      </c>
      <c r="MR16">
        <v>0</v>
      </c>
      <c r="MS16">
        <v>0</v>
      </c>
      <c r="MT16">
        <v>0</v>
      </c>
      <c r="MU16">
        <v>0</v>
      </c>
      <c r="MV16">
        <v>0</v>
      </c>
    </row>
    <row r="17" spans="1:360" x14ac:dyDescent="0.25">
      <c r="A17">
        <v>5840</v>
      </c>
      <c r="B17">
        <v>0</v>
      </c>
      <c r="C17">
        <v>-33.6</v>
      </c>
      <c r="D17">
        <v>-23.6999999999999</v>
      </c>
      <c r="E17">
        <v>400</v>
      </c>
      <c r="F17">
        <v>0</v>
      </c>
      <c r="G17">
        <v>0</v>
      </c>
      <c r="H17">
        <v>0</v>
      </c>
      <c r="I17">
        <v>0</v>
      </c>
      <c r="J17">
        <v>0</v>
      </c>
      <c r="K17">
        <v>0</v>
      </c>
      <c r="L17" s="159">
        <v>6.5753399999999896E-6</v>
      </c>
      <c r="M17">
        <v>0</v>
      </c>
      <c r="N17">
        <v>0</v>
      </c>
      <c r="O17">
        <v>0</v>
      </c>
      <c r="P17">
        <v>0</v>
      </c>
      <c r="Q17">
        <v>0</v>
      </c>
      <c r="R17">
        <v>0</v>
      </c>
      <c r="S17">
        <v>0</v>
      </c>
      <c r="T17">
        <v>0</v>
      </c>
      <c r="U17">
        <v>672.41441126703103</v>
      </c>
      <c r="V17">
        <v>13.3863494923503</v>
      </c>
      <c r="W17">
        <v>1.29510462815012</v>
      </c>
      <c r="X17">
        <v>0.376860143590938</v>
      </c>
      <c r="Y17">
        <v>0.28663683893903003</v>
      </c>
      <c r="Z17">
        <v>0.33650301747003097</v>
      </c>
      <c r="AA17">
        <v>0.113041320980119</v>
      </c>
      <c r="AB17">
        <v>0.48835483052360701</v>
      </c>
      <c r="AC17">
        <v>0.39860384849627201</v>
      </c>
      <c r="AD17">
        <v>0.88403983995376301</v>
      </c>
      <c r="AE17">
        <v>4.4452331880595497E-2</v>
      </c>
      <c r="AF17">
        <v>7.1507828165640705E-2</v>
      </c>
      <c r="AG17">
        <v>0</v>
      </c>
      <c r="AH17">
        <v>3396.3011338607998</v>
      </c>
      <c r="AI17">
        <v>80.529872410559705</v>
      </c>
      <c r="AJ17">
        <v>8.1210529851439794</v>
      </c>
      <c r="AK17">
        <v>393.64164552503001</v>
      </c>
      <c r="AL17">
        <v>7.3093968795216702</v>
      </c>
      <c r="AM17">
        <v>0.81996020186125695</v>
      </c>
      <c r="AN17">
        <v>8707.9225820223692</v>
      </c>
      <c r="AO17">
        <v>313.20443110614798</v>
      </c>
      <c r="AP17">
        <v>31.320443110614601</v>
      </c>
      <c r="AQ17">
        <v>2.8999579664623298E-2</v>
      </c>
      <c r="AR17">
        <v>5.9119535895746601E-3</v>
      </c>
      <c r="AS17">
        <v>2.5596365917741701E-2</v>
      </c>
      <c r="AT17">
        <v>9.48</v>
      </c>
      <c r="AU17">
        <v>5.9984036443154096</v>
      </c>
      <c r="AV17">
        <v>0</v>
      </c>
      <c r="AW17">
        <v>83.967088187875106</v>
      </c>
      <c r="AX17">
        <v>66.106099701911603</v>
      </c>
      <c r="AY17">
        <v>361.59632390067299</v>
      </c>
      <c r="AZ17">
        <v>0.54833294000258603</v>
      </c>
      <c r="BA17">
        <v>0.818107197415607</v>
      </c>
      <c r="BB17">
        <v>1.37941917414891E-2</v>
      </c>
      <c r="BC17">
        <v>1.14992017311012E-3</v>
      </c>
      <c r="BD17">
        <v>0.59081366316114903</v>
      </c>
      <c r="BE17">
        <v>9.1548689404168798E-3</v>
      </c>
      <c r="BF17">
        <v>7.5326879353779502E-4</v>
      </c>
      <c r="BG17">
        <v>766.29999847710098</v>
      </c>
      <c r="BH17">
        <v>-1626.59999865293</v>
      </c>
      <c r="BI17">
        <v>418.64613365311101</v>
      </c>
      <c r="BJ17">
        <v>208.59149023761501</v>
      </c>
      <c r="BK17">
        <v>4.1589798364328496</v>
      </c>
      <c r="BL17">
        <v>4.5652970658791601</v>
      </c>
      <c r="BM17">
        <v>190.58046873681801</v>
      </c>
      <c r="BN17">
        <v>21.463000582372601</v>
      </c>
      <c r="BO17">
        <v>212.04346931919</v>
      </c>
      <c r="BP17">
        <v>3.4069432698392199</v>
      </c>
      <c r="BQ17">
        <v>0.28575336041749899</v>
      </c>
      <c r="BR17">
        <v>204.43251040118301</v>
      </c>
      <c r="BS17">
        <v>2.16930933934725</v>
      </c>
      <c r="BT17">
        <v>0.28701346586510001</v>
      </c>
      <c r="BU17">
        <v>3.43060940918242</v>
      </c>
      <c r="BV17">
        <v>1.64911828567465</v>
      </c>
      <c r="BW17">
        <v>0.54762705164853898</v>
      </c>
      <c r="BX17">
        <v>1.23386407185923</v>
      </c>
      <c r="BY17">
        <v>0</v>
      </c>
      <c r="BZ17">
        <v>3.0084041638644901</v>
      </c>
      <c r="CA17">
        <v>0.39853910597472703</v>
      </c>
      <c r="CB17">
        <v>0.28790083399668398</v>
      </c>
      <c r="CC17">
        <v>0.24104567643604999</v>
      </c>
      <c r="CD17">
        <v>4.4707683981448802E-2</v>
      </c>
      <c r="CE17">
        <v>21.070271698311998</v>
      </c>
      <c r="CF17">
        <v>161.80488656443299</v>
      </c>
      <c r="CG17">
        <v>42.416772250056702</v>
      </c>
      <c r="CH17">
        <v>0.39124665785018498</v>
      </c>
      <c r="CI17">
        <v>7.0294088186500199</v>
      </c>
      <c r="CJ17">
        <v>1.6900773490401999</v>
      </c>
      <c r="CK17">
        <v>9.3555755515960204</v>
      </c>
      <c r="CL17">
        <v>1.5256360971060301</v>
      </c>
      <c r="CM17">
        <v>9.3165907579339E-2</v>
      </c>
      <c r="CN17">
        <v>4.3889625072509902E-2</v>
      </c>
      <c r="CO17">
        <v>0.74479107320927196</v>
      </c>
      <c r="CP17">
        <v>0.87848254353022803</v>
      </c>
      <c r="CQ17">
        <v>0.15256360971060201</v>
      </c>
      <c r="CR17">
        <v>42.6276238367494</v>
      </c>
      <c r="CS17">
        <v>1.5332199554414501</v>
      </c>
      <c r="CT17">
        <v>0.153321995544144</v>
      </c>
      <c r="CU17">
        <v>1.4700000000001099E-2</v>
      </c>
      <c r="CV17">
        <v>1.9107340540239E-3</v>
      </c>
      <c r="CW17">
        <v>2.2230065876872098</v>
      </c>
      <c r="CX17">
        <v>2.0300000000001501E-2</v>
      </c>
      <c r="CY17">
        <v>5.5882373086319596E-3</v>
      </c>
      <c r="CZ17">
        <v>0</v>
      </c>
      <c r="DA17">
        <v>2.39999910000288E-3</v>
      </c>
      <c r="DB17">
        <v>1.4996300524631201E-3</v>
      </c>
      <c r="DC17">
        <v>2.0000000000001501E-3</v>
      </c>
      <c r="DD17">
        <v>3.9740215272360399E-3</v>
      </c>
      <c r="DE17">
        <v>1.2781477393488201E-3</v>
      </c>
      <c r="DF17">
        <v>2.3999991000000298E-3</v>
      </c>
      <c r="DG17">
        <v>0</v>
      </c>
      <c r="DH17">
        <v>0</v>
      </c>
      <c r="DI17">
        <v>0.23180769400001799</v>
      </c>
      <c r="DJ17">
        <v>1.8846155200001401E-2</v>
      </c>
      <c r="DK17">
        <v>2.21374389075249</v>
      </c>
      <c r="DL17">
        <v>0.14450025396556701</v>
      </c>
      <c r="DM17">
        <v>88.497060916326404</v>
      </c>
      <c r="DN17">
        <v>207.38750502510001</v>
      </c>
      <c r="DO17">
        <v>327.66000000000003</v>
      </c>
      <c r="DP17">
        <v>31.713907561792599</v>
      </c>
      <c r="DQ17">
        <v>157.94999999999899</v>
      </c>
      <c r="DR17">
        <v>169.71</v>
      </c>
      <c r="DS17">
        <v>155.03749697374201</v>
      </c>
      <c r="DT17">
        <v>0</v>
      </c>
      <c r="DU17">
        <v>0</v>
      </c>
      <c r="DV17">
        <v>0</v>
      </c>
      <c r="DW17">
        <v>0</v>
      </c>
      <c r="DX17">
        <v>0</v>
      </c>
      <c r="DY17">
        <v>0</v>
      </c>
      <c r="DZ17">
        <v>0</v>
      </c>
      <c r="EA17">
        <v>0</v>
      </c>
      <c r="EB17">
        <v>0</v>
      </c>
      <c r="EC17">
        <v>0</v>
      </c>
      <c r="ED17">
        <v>0</v>
      </c>
      <c r="EE17">
        <v>0</v>
      </c>
      <c r="EF17">
        <v>1.3252105567096999</v>
      </c>
      <c r="EG17">
        <v>0</v>
      </c>
      <c r="EH17">
        <v>0</v>
      </c>
      <c r="EI17">
        <v>0</v>
      </c>
      <c r="EJ17">
        <v>0</v>
      </c>
      <c r="EK17">
        <v>0</v>
      </c>
      <c r="EL17">
        <v>0</v>
      </c>
      <c r="EM17">
        <v>0</v>
      </c>
      <c r="EN17">
        <v>0</v>
      </c>
      <c r="EO17">
        <v>0</v>
      </c>
      <c r="EP17">
        <v>0</v>
      </c>
      <c r="EQ17">
        <v>0</v>
      </c>
      <c r="ER17">
        <v>0</v>
      </c>
      <c r="ES17">
        <v>0</v>
      </c>
      <c r="ET17">
        <v>0</v>
      </c>
      <c r="EU17">
        <v>0</v>
      </c>
      <c r="EV17">
        <v>787.80248867206001</v>
      </c>
      <c r="EW17">
        <v>-28.649999999999899</v>
      </c>
      <c r="EX17">
        <v>1415.6092868779599</v>
      </c>
      <c r="EY17">
        <v>819.00094378563699</v>
      </c>
      <c r="EZ17">
        <v>101.78167463451101</v>
      </c>
      <c r="FA17">
        <v>633.38073531515602</v>
      </c>
      <c r="FB17">
        <v>680.44689941406205</v>
      </c>
      <c r="FC17">
        <v>0.43898436269864899</v>
      </c>
      <c r="FD17">
        <v>0.80057995913318403</v>
      </c>
      <c r="FE17">
        <v>0</v>
      </c>
      <c r="FF17">
        <v>1</v>
      </c>
      <c r="FG17" s="159">
        <v>5.9123205066077995E-13</v>
      </c>
      <c r="FH17">
        <v>0</v>
      </c>
      <c r="FI17">
        <v>5.4512674794765098E-5</v>
      </c>
      <c r="FJ17">
        <v>-5.7878556051468499E-3</v>
      </c>
      <c r="FK17" s="159">
        <v>6.57534000000779E-6</v>
      </c>
      <c r="FL17" s="159">
        <v>3.08198015339211E-6</v>
      </c>
      <c r="FM17" s="159">
        <v>4.10850676629024E-6</v>
      </c>
      <c r="FN17">
        <v>0</v>
      </c>
      <c r="FO17">
        <v>0</v>
      </c>
      <c r="FP17">
        <v>0</v>
      </c>
      <c r="FQ17">
        <v>0</v>
      </c>
      <c r="FR17">
        <v>0</v>
      </c>
      <c r="FS17">
        <v>0</v>
      </c>
      <c r="FT17">
        <v>0</v>
      </c>
      <c r="FU17">
        <v>0</v>
      </c>
      <c r="FV17">
        <v>-999</v>
      </c>
      <c r="FW17">
        <v>0.467720528024336</v>
      </c>
      <c r="FX17">
        <v>3.1528323758665999E-3</v>
      </c>
      <c r="FY17">
        <v>1.1530979340763401</v>
      </c>
      <c r="FZ17">
        <v>9.7350292106342096E-4</v>
      </c>
      <c r="GA17">
        <v>43.534364612927</v>
      </c>
      <c r="GB17">
        <v>1.07422412116993E-2</v>
      </c>
      <c r="GC17">
        <v>2.9033084355944202E-3</v>
      </c>
      <c r="GD17">
        <v>0</v>
      </c>
      <c r="GE17">
        <v>7.0296437325244399E-3</v>
      </c>
      <c r="GF17">
        <v>0.49578834212731998</v>
      </c>
      <c r="GG17">
        <v>5.5945377974080395E-4</v>
      </c>
      <c r="GH17">
        <v>9.4562458839706504E-3</v>
      </c>
      <c r="GI17">
        <v>1.86552296107543E-2</v>
      </c>
      <c r="GJ17">
        <v>9.1487435138716902E-4</v>
      </c>
      <c r="GK17">
        <v>1.7810170194237399E-3</v>
      </c>
      <c r="GL17">
        <v>0.380117187078165</v>
      </c>
      <c r="GM17">
        <v>6.3290462608685096E-3</v>
      </c>
      <c r="GN17">
        <v>5.2436091598416501E-4</v>
      </c>
      <c r="GO17">
        <v>0</v>
      </c>
      <c r="GP17">
        <v>0</v>
      </c>
      <c r="GQ17">
        <v>0</v>
      </c>
      <c r="GR17">
        <v>5.9295980402435298E-2</v>
      </c>
      <c r="GS17">
        <v>1.10104674911531E-3</v>
      </c>
      <c r="GT17">
        <v>1.2351422826589701E-4</v>
      </c>
      <c r="GU17">
        <v>3.7140373898627302E-2</v>
      </c>
      <c r="GV17">
        <v>6.89646881027563E-4</v>
      </c>
      <c r="GW17">
        <v>7.7363837961053801E-5</v>
      </c>
      <c r="GX17">
        <v>0.116042524355884</v>
      </c>
      <c r="GY17">
        <v>0.126796805796901</v>
      </c>
      <c r="GZ17">
        <v>59.1396590715838</v>
      </c>
      <c r="HA17">
        <v>678.23742179403496</v>
      </c>
      <c r="HB17">
        <v>0</v>
      </c>
      <c r="HC17">
        <v>0.99981313552398499</v>
      </c>
      <c r="HD17">
        <v>0.40177778630348698</v>
      </c>
      <c r="HE17">
        <v>1.04360264587948E-2</v>
      </c>
      <c r="HF17">
        <v>9.0395045398974601E-4</v>
      </c>
      <c r="HG17">
        <v>1.2183864648959101E-2</v>
      </c>
      <c r="HH17" s="159">
        <v>4.7618749142194002E-7</v>
      </c>
      <c r="HI17" s="159">
        <v>3.3333254647113201E-7</v>
      </c>
      <c r="HJ17">
        <v>0</v>
      </c>
      <c r="HK17">
        <v>0</v>
      </c>
      <c r="HL17">
        <v>0</v>
      </c>
      <c r="HM17">
        <v>0</v>
      </c>
      <c r="HN17">
        <v>0</v>
      </c>
      <c r="HO17">
        <v>1.0771066757814999E-2</v>
      </c>
      <c r="HP17">
        <v>0.52857459210038804</v>
      </c>
      <c r="HQ17">
        <v>1.04360264587948E-2</v>
      </c>
      <c r="HR17">
        <v>9.0395045398974601E-4</v>
      </c>
      <c r="HS17">
        <v>0.73222856222763</v>
      </c>
      <c r="HT17">
        <v>-999</v>
      </c>
      <c r="HU17">
        <v>1</v>
      </c>
      <c r="HV17">
        <v>0.77335775998926704</v>
      </c>
      <c r="HW17">
        <v>0.22664224001073199</v>
      </c>
      <c r="HX17">
        <v>12497.8653614082</v>
      </c>
      <c r="HY17">
        <v>401.04370039623001</v>
      </c>
      <c r="HZ17">
        <v>40.261456297619901</v>
      </c>
      <c r="IA17">
        <v>-0.126796805796901</v>
      </c>
      <c r="IB17">
        <v>0</v>
      </c>
      <c r="IC17">
        <v>0</v>
      </c>
      <c r="ID17">
        <v>0</v>
      </c>
      <c r="IE17">
        <v>0</v>
      </c>
      <c r="IF17">
        <v>0</v>
      </c>
      <c r="IG17">
        <v>0</v>
      </c>
      <c r="IH17">
        <v>0</v>
      </c>
      <c r="II17">
        <v>46.337800049999601</v>
      </c>
      <c r="IJ17">
        <v>463.37800049999902</v>
      </c>
      <c r="IK17">
        <v>9.9446140055715598E-3</v>
      </c>
      <c r="IL17">
        <v>2.1481472263829302E-3</v>
      </c>
      <c r="IM17">
        <v>1.2092761231954401E-2</v>
      </c>
      <c r="IN17">
        <v>1.1214646868425301E-3</v>
      </c>
      <c r="IO17">
        <v>0.42088629000540401</v>
      </c>
      <c r="IP17">
        <v>1.80443495253081E-2</v>
      </c>
      <c r="IQ17">
        <v>1.84014163508413E-3</v>
      </c>
      <c r="IR17">
        <v>0.30045454160816498</v>
      </c>
      <c r="IS17">
        <v>0.25206680681842603</v>
      </c>
      <c r="IT17">
        <v>0.24717562383462999</v>
      </c>
      <c r="IU17">
        <v>0.29442909267266898</v>
      </c>
      <c r="IV17">
        <v>1.3495967959348E-2</v>
      </c>
      <c r="IW17">
        <v>1.38530347848813E-3</v>
      </c>
      <c r="IX17">
        <v>7.5212504459452795E-2</v>
      </c>
      <c r="IY17">
        <v>2.7052249775308202E-3</v>
      </c>
      <c r="IZ17">
        <v>2.7052249775308E-4</v>
      </c>
      <c r="JA17">
        <v>7.5135241918610804E-2</v>
      </c>
      <c r="JB17">
        <v>2.7024460173457302E-3</v>
      </c>
      <c r="JC17">
        <v>2.7024460173457102E-4</v>
      </c>
      <c r="JD17">
        <v>1.6620117279278701E-4</v>
      </c>
      <c r="JE17">
        <v>3.1193174231917398E-3</v>
      </c>
      <c r="JF17" s="159">
        <v>1.4230153513872199E-18</v>
      </c>
      <c r="JG17">
        <v>0</v>
      </c>
      <c r="JH17">
        <v>4.1056527447393401E-3</v>
      </c>
      <c r="JI17">
        <v>5.3408339338017704E-4</v>
      </c>
      <c r="JJ17">
        <v>-0.49636114038818102</v>
      </c>
      <c r="JK17">
        <v>1.6620117279278701E-4</v>
      </c>
      <c r="JL17" s="159">
        <v>6.5753399999999896E-6</v>
      </c>
      <c r="JM17">
        <v>-0.49636114038818102</v>
      </c>
      <c r="JN17">
        <v>0</v>
      </c>
      <c r="JO17">
        <v>2.1770436396801598</v>
      </c>
      <c r="JP17">
        <v>-4.9871625488804904E-3</v>
      </c>
      <c r="JQ17">
        <v>4.2597757276415199E-4</v>
      </c>
      <c r="JR17">
        <v>6.1526496780640302E-2</v>
      </c>
      <c r="JS17">
        <v>1499.4478207095101</v>
      </c>
      <c r="JT17">
        <v>5.07769154455458E-2</v>
      </c>
      <c r="JU17">
        <v>0</v>
      </c>
      <c r="JV17">
        <v>365</v>
      </c>
      <c r="JW17">
        <v>0</v>
      </c>
      <c r="JX17">
        <v>-0.40268092994350901</v>
      </c>
      <c r="JY17">
        <v>0</v>
      </c>
      <c r="JZ17">
        <v>1.3041284051378099</v>
      </c>
      <c r="KA17">
        <v>1.3963619065242501</v>
      </c>
      <c r="KB17">
        <v>1.4111509320178901</v>
      </c>
      <c r="KC17">
        <v>0</v>
      </c>
      <c r="KD17">
        <v>0</v>
      </c>
      <c r="KE17">
        <v>0</v>
      </c>
      <c r="KF17">
        <v>3.4923444490386401E-3</v>
      </c>
      <c r="KG17">
        <v>2.1776096686767901E-2</v>
      </c>
      <c r="KH17">
        <v>4.0475273087368098E-2</v>
      </c>
      <c r="KI17">
        <v>0</v>
      </c>
      <c r="KJ17">
        <v>0</v>
      </c>
      <c r="KK17">
        <v>0</v>
      </c>
      <c r="KL17">
        <v>0</v>
      </c>
      <c r="KM17">
        <v>0</v>
      </c>
      <c r="KN17">
        <v>0</v>
      </c>
      <c r="KO17">
        <v>0</v>
      </c>
      <c r="KP17">
        <v>0</v>
      </c>
      <c r="KQ17">
        <v>0</v>
      </c>
      <c r="KR17">
        <v>0</v>
      </c>
      <c r="KS17">
        <v>0</v>
      </c>
      <c r="KT17">
        <v>0</v>
      </c>
      <c r="KU17">
        <v>0.34999999999999898</v>
      </c>
      <c r="KV17">
        <v>-0.118387160006235</v>
      </c>
      <c r="KW17">
        <v>1.8756061958685301E-3</v>
      </c>
      <c r="KX17">
        <v>31669.036765757799</v>
      </c>
      <c r="KY17">
        <v>0</v>
      </c>
      <c r="KZ17">
        <v>0.21013256279017101</v>
      </c>
      <c r="LA17">
        <v>1.73602675993533E-5</v>
      </c>
      <c r="LB17">
        <v>0</v>
      </c>
      <c r="LC17">
        <v>-12.165591037264701</v>
      </c>
      <c r="LD17">
        <v>1.5700157863051099E-2</v>
      </c>
      <c r="LE17">
        <v>3.3963753425010801E-3</v>
      </c>
      <c r="LF17">
        <v>1.5700157863051099E-2</v>
      </c>
      <c r="LG17">
        <v>0.93864738249061497</v>
      </c>
      <c r="LH17">
        <v>1.22459929828479</v>
      </c>
      <c r="LI17">
        <v>0</v>
      </c>
      <c r="LJ17">
        <v>0</v>
      </c>
      <c r="LK17">
        <v>0.239905966251071</v>
      </c>
      <c r="LL17">
        <v>0</v>
      </c>
      <c r="LM17">
        <v>0</v>
      </c>
      <c r="LN17">
        <v>0</v>
      </c>
      <c r="LO17">
        <v>0</v>
      </c>
      <c r="LP17">
        <v>0</v>
      </c>
      <c r="LQ17">
        <v>0</v>
      </c>
      <c r="LR17">
        <v>0</v>
      </c>
      <c r="LS17">
        <v>0</v>
      </c>
      <c r="LT17">
        <v>-999</v>
      </c>
      <c r="LU17">
        <v>0.42555437164948501</v>
      </c>
      <c r="LV17">
        <v>16</v>
      </c>
      <c r="LW17">
        <v>59.399999999999899</v>
      </c>
      <c r="LX17">
        <v>0.55499999999999905</v>
      </c>
      <c r="LY17">
        <v>0</v>
      </c>
      <c r="LZ17">
        <v>-999</v>
      </c>
      <c r="MA17">
        <v>0</v>
      </c>
      <c r="MB17">
        <v>0</v>
      </c>
      <c r="MC17">
        <v>459.39999999999901</v>
      </c>
      <c r="MD17">
        <v>-23.6999999999999</v>
      </c>
      <c r="ME17">
        <v>-33.6</v>
      </c>
      <c r="MF17">
        <v>0</v>
      </c>
      <c r="MG17">
        <v>8.0706896550000007</v>
      </c>
      <c r="MH17">
        <v>0</v>
      </c>
      <c r="MI17">
        <v>0</v>
      </c>
      <c r="MJ17">
        <v>0</v>
      </c>
      <c r="MK17">
        <v>0</v>
      </c>
      <c r="ML17">
        <v>0</v>
      </c>
      <c r="MM17">
        <v>0</v>
      </c>
      <c r="MN17">
        <v>0</v>
      </c>
      <c r="MO17">
        <v>0</v>
      </c>
      <c r="MP17">
        <v>0</v>
      </c>
      <c r="MQ17">
        <v>0</v>
      </c>
      <c r="MR17">
        <v>0</v>
      </c>
      <c r="MS17">
        <v>0</v>
      </c>
      <c r="MT17">
        <v>0</v>
      </c>
      <c r="MU17">
        <v>0</v>
      </c>
      <c r="MV17">
        <v>0</v>
      </c>
    </row>
    <row r="18" spans="1:360" x14ac:dyDescent="0.25">
      <c r="A18">
        <v>6205</v>
      </c>
      <c r="B18">
        <v>0</v>
      </c>
      <c r="C18">
        <v>-33.6</v>
      </c>
      <c r="D18">
        <v>-23.6999999999999</v>
      </c>
      <c r="E18">
        <v>400</v>
      </c>
      <c r="F18">
        <v>0</v>
      </c>
      <c r="G18">
        <v>0</v>
      </c>
      <c r="H18">
        <v>0</v>
      </c>
      <c r="I18">
        <v>0</v>
      </c>
      <c r="J18">
        <v>0</v>
      </c>
      <c r="K18">
        <v>0</v>
      </c>
      <c r="L18" s="159">
        <v>6.5753399999999896E-6</v>
      </c>
      <c r="M18">
        <v>0</v>
      </c>
      <c r="N18">
        <v>0</v>
      </c>
      <c r="O18">
        <v>0</v>
      </c>
      <c r="P18">
        <v>0</v>
      </c>
      <c r="Q18">
        <v>0</v>
      </c>
      <c r="R18">
        <v>0</v>
      </c>
      <c r="S18">
        <v>0</v>
      </c>
      <c r="T18">
        <v>0</v>
      </c>
      <c r="U18">
        <v>673.48173197880601</v>
      </c>
      <c r="V18">
        <v>13.408558862745499</v>
      </c>
      <c r="W18">
        <v>1.29718835910194</v>
      </c>
      <c r="X18">
        <v>0.37479410130074398</v>
      </c>
      <c r="Y18">
        <v>0.28615001520335198</v>
      </c>
      <c r="Z18">
        <v>0.33905588349590299</v>
      </c>
      <c r="AA18">
        <v>0.11300591477260399</v>
      </c>
      <c r="AB18">
        <v>0.48892061150362298</v>
      </c>
      <c r="AC18">
        <v>0.398073473723771</v>
      </c>
      <c r="AD18">
        <v>0.88409592220556299</v>
      </c>
      <c r="AE18">
        <v>4.4351706664443803E-2</v>
      </c>
      <c r="AF18">
        <v>7.1552371129992701E-2</v>
      </c>
      <c r="AG18">
        <v>0</v>
      </c>
      <c r="AH18">
        <v>3397.1269080953198</v>
      </c>
      <c r="AI18">
        <v>80.502891887677805</v>
      </c>
      <c r="AJ18">
        <v>8.1198461472512893</v>
      </c>
      <c r="AK18">
        <v>394.03316105103198</v>
      </c>
      <c r="AL18">
        <v>7.3166667972160404</v>
      </c>
      <c r="AM18">
        <v>0.82077573333101495</v>
      </c>
      <c r="AN18">
        <v>8707.7034591048305</v>
      </c>
      <c r="AO18">
        <v>313.19654974660699</v>
      </c>
      <c r="AP18">
        <v>31.319654974660398</v>
      </c>
      <c r="AQ18">
        <v>2.9044501043403299E-2</v>
      </c>
      <c r="AR18">
        <v>5.9241893464109102E-3</v>
      </c>
      <c r="AS18">
        <v>2.53733435187086E-2</v>
      </c>
      <c r="AT18">
        <v>9.48</v>
      </c>
      <c r="AU18">
        <v>5.9981704105128397</v>
      </c>
      <c r="AV18">
        <v>0</v>
      </c>
      <c r="AW18">
        <v>84.010299950771198</v>
      </c>
      <c r="AX18">
        <v>66.122308371459695</v>
      </c>
      <c r="AY18">
        <v>361.59176416761801</v>
      </c>
      <c r="AZ18">
        <v>0.54833294000258603</v>
      </c>
      <c r="BA18">
        <v>0.81896185062202098</v>
      </c>
      <c r="BB18">
        <v>1.3803636432312499E-2</v>
      </c>
      <c r="BC18">
        <v>1.1508195826438999E-3</v>
      </c>
      <c r="BD18">
        <v>0.59101506297187301</v>
      </c>
      <c r="BE18">
        <v>9.1571207395034094E-3</v>
      </c>
      <c r="BF18">
        <v>7.5323251481347695E-4</v>
      </c>
      <c r="BG18">
        <v>766.29999847710098</v>
      </c>
      <c r="BH18">
        <v>-1626.59999865293</v>
      </c>
      <c r="BI18">
        <v>418.95556358942201</v>
      </c>
      <c r="BJ18">
        <v>208.63742601157699</v>
      </c>
      <c r="BK18">
        <v>4.0552774033488497</v>
      </c>
      <c r="BL18">
        <v>4.5656456198016997</v>
      </c>
      <c r="BM18">
        <v>190.65131539744601</v>
      </c>
      <c r="BN18">
        <v>21.484435522156101</v>
      </c>
      <c r="BO18">
        <v>212.135750919602</v>
      </c>
      <c r="BP18">
        <v>3.41027697840976</v>
      </c>
      <c r="BQ18">
        <v>0.28604930762915698</v>
      </c>
      <c r="BR18">
        <v>204.58214860822801</v>
      </c>
      <c r="BS18">
        <v>2.1711071404301698</v>
      </c>
      <c r="BT18">
        <v>0.28722875000626902</v>
      </c>
      <c r="BU18">
        <v>3.4324863488049902</v>
      </c>
      <c r="BV18">
        <v>1.65155723912165</v>
      </c>
      <c r="BW18">
        <v>0.54697083406126401</v>
      </c>
      <c r="BX18">
        <v>1.2339582756220799</v>
      </c>
      <c r="BY18">
        <v>0</v>
      </c>
      <c r="BZ18">
        <v>3.01133985438041</v>
      </c>
      <c r="CA18">
        <v>0.39893712402933901</v>
      </c>
      <c r="CB18">
        <v>0.28813303858098199</v>
      </c>
      <c r="CC18">
        <v>0.24129697441470299</v>
      </c>
      <c r="CD18">
        <v>4.4752333214454397E-2</v>
      </c>
      <c r="CE18">
        <v>21.0929199961538</v>
      </c>
      <c r="CF18">
        <v>161.952277565087</v>
      </c>
      <c r="CG18">
        <v>42.410748125595902</v>
      </c>
      <c r="CH18">
        <v>0.39166720633496499</v>
      </c>
      <c r="CI18">
        <v>7.0394264236493802</v>
      </c>
      <c r="CJ18">
        <v>1.6919424007744599</v>
      </c>
      <c r="CK18">
        <v>9.3691751824422909</v>
      </c>
      <c r="CL18">
        <v>1.5254194228697899</v>
      </c>
      <c r="CM18">
        <v>9.3363212137507007E-2</v>
      </c>
      <c r="CN18">
        <v>4.3936801744697197E-2</v>
      </c>
      <c r="CO18">
        <v>0.73862300760695798</v>
      </c>
      <c r="CP18">
        <v>0.87252167937205805</v>
      </c>
      <c r="CQ18">
        <v>0.15254194228697801</v>
      </c>
      <c r="CR18">
        <v>42.6298710431412</v>
      </c>
      <c r="CS18">
        <v>1.53330078241171</v>
      </c>
      <c r="CT18">
        <v>0.15333007824117001</v>
      </c>
      <c r="CU18">
        <v>1.46999999999995E-2</v>
      </c>
      <c r="CV18">
        <v>1.9174562281518001E-3</v>
      </c>
      <c r="CW18">
        <v>2.2242299244760599</v>
      </c>
      <c r="CX18">
        <v>2.0299999999999301E-2</v>
      </c>
      <c r="CY18">
        <v>5.6044538834955204E-3</v>
      </c>
      <c r="CZ18">
        <v>0</v>
      </c>
      <c r="DA18">
        <v>2.3999991000028501E-3</v>
      </c>
      <c r="DB18">
        <v>1.4995732592661E-3</v>
      </c>
      <c r="DC18">
        <v>1.9999999999999298E-3</v>
      </c>
      <c r="DD18">
        <v>3.9519667268949499E-3</v>
      </c>
      <c r="DE18">
        <v>1.26633945669397E-3</v>
      </c>
      <c r="DF18">
        <v>2.3999990999999999E-3</v>
      </c>
      <c r="DG18">
        <v>0</v>
      </c>
      <c r="DH18">
        <v>0</v>
      </c>
      <c r="DI18">
        <v>0.23180769399999199</v>
      </c>
      <c r="DJ18">
        <v>1.8846155199999302E-2</v>
      </c>
      <c r="DK18">
        <v>2.2215975425896799</v>
      </c>
      <c r="DL18">
        <v>0.145012894424913</v>
      </c>
      <c r="DM18">
        <v>87.824798555159603</v>
      </c>
      <c r="DN18">
        <v>208.134784662909</v>
      </c>
      <c r="DO18">
        <v>327.66000000000003</v>
      </c>
      <c r="DP18">
        <v>31.641002907171998</v>
      </c>
      <c r="DQ18">
        <v>157.94999999999899</v>
      </c>
      <c r="DR18">
        <v>169.71</v>
      </c>
      <c r="DS18">
        <v>155.084247823742</v>
      </c>
      <c r="DT18">
        <v>0</v>
      </c>
      <c r="DU18">
        <v>0</v>
      </c>
      <c r="DV18">
        <v>0</v>
      </c>
      <c r="DW18">
        <v>0</v>
      </c>
      <c r="DX18">
        <v>0</v>
      </c>
      <c r="DY18">
        <v>0</v>
      </c>
      <c r="DZ18">
        <v>0</v>
      </c>
      <c r="EA18">
        <v>0</v>
      </c>
      <c r="EB18">
        <v>0</v>
      </c>
      <c r="EC18">
        <v>0</v>
      </c>
      <c r="ED18">
        <v>0</v>
      </c>
      <c r="EE18">
        <v>0</v>
      </c>
      <c r="EF18">
        <v>1.3227657813317999</v>
      </c>
      <c r="EG18">
        <v>0</v>
      </c>
      <c r="EH18">
        <v>0</v>
      </c>
      <c r="EI18">
        <v>0</v>
      </c>
      <c r="EJ18">
        <v>0</v>
      </c>
      <c r="EK18">
        <v>0</v>
      </c>
      <c r="EL18">
        <v>0</v>
      </c>
      <c r="EM18">
        <v>0</v>
      </c>
      <c r="EN18">
        <v>0</v>
      </c>
      <c r="EO18">
        <v>0</v>
      </c>
      <c r="EP18">
        <v>0</v>
      </c>
      <c r="EQ18">
        <v>0</v>
      </c>
      <c r="ER18">
        <v>0</v>
      </c>
      <c r="ES18">
        <v>0</v>
      </c>
      <c r="ET18">
        <v>0</v>
      </c>
      <c r="EU18">
        <v>0</v>
      </c>
      <c r="EV18">
        <v>788.88301221912104</v>
      </c>
      <c r="EW18">
        <v>-28.649999999999899</v>
      </c>
      <c r="EX18">
        <v>1417.85627785011</v>
      </c>
      <c r="EY18">
        <v>819.64175155289797</v>
      </c>
      <c r="EZ18">
        <v>101.392221500681</v>
      </c>
      <c r="FA18">
        <v>634.73179246818097</v>
      </c>
      <c r="FB18">
        <v>681.73223876953102</v>
      </c>
      <c r="FC18">
        <v>0.43730465133243701</v>
      </c>
      <c r="FD18">
        <v>0.79751665353238499</v>
      </c>
      <c r="FE18">
        <v>0</v>
      </c>
      <c r="FF18">
        <v>1</v>
      </c>
      <c r="FG18" s="159">
        <v>5.9123205066077995E-13</v>
      </c>
      <c r="FH18">
        <v>0</v>
      </c>
      <c r="FI18">
        <v>5.4512674794765098E-5</v>
      </c>
      <c r="FJ18">
        <v>-5.7625264975205903E-3</v>
      </c>
      <c r="FK18" s="159">
        <v>6.57534000000779E-6</v>
      </c>
      <c r="FL18" s="159">
        <v>3.0549636656816199E-6</v>
      </c>
      <c r="FM18" s="159">
        <v>4.1083470166780401E-6</v>
      </c>
      <c r="FN18">
        <v>0</v>
      </c>
      <c r="FO18">
        <v>0</v>
      </c>
      <c r="FP18">
        <v>0</v>
      </c>
      <c r="FQ18">
        <v>0</v>
      </c>
      <c r="FR18">
        <v>0</v>
      </c>
      <c r="FS18">
        <v>0</v>
      </c>
      <c r="FT18">
        <v>0</v>
      </c>
      <c r="FU18">
        <v>0</v>
      </c>
      <c r="FV18">
        <v>-999</v>
      </c>
      <c r="FW18">
        <v>0.46844089399956501</v>
      </c>
      <c r="FX18">
        <v>3.1554497857271299E-3</v>
      </c>
      <c r="FY18">
        <v>1.15535480571808</v>
      </c>
      <c r="FZ18">
        <v>9.72387012478344E-4</v>
      </c>
      <c r="GA18">
        <v>43.486820665913399</v>
      </c>
      <c r="GB18">
        <v>1.07287628957178E-2</v>
      </c>
      <c r="GC18">
        <v>2.8996656474913102E-3</v>
      </c>
      <c r="GD18">
        <v>0</v>
      </c>
      <c r="GE18">
        <v>7.0275024456967804E-3</v>
      </c>
      <c r="GF18">
        <v>0.49144228570079002</v>
      </c>
      <c r="GG18">
        <v>5.5929490212292595E-4</v>
      </c>
      <c r="GH18">
        <v>9.4569238590788696E-3</v>
      </c>
      <c r="GI18">
        <v>1.86489784017079E-2</v>
      </c>
      <c r="GJ18">
        <v>9.1489411117808299E-4</v>
      </c>
      <c r="GK18">
        <v>1.78046697933865E-3</v>
      </c>
      <c r="GL18">
        <v>0.380772144078249</v>
      </c>
      <c r="GM18">
        <v>6.3425511513979299E-3</v>
      </c>
      <c r="GN18">
        <v>5.2545681129326401E-4</v>
      </c>
      <c r="GO18">
        <v>0</v>
      </c>
      <c r="GP18">
        <v>0</v>
      </c>
      <c r="GQ18">
        <v>0</v>
      </c>
      <c r="GR18">
        <v>5.93519579513061E-2</v>
      </c>
      <c r="GS18">
        <v>1.10208617704599E-3</v>
      </c>
      <c r="GT18">
        <v>1.23630830162047E-4</v>
      </c>
      <c r="GU18">
        <v>3.7177732511403397E-2</v>
      </c>
      <c r="GV18">
        <v>6.9034058031155197E-4</v>
      </c>
      <c r="GW18">
        <v>7.7441656393177096E-5</v>
      </c>
      <c r="GX18">
        <v>0.116297986457558</v>
      </c>
      <c r="GY18">
        <v>0.12703899612623701</v>
      </c>
      <c r="GZ18">
        <v>59.119616256920999</v>
      </c>
      <c r="HA18">
        <v>678.06575556231303</v>
      </c>
      <c r="HB18">
        <v>0</v>
      </c>
      <c r="HC18">
        <v>0.99981312832963898</v>
      </c>
      <c r="HD18">
        <v>0.40250201642205202</v>
      </c>
      <c r="HE18">
        <v>1.0454328014634201E-2</v>
      </c>
      <c r="HF18">
        <v>9.0549255943967095E-4</v>
      </c>
      <c r="HG18">
        <v>1.2214972066141101E-2</v>
      </c>
      <c r="HH18" s="159">
        <v>4.7618749993100002E-7</v>
      </c>
      <c r="HI18" s="159">
        <v>3.3333254633898201E-7</v>
      </c>
      <c r="HJ18">
        <v>0</v>
      </c>
      <c r="HK18">
        <v>0</v>
      </c>
      <c r="HL18">
        <v>0</v>
      </c>
      <c r="HM18">
        <v>0</v>
      </c>
      <c r="HN18">
        <v>0</v>
      </c>
      <c r="HO18">
        <v>1.07992519639926E-2</v>
      </c>
      <c r="HP18">
        <v>0.52954101254829</v>
      </c>
      <c r="HQ18">
        <v>1.0454328014634201E-2</v>
      </c>
      <c r="HR18">
        <v>9.0549255943967095E-4</v>
      </c>
      <c r="HS18">
        <v>0.73170891466117305</v>
      </c>
      <c r="HT18">
        <v>-999</v>
      </c>
      <c r="HU18">
        <v>1</v>
      </c>
      <c r="HV18">
        <v>0.77440148853522095</v>
      </c>
      <c r="HW18">
        <v>0.225598511464778</v>
      </c>
      <c r="HX18">
        <v>12498.8635282511</v>
      </c>
      <c r="HY18">
        <v>401.01610843150098</v>
      </c>
      <c r="HZ18">
        <v>40.2602768552428</v>
      </c>
      <c r="IA18">
        <v>-0.12703899612623701</v>
      </c>
      <c r="IB18">
        <v>0</v>
      </c>
      <c r="IC18">
        <v>0</v>
      </c>
      <c r="ID18">
        <v>0</v>
      </c>
      <c r="IE18">
        <v>0</v>
      </c>
      <c r="IF18">
        <v>0</v>
      </c>
      <c r="IG18">
        <v>0</v>
      </c>
      <c r="IH18">
        <v>0</v>
      </c>
      <c r="II18">
        <v>46.337800049999601</v>
      </c>
      <c r="IJ18">
        <v>463.37800049999902</v>
      </c>
      <c r="IK18">
        <v>9.9680839341069593E-3</v>
      </c>
      <c r="IL18">
        <v>2.15404934539989E-3</v>
      </c>
      <c r="IM18">
        <v>1.21221332795068E-2</v>
      </c>
      <c r="IN18">
        <v>1.1125883639676001E-3</v>
      </c>
      <c r="IO18">
        <v>0.420993366857497</v>
      </c>
      <c r="IP18">
        <v>1.80721728474912E-2</v>
      </c>
      <c r="IQ18">
        <v>1.83116660785602E-3</v>
      </c>
      <c r="IR18">
        <v>0.30016919492146399</v>
      </c>
      <c r="IS18">
        <v>0.25150367785649003</v>
      </c>
      <c r="IT18">
        <v>0.24821433060773601</v>
      </c>
      <c r="IU18">
        <v>0.29462412686060602</v>
      </c>
      <c r="IV18">
        <v>1.35269549094889E-2</v>
      </c>
      <c r="IW18">
        <v>1.37664481405579E-3</v>
      </c>
      <c r="IX18">
        <v>7.5195257574549298E-2</v>
      </c>
      <c r="IY18">
        <v>2.7046046457899599E-3</v>
      </c>
      <c r="IZ18">
        <v>2.7046046457899402E-4</v>
      </c>
      <c r="JA18">
        <v>7.5134197696084495E-2</v>
      </c>
      <c r="JB18">
        <v>2.7024084590051298E-3</v>
      </c>
      <c r="JC18">
        <v>2.7024084590051097E-4</v>
      </c>
      <c r="JD18">
        <v>1.6652561239437099E-4</v>
      </c>
      <c r="JE18">
        <v>3.1241249408689902E-3</v>
      </c>
      <c r="JF18" s="159">
        <v>-1.2468324983583299E-18</v>
      </c>
      <c r="JG18">
        <v>0</v>
      </c>
      <c r="JH18">
        <v>4.1072300889872602E-3</v>
      </c>
      <c r="JI18">
        <v>5.3429729598870998E-4</v>
      </c>
      <c r="JJ18">
        <v>-0.49679732068292798</v>
      </c>
      <c r="JK18">
        <v>1.6652561239437099E-4</v>
      </c>
      <c r="JL18" s="159">
        <v>6.5753399999999896E-6</v>
      </c>
      <c r="JM18">
        <v>-0.49679732068292798</v>
      </c>
      <c r="JN18">
        <v>0</v>
      </c>
      <c r="JO18">
        <v>2.0654875547591498</v>
      </c>
      <c r="JP18">
        <v>-5.3254371990562504E-3</v>
      </c>
      <c r="JQ18">
        <v>4.4803237310498398E-4</v>
      </c>
      <c r="JR18">
        <v>5.9413874758945398E-2</v>
      </c>
      <c r="JS18">
        <v>1501.3740154299201</v>
      </c>
      <c r="JT18">
        <v>5.0582624784505398E-2</v>
      </c>
      <c r="JU18">
        <v>0</v>
      </c>
      <c r="JV18">
        <v>365</v>
      </c>
      <c r="JW18">
        <v>0</v>
      </c>
      <c r="JX18">
        <v>-0.40268092994350901</v>
      </c>
      <c r="JY18">
        <v>0</v>
      </c>
      <c r="JZ18">
        <v>1.3048724619843799</v>
      </c>
      <c r="KA18">
        <v>1.3968560210044101</v>
      </c>
      <c r="KB18">
        <v>1.41209535501465</v>
      </c>
      <c r="KC18">
        <v>0</v>
      </c>
      <c r="KD18">
        <v>0</v>
      </c>
      <c r="KE18">
        <v>0</v>
      </c>
      <c r="KF18">
        <v>3.4953144424348199E-3</v>
      </c>
      <c r="KG18">
        <v>2.18012642193222E-2</v>
      </c>
      <c r="KH18">
        <v>4.0399744956738599E-2</v>
      </c>
      <c r="KI18">
        <v>0</v>
      </c>
      <c r="KJ18">
        <v>0</v>
      </c>
      <c r="KK18">
        <v>0</v>
      </c>
      <c r="KL18">
        <v>0</v>
      </c>
      <c r="KM18">
        <v>0</v>
      </c>
      <c r="KN18">
        <v>0</v>
      </c>
      <c r="KO18">
        <v>0</v>
      </c>
      <c r="KP18">
        <v>0</v>
      </c>
      <c r="KQ18">
        <v>0</v>
      </c>
      <c r="KR18">
        <v>0</v>
      </c>
      <c r="KS18">
        <v>0</v>
      </c>
      <c r="KT18">
        <v>0</v>
      </c>
      <c r="KU18">
        <v>0.34999999999999898</v>
      </c>
      <c r="KV18">
        <v>-0.118256214799614</v>
      </c>
      <c r="KW18">
        <v>1.8736089735009399E-3</v>
      </c>
      <c r="KX18">
        <v>31736.589623409</v>
      </c>
      <c r="KY18">
        <v>0</v>
      </c>
      <c r="KZ18">
        <v>0.21014309441937301</v>
      </c>
      <c r="LA18">
        <v>1.73602675993533E-5</v>
      </c>
      <c r="LB18">
        <v>0</v>
      </c>
      <c r="LC18">
        <v>-12.1645992481854</v>
      </c>
      <c r="LD18">
        <v>1.5700762132370899E-2</v>
      </c>
      <c r="LE18">
        <v>3.3969454078971299E-3</v>
      </c>
      <c r="LF18">
        <v>1.5700762132370899E-2</v>
      </c>
      <c r="LG18">
        <v>0.93909434409730896</v>
      </c>
      <c r="LH18">
        <v>1.2251072092014801</v>
      </c>
      <c r="LI18">
        <v>0</v>
      </c>
      <c r="LJ18">
        <v>0</v>
      </c>
      <c r="LK18">
        <v>0.24002942843077499</v>
      </c>
      <c r="LL18">
        <v>0</v>
      </c>
      <c r="LM18">
        <v>0</v>
      </c>
      <c r="LN18">
        <v>0</v>
      </c>
      <c r="LO18">
        <v>0</v>
      </c>
      <c r="LP18">
        <v>0</v>
      </c>
      <c r="LQ18">
        <v>0</v>
      </c>
      <c r="LR18">
        <v>0</v>
      </c>
      <c r="LS18">
        <v>0</v>
      </c>
      <c r="LT18">
        <v>-999</v>
      </c>
      <c r="LU18">
        <v>0.42555916594705101</v>
      </c>
      <c r="LV18">
        <v>17</v>
      </c>
      <c r="LW18">
        <v>63.3599999999999</v>
      </c>
      <c r="LX18">
        <v>0.59199999999999897</v>
      </c>
      <c r="LY18">
        <v>0</v>
      </c>
      <c r="LZ18">
        <v>-999</v>
      </c>
      <c r="MA18">
        <v>0</v>
      </c>
      <c r="MB18">
        <v>0</v>
      </c>
      <c r="MC18">
        <v>463.36</v>
      </c>
      <c r="MD18">
        <v>-23.6999999999999</v>
      </c>
      <c r="ME18">
        <v>-33.6</v>
      </c>
      <c r="MF18">
        <v>0</v>
      </c>
      <c r="MG18">
        <v>8.0706896550000007</v>
      </c>
      <c r="MH18">
        <v>0</v>
      </c>
      <c r="MI18">
        <v>0</v>
      </c>
      <c r="MJ18">
        <v>0</v>
      </c>
      <c r="MK18">
        <v>0</v>
      </c>
      <c r="ML18">
        <v>0</v>
      </c>
      <c r="MM18">
        <v>0</v>
      </c>
      <c r="MN18">
        <v>0</v>
      </c>
      <c r="MO18">
        <v>0</v>
      </c>
      <c r="MP18">
        <v>0</v>
      </c>
      <c r="MQ18">
        <v>0</v>
      </c>
      <c r="MR18">
        <v>0</v>
      </c>
      <c r="MS18">
        <v>0</v>
      </c>
      <c r="MT18">
        <v>0</v>
      </c>
      <c r="MU18">
        <v>0</v>
      </c>
      <c r="MV18">
        <v>0</v>
      </c>
    </row>
    <row r="19" spans="1:360" x14ac:dyDescent="0.25">
      <c r="A19">
        <v>6570</v>
      </c>
      <c r="B19">
        <v>0</v>
      </c>
      <c r="C19">
        <v>-33.6</v>
      </c>
      <c r="D19">
        <v>-23.6999999999999</v>
      </c>
      <c r="E19">
        <v>400</v>
      </c>
      <c r="F19">
        <v>0</v>
      </c>
      <c r="G19">
        <v>0</v>
      </c>
      <c r="H19">
        <v>0</v>
      </c>
      <c r="I19">
        <v>0</v>
      </c>
      <c r="J19">
        <v>0</v>
      </c>
      <c r="K19">
        <v>0</v>
      </c>
      <c r="L19" s="159">
        <v>6.5753399999999896E-6</v>
      </c>
      <c r="M19">
        <v>0</v>
      </c>
      <c r="N19">
        <v>0</v>
      </c>
      <c r="O19">
        <v>0</v>
      </c>
      <c r="P19">
        <v>0</v>
      </c>
      <c r="Q19">
        <v>0</v>
      </c>
      <c r="R19">
        <v>0</v>
      </c>
      <c r="S19">
        <v>0</v>
      </c>
      <c r="T19">
        <v>0</v>
      </c>
      <c r="U19">
        <v>674.52511412747003</v>
      </c>
      <c r="V19">
        <v>13.429700735154499</v>
      </c>
      <c r="W19">
        <v>1.2992165214726401</v>
      </c>
      <c r="X19">
        <v>0.372785006996047</v>
      </c>
      <c r="Y19">
        <v>0.285709881047509</v>
      </c>
      <c r="Z19">
        <v>0.34150511195644301</v>
      </c>
      <c r="AA19">
        <v>0.112970558196055</v>
      </c>
      <c r="AB19">
        <v>0.48950628164940901</v>
      </c>
      <c r="AC19">
        <v>0.39752316015453398</v>
      </c>
      <c r="AD19">
        <v>0.88414664306330304</v>
      </c>
      <c r="AE19">
        <v>4.4255483211967699E-2</v>
      </c>
      <c r="AF19">
        <v>7.1597873724728395E-2</v>
      </c>
      <c r="AG19">
        <v>0</v>
      </c>
      <c r="AH19">
        <v>3397.90087458468</v>
      </c>
      <c r="AI19">
        <v>80.476959007966201</v>
      </c>
      <c r="AJ19">
        <v>8.1187448201286205</v>
      </c>
      <c r="AK19">
        <v>394.42298519803302</v>
      </c>
      <c r="AL19">
        <v>7.32390530827311</v>
      </c>
      <c r="AM19">
        <v>0.82158774163831205</v>
      </c>
      <c r="AN19">
        <v>8707.4766050113794</v>
      </c>
      <c r="AO19">
        <v>313.18839031401899</v>
      </c>
      <c r="AP19">
        <v>31.318839031401701</v>
      </c>
      <c r="AQ19">
        <v>2.9085071205884799E-2</v>
      </c>
      <c r="AR19">
        <v>5.9352458983448599E-3</v>
      </c>
      <c r="AS19">
        <v>2.5163205763890702E-2</v>
      </c>
      <c r="AT19">
        <v>9.48</v>
      </c>
      <c r="AU19">
        <v>5.9979261532260404</v>
      </c>
      <c r="AV19">
        <v>0</v>
      </c>
      <c r="AW19">
        <v>84.052593146107199</v>
      </c>
      <c r="AX19">
        <v>66.137857924211801</v>
      </c>
      <c r="AY19">
        <v>361.58728318815702</v>
      </c>
      <c r="AZ19">
        <v>0.54833294000258603</v>
      </c>
      <c r="BA19">
        <v>0.81978054133119904</v>
      </c>
      <c r="BB19">
        <v>1.38126940612169E-2</v>
      </c>
      <c r="BC19">
        <v>1.15170001586891E-3</v>
      </c>
      <c r="BD19">
        <v>0.59123339546945097</v>
      </c>
      <c r="BE19">
        <v>9.1599264664759903E-3</v>
      </c>
      <c r="BF19">
        <v>7.5322469421359398E-4</v>
      </c>
      <c r="BG19">
        <v>766.29999847710098</v>
      </c>
      <c r="BH19">
        <v>-1626.59999865293</v>
      </c>
      <c r="BI19">
        <v>419.276764197109</v>
      </c>
      <c r="BJ19">
        <v>208.70280394836601</v>
      </c>
      <c r="BK19">
        <v>3.9777731052093799</v>
      </c>
      <c r="BL19">
        <v>4.5667110086740799</v>
      </c>
      <c r="BM19">
        <v>190.72092384640001</v>
      </c>
      <c r="BN19">
        <v>21.505208961975701</v>
      </c>
      <c r="BO19">
        <v>212.22613280837601</v>
      </c>
      <c r="BP19">
        <v>3.41337885402283</v>
      </c>
      <c r="BQ19">
        <v>0.28633626098687098</v>
      </c>
      <c r="BR19">
        <v>204.72503084315599</v>
      </c>
      <c r="BS19">
        <v>2.17286933946946</v>
      </c>
      <c r="BT19">
        <v>0.287441523061019</v>
      </c>
      <c r="BU19">
        <v>3.43452072643184</v>
      </c>
      <c r="BV19">
        <v>1.6539262758989901</v>
      </c>
      <c r="BW19">
        <v>0.54634823197228599</v>
      </c>
      <c r="BX19">
        <v>1.23424621856056</v>
      </c>
      <c r="BY19">
        <v>0</v>
      </c>
      <c r="BZ19">
        <v>3.0140559951051298</v>
      </c>
      <c r="CA19">
        <v>0.39932285891770802</v>
      </c>
      <c r="CB19">
        <v>0.28836442335756302</v>
      </c>
      <c r="CC19">
        <v>0.24154065645165701</v>
      </c>
      <c r="CD19">
        <v>4.47956045352138E-2</v>
      </c>
      <c r="CE19">
        <v>21.115384814974899</v>
      </c>
      <c r="CF19">
        <v>162.09316322074901</v>
      </c>
      <c r="CG19">
        <v>42.4050135289474</v>
      </c>
      <c r="CH19">
        <v>0.39208434786065699</v>
      </c>
      <c r="CI19">
        <v>7.0480530942023298</v>
      </c>
      <c r="CJ19">
        <v>1.6934394317658299</v>
      </c>
      <c r="CK19">
        <v>9.3809892705508595</v>
      </c>
      <c r="CL19">
        <v>1.5252131622991401</v>
      </c>
      <c r="CM19">
        <v>9.3549939970556606E-2</v>
      </c>
      <c r="CN19">
        <v>4.3983596227914902E-2</v>
      </c>
      <c r="CO19">
        <v>0.73281118005343904</v>
      </c>
      <c r="CP19">
        <v>0.86691544362578299</v>
      </c>
      <c r="CQ19">
        <v>0.152521316229913</v>
      </c>
      <c r="CR19">
        <v>42.6318676224071</v>
      </c>
      <c r="CS19">
        <v>1.53337259488676</v>
      </c>
      <c r="CT19">
        <v>0.15333725948867499</v>
      </c>
      <c r="CU19">
        <v>1.46999999999992E-2</v>
      </c>
      <c r="CV19">
        <v>1.92377512563703E-3</v>
      </c>
      <c r="CW19">
        <v>2.22511815004819</v>
      </c>
      <c r="CX19">
        <v>2.0299999999998802E-2</v>
      </c>
      <c r="CY19">
        <v>5.6194297581320897E-3</v>
      </c>
      <c r="CZ19">
        <v>0</v>
      </c>
      <c r="DA19">
        <v>2.3999991000028501E-3</v>
      </c>
      <c r="DB19">
        <v>1.4995136194545201E-3</v>
      </c>
      <c r="DC19">
        <v>1.9999999999998899E-3</v>
      </c>
      <c r="DD19">
        <v>3.9314938450483701E-3</v>
      </c>
      <c r="DE19">
        <v>1.25525633268325E-3</v>
      </c>
      <c r="DF19">
        <v>2.3999990999999999E-3</v>
      </c>
      <c r="DG19">
        <v>0</v>
      </c>
      <c r="DH19">
        <v>0</v>
      </c>
      <c r="DI19">
        <v>0.23180769399998699</v>
      </c>
      <c r="DJ19">
        <v>1.8846155199998899E-2</v>
      </c>
      <c r="DK19">
        <v>2.2292621076549799</v>
      </c>
      <c r="DL19">
        <v>0.14551319240567701</v>
      </c>
      <c r="DM19">
        <v>87.165903011841706</v>
      </c>
      <c r="DN19">
        <v>208.86485352358</v>
      </c>
      <c r="DO19">
        <v>327.66000000000003</v>
      </c>
      <c r="DP19">
        <v>31.5714044919382</v>
      </c>
      <c r="DQ19">
        <v>157.94999999999899</v>
      </c>
      <c r="DR19">
        <v>169.71</v>
      </c>
      <c r="DS19">
        <v>155.128947701279</v>
      </c>
      <c r="DT19">
        <v>0</v>
      </c>
      <c r="DU19">
        <v>0</v>
      </c>
      <c r="DV19">
        <v>0</v>
      </c>
      <c r="DW19">
        <v>0</v>
      </c>
      <c r="DX19">
        <v>0</v>
      </c>
      <c r="DY19">
        <v>0</v>
      </c>
      <c r="DZ19">
        <v>0</v>
      </c>
      <c r="EA19">
        <v>0</v>
      </c>
      <c r="EB19">
        <v>0</v>
      </c>
      <c r="EC19">
        <v>0</v>
      </c>
      <c r="ED19">
        <v>0</v>
      </c>
      <c r="EE19">
        <v>0</v>
      </c>
      <c r="EF19">
        <v>1.32044546457405</v>
      </c>
      <c r="EG19">
        <v>0</v>
      </c>
      <c r="EH19">
        <v>0</v>
      </c>
      <c r="EI19">
        <v>0</v>
      </c>
      <c r="EJ19">
        <v>0</v>
      </c>
      <c r="EK19">
        <v>0</v>
      </c>
      <c r="EL19">
        <v>0</v>
      </c>
      <c r="EM19">
        <v>0</v>
      </c>
      <c r="EN19">
        <v>0</v>
      </c>
      <c r="EO19">
        <v>0</v>
      </c>
      <c r="EP19">
        <v>0</v>
      </c>
      <c r="EQ19">
        <v>0</v>
      </c>
      <c r="ER19">
        <v>0</v>
      </c>
      <c r="ES19">
        <v>0</v>
      </c>
      <c r="ET19">
        <v>0</v>
      </c>
      <c r="EU19">
        <v>0</v>
      </c>
      <c r="EV19">
        <v>789.94145064035195</v>
      </c>
      <c r="EW19">
        <v>-28.649999999999899</v>
      </c>
      <c r="EX19">
        <v>1420.0528718472999</v>
      </c>
      <c r="EY19">
        <v>820.26941530791498</v>
      </c>
      <c r="EZ19">
        <v>101.01820529730399</v>
      </c>
      <c r="FA19">
        <v>636.04155313201102</v>
      </c>
      <c r="FB19">
        <v>682.99310302734295</v>
      </c>
      <c r="FC19">
        <v>0.43569151944727302</v>
      </c>
      <c r="FD19">
        <v>0.79457476956466999</v>
      </c>
      <c r="FE19">
        <v>0</v>
      </c>
      <c r="FF19">
        <v>1</v>
      </c>
      <c r="FG19" s="159">
        <v>5.9125742760518098E-13</v>
      </c>
      <c r="FH19">
        <v>0</v>
      </c>
      <c r="FI19">
        <v>5.4512674794765098E-5</v>
      </c>
      <c r="FJ19">
        <v>-5.7378556912298997E-3</v>
      </c>
      <c r="FK19" s="159">
        <v>6.57534000000779E-6</v>
      </c>
      <c r="FL19" s="159">
        <v>3.0295077612371202E-6</v>
      </c>
      <c r="FM19" s="159">
        <v>4.10817971671374E-6</v>
      </c>
      <c r="FN19">
        <v>0</v>
      </c>
      <c r="FO19">
        <v>0</v>
      </c>
      <c r="FP19">
        <v>0</v>
      </c>
      <c r="FQ19">
        <v>0</v>
      </c>
      <c r="FR19">
        <v>0</v>
      </c>
      <c r="FS19">
        <v>0</v>
      </c>
      <c r="FT19">
        <v>0</v>
      </c>
      <c r="FU19">
        <v>0</v>
      </c>
      <c r="FV19">
        <v>-999</v>
      </c>
      <c r="FW19">
        <v>0.46909112599726499</v>
      </c>
      <c r="FX19">
        <v>3.1580036314254002E-3</v>
      </c>
      <c r="FY19">
        <v>1.1573834507866201</v>
      </c>
      <c r="FZ19">
        <v>9.7130657441557805E-4</v>
      </c>
      <c r="GA19">
        <v>43.4410403864822</v>
      </c>
      <c r="GB19">
        <v>1.07173521766128E-2</v>
      </c>
      <c r="GC19">
        <v>2.8965816693548099E-3</v>
      </c>
      <c r="GD19">
        <v>0</v>
      </c>
      <c r="GE19">
        <v>7.0258918751957902E-3</v>
      </c>
      <c r="GF19">
        <v>0.48734727533935102</v>
      </c>
      <c r="GG19">
        <v>5.5916480069515798E-4</v>
      </c>
      <c r="GH19">
        <v>9.4571836030895307E-3</v>
      </c>
      <c r="GI19">
        <v>1.8642974967075902E-2</v>
      </c>
      <c r="GJ19">
        <v>9.1490714693075799E-4</v>
      </c>
      <c r="GK19">
        <v>1.77994110769319E-3</v>
      </c>
      <c r="GL19">
        <v>0.38140900050290999</v>
      </c>
      <c r="GM19">
        <v>6.3554009033632798E-3</v>
      </c>
      <c r="GN19">
        <v>5.2651735566724999E-4</v>
      </c>
      <c r="GO19">
        <v>0</v>
      </c>
      <c r="GP19">
        <v>0</v>
      </c>
      <c r="GQ19">
        <v>0</v>
      </c>
      <c r="GR19">
        <v>5.94068183410476E-2</v>
      </c>
      <c r="GS19">
        <v>1.1031048608314701E-3</v>
      </c>
      <c r="GT19">
        <v>1.2374510500252201E-4</v>
      </c>
      <c r="GU19">
        <v>3.7214892254753697E-2</v>
      </c>
      <c r="GV19">
        <v>6.9103058685729304E-4</v>
      </c>
      <c r="GW19">
        <v>7.75190605779348E-5</v>
      </c>
      <c r="GX19">
        <v>0.11654148915773301</v>
      </c>
      <c r="GY19">
        <v>0.12727097797206999</v>
      </c>
      <c r="GZ19">
        <v>59.102430537780698</v>
      </c>
      <c r="HA19">
        <v>677.90445474880505</v>
      </c>
      <c r="HB19">
        <v>0</v>
      </c>
      <c r="HC19">
        <v>0.99981312182345305</v>
      </c>
      <c r="HD19">
        <v>0.403201035111036</v>
      </c>
      <c r="HE19">
        <v>1.0471973333492099E-2</v>
      </c>
      <c r="HF19">
        <v>9.0699102512199E-4</v>
      </c>
      <c r="HG19">
        <v>1.2243947513982801E-2</v>
      </c>
      <c r="HH19" s="159">
        <v>4.7618750775749499E-7</v>
      </c>
      <c r="HI19" s="159">
        <v>3.3333254622018098E-7</v>
      </c>
      <c r="HJ19">
        <v>0</v>
      </c>
      <c r="HK19">
        <v>0</v>
      </c>
      <c r="HL19">
        <v>0</v>
      </c>
      <c r="HM19">
        <v>0</v>
      </c>
      <c r="HN19">
        <v>0</v>
      </c>
      <c r="HO19">
        <v>1.0825490032141E-2</v>
      </c>
      <c r="HP19">
        <v>0.53047201308310699</v>
      </c>
      <c r="HQ19">
        <v>1.0471973333492099E-2</v>
      </c>
      <c r="HR19">
        <v>9.0699102512199E-4</v>
      </c>
      <c r="HS19">
        <v>0.73123507571118096</v>
      </c>
      <c r="HT19">
        <v>-999</v>
      </c>
      <c r="HU19">
        <v>1</v>
      </c>
      <c r="HV19">
        <v>0.77540566704325098</v>
      </c>
      <c r="HW19">
        <v>0.22459433295674799</v>
      </c>
      <c r="HX19">
        <v>12499.800464794</v>
      </c>
      <c r="HY19">
        <v>400.98925463025898</v>
      </c>
      <c r="HZ19">
        <v>40.259171593168702</v>
      </c>
      <c r="IA19">
        <v>-0.12727097797206999</v>
      </c>
      <c r="IB19">
        <v>0</v>
      </c>
      <c r="IC19">
        <v>0</v>
      </c>
      <c r="ID19">
        <v>0</v>
      </c>
      <c r="IE19">
        <v>0</v>
      </c>
      <c r="IF19">
        <v>0</v>
      </c>
      <c r="IG19">
        <v>0</v>
      </c>
      <c r="IH19">
        <v>0</v>
      </c>
      <c r="II19">
        <v>46.337800049999601</v>
      </c>
      <c r="IJ19">
        <v>463.37800049999902</v>
      </c>
      <c r="IK19">
        <v>9.9896603819765398E-3</v>
      </c>
      <c r="IL19">
        <v>2.1594469306951102E-3</v>
      </c>
      <c r="IM19">
        <v>1.21491073126716E-2</v>
      </c>
      <c r="IN19">
        <v>1.1042020097158801E-3</v>
      </c>
      <c r="IO19">
        <v>0.42109357168837702</v>
      </c>
      <c r="IP19">
        <v>1.8097650947151801E-2</v>
      </c>
      <c r="IQ19">
        <v>1.8226901098021601E-3</v>
      </c>
      <c r="IR19">
        <v>0.29989347446719999</v>
      </c>
      <c r="IS19">
        <v>0.25097863803682502</v>
      </c>
      <c r="IT19">
        <v>0.24919890451783899</v>
      </c>
      <c r="IU19">
        <v>0.29481035739894601</v>
      </c>
      <c r="IV19">
        <v>1.3555527160769699E-2</v>
      </c>
      <c r="IW19">
        <v>1.36847773116396E-3</v>
      </c>
      <c r="IX19">
        <v>7.5178728508668594E-2</v>
      </c>
      <c r="IY19">
        <v>2.7040101323882698E-3</v>
      </c>
      <c r="IZ19">
        <v>2.70401013238825E-4</v>
      </c>
      <c r="JA19">
        <v>7.5133005733271599E-2</v>
      </c>
      <c r="JB19">
        <v>2.7023655867780098E-3</v>
      </c>
      <c r="JC19">
        <v>2.7023655867779899E-4</v>
      </c>
      <c r="JD19">
        <v>1.66833853900218E-4</v>
      </c>
      <c r="JE19">
        <v>3.1284644719522E-3</v>
      </c>
      <c r="JF19" s="159">
        <v>-9.7578195523695303E-19</v>
      </c>
      <c r="JG19">
        <v>0</v>
      </c>
      <c r="JH19">
        <v>4.1087854348761397E-3</v>
      </c>
      <c r="JI19">
        <v>5.3451228012588203E-4</v>
      </c>
      <c r="JJ19">
        <v>-0.49721434110428803</v>
      </c>
      <c r="JK19">
        <v>1.66833853900218E-4</v>
      </c>
      <c r="JL19" s="159">
        <v>6.5753399999999896E-6</v>
      </c>
      <c r="JM19">
        <v>-0.49721434110428803</v>
      </c>
      <c r="JN19">
        <v>0</v>
      </c>
      <c r="JO19">
        <v>1.98031869155466</v>
      </c>
      <c r="JP19">
        <v>-5.6603021188930298E-3</v>
      </c>
      <c r="JQ19">
        <v>4.68505254951522E-4</v>
      </c>
      <c r="JR19">
        <v>5.78389726397254E-2</v>
      </c>
      <c r="JS19">
        <v>1503.26252872184</v>
      </c>
      <c r="JT19">
        <v>5.0396035310498001E-2</v>
      </c>
      <c r="JU19">
        <v>0</v>
      </c>
      <c r="JV19">
        <v>365</v>
      </c>
      <c r="JW19">
        <v>0</v>
      </c>
      <c r="JX19">
        <v>-0.40268092994350901</v>
      </c>
      <c r="JY19">
        <v>0</v>
      </c>
      <c r="JZ19">
        <v>1.30553911612317</v>
      </c>
      <c r="KA19">
        <v>1.39725007350943</v>
      </c>
      <c r="KB19">
        <v>1.4129778673500499</v>
      </c>
      <c r="KC19">
        <v>0</v>
      </c>
      <c r="KD19">
        <v>0</v>
      </c>
      <c r="KE19">
        <v>0</v>
      </c>
      <c r="KF19">
        <v>3.4982167877719698E-3</v>
      </c>
      <c r="KG19">
        <v>2.1825123780209899E-2</v>
      </c>
      <c r="KH19">
        <v>4.0331516891376797E-2</v>
      </c>
      <c r="KI19">
        <v>0</v>
      </c>
      <c r="KJ19">
        <v>0</v>
      </c>
      <c r="KK19">
        <v>0</v>
      </c>
      <c r="KL19">
        <v>0</v>
      </c>
      <c r="KM19">
        <v>0</v>
      </c>
      <c r="KN19">
        <v>0</v>
      </c>
      <c r="KO19">
        <v>0</v>
      </c>
      <c r="KP19">
        <v>0</v>
      </c>
      <c r="KQ19">
        <v>0</v>
      </c>
      <c r="KR19">
        <v>0</v>
      </c>
      <c r="KS19">
        <v>0</v>
      </c>
      <c r="KT19">
        <v>0</v>
      </c>
      <c r="KU19">
        <v>0.34999999999999898</v>
      </c>
      <c r="KV19">
        <v>-0.11812958152828</v>
      </c>
      <c r="KW19">
        <v>1.87167887635961E-3</v>
      </c>
      <c r="KX19">
        <v>31802.077656600501</v>
      </c>
      <c r="KY19">
        <v>0</v>
      </c>
      <c r="KZ19">
        <v>0.21015259243697301</v>
      </c>
      <c r="LA19">
        <v>1.73602675993533E-5</v>
      </c>
      <c r="LB19">
        <v>0</v>
      </c>
      <c r="LC19">
        <v>-12.1636388642769</v>
      </c>
      <c r="LD19">
        <v>1.5701357450392198E-2</v>
      </c>
      <c r="LE19">
        <v>3.3975070286719799E-3</v>
      </c>
      <c r="LF19">
        <v>1.5701357450392198E-2</v>
      </c>
      <c r="LG19">
        <v>0.93953253182952701</v>
      </c>
      <c r="LH19">
        <v>1.2256051498062801</v>
      </c>
      <c r="LI19">
        <v>0</v>
      </c>
      <c r="LJ19">
        <v>0</v>
      </c>
      <c r="LK19">
        <v>0.24015026613173501</v>
      </c>
      <c r="LL19">
        <v>0</v>
      </c>
      <c r="LM19">
        <v>0</v>
      </c>
      <c r="LN19">
        <v>0</v>
      </c>
      <c r="LO19">
        <v>0</v>
      </c>
      <c r="LP19">
        <v>0</v>
      </c>
      <c r="LQ19">
        <v>0</v>
      </c>
      <c r="LR19">
        <v>0</v>
      </c>
      <c r="LS19">
        <v>0</v>
      </c>
      <c r="LT19">
        <v>-999</v>
      </c>
      <c r="LU19">
        <v>0.42556350151378602</v>
      </c>
      <c r="LV19">
        <v>18</v>
      </c>
      <c r="LW19">
        <v>67.319999999999894</v>
      </c>
      <c r="LX19">
        <v>0.629</v>
      </c>
      <c r="LY19">
        <v>0</v>
      </c>
      <c r="LZ19">
        <v>-999</v>
      </c>
      <c r="MA19">
        <v>0</v>
      </c>
      <c r="MB19">
        <v>0</v>
      </c>
      <c r="MC19">
        <v>467.31999999999903</v>
      </c>
      <c r="MD19">
        <v>-23.6999999999999</v>
      </c>
      <c r="ME19">
        <v>-33.6</v>
      </c>
      <c r="MF19">
        <v>0</v>
      </c>
      <c r="MG19">
        <v>8.0706896550000007</v>
      </c>
      <c r="MH19">
        <v>0</v>
      </c>
      <c r="MI19">
        <v>0</v>
      </c>
      <c r="MJ19">
        <v>0</v>
      </c>
      <c r="MK19">
        <v>0</v>
      </c>
      <c r="ML19">
        <v>0</v>
      </c>
      <c r="MM19">
        <v>0</v>
      </c>
      <c r="MN19">
        <v>0</v>
      </c>
      <c r="MO19">
        <v>0</v>
      </c>
      <c r="MP19">
        <v>0</v>
      </c>
      <c r="MQ19">
        <v>0</v>
      </c>
      <c r="MR19">
        <v>0</v>
      </c>
      <c r="MS19">
        <v>0</v>
      </c>
      <c r="MT19">
        <v>0</v>
      </c>
      <c r="MU19">
        <v>0</v>
      </c>
      <c r="MV19">
        <v>0</v>
      </c>
    </row>
    <row r="20" spans="1:360" x14ac:dyDescent="0.25">
      <c r="A20">
        <v>6935</v>
      </c>
      <c r="B20">
        <v>0</v>
      </c>
      <c r="C20">
        <v>-33.6</v>
      </c>
      <c r="D20">
        <v>-23.6999999999999</v>
      </c>
      <c r="E20">
        <v>400</v>
      </c>
      <c r="F20">
        <v>0</v>
      </c>
      <c r="G20">
        <v>0</v>
      </c>
      <c r="H20">
        <v>0</v>
      </c>
      <c r="I20">
        <v>0</v>
      </c>
      <c r="J20">
        <v>0</v>
      </c>
      <c r="K20">
        <v>0</v>
      </c>
      <c r="L20" s="159">
        <v>6.5753399999999896E-6</v>
      </c>
      <c r="M20">
        <v>0</v>
      </c>
      <c r="N20">
        <v>0</v>
      </c>
      <c r="O20">
        <v>0</v>
      </c>
      <c r="P20">
        <v>0</v>
      </c>
      <c r="Q20">
        <v>0</v>
      </c>
      <c r="R20">
        <v>0</v>
      </c>
      <c r="S20">
        <v>0</v>
      </c>
      <c r="T20">
        <v>0</v>
      </c>
      <c r="U20">
        <v>675.55600892720202</v>
      </c>
      <c r="V20">
        <v>13.450077070546801</v>
      </c>
      <c r="W20">
        <v>1.30119718444183</v>
      </c>
      <c r="X20">
        <v>0.370827469015658</v>
      </c>
      <c r="Y20">
        <v>0.285296327967138</v>
      </c>
      <c r="Z20">
        <v>0.34387620301720201</v>
      </c>
      <c r="AA20">
        <v>0.112935222641547</v>
      </c>
      <c r="AB20">
        <v>0.49011064612015798</v>
      </c>
      <c r="AC20">
        <v>0.39695413123829298</v>
      </c>
      <c r="AD20">
        <v>0.884191454303077</v>
      </c>
      <c r="AE20">
        <v>4.41623305658502E-2</v>
      </c>
      <c r="AF20">
        <v>7.1646215131072499E-2</v>
      </c>
      <c r="AG20">
        <v>0</v>
      </c>
      <c r="AH20">
        <v>3398.6290222322</v>
      </c>
      <c r="AI20">
        <v>80.451760675387803</v>
      </c>
      <c r="AJ20">
        <v>8.1177408831169195</v>
      </c>
      <c r="AK20">
        <v>394.81103411918599</v>
      </c>
      <c r="AL20">
        <v>7.3311108557694498</v>
      </c>
      <c r="AM20">
        <v>0.82239605212917999</v>
      </c>
      <c r="AN20">
        <v>8707.2423993883203</v>
      </c>
      <c r="AO20">
        <v>313.17996646341197</v>
      </c>
      <c r="AP20">
        <v>31.317996646341001</v>
      </c>
      <c r="AQ20">
        <v>2.9122983505100002E-2</v>
      </c>
      <c r="AR20">
        <v>5.9456059078343004E-3</v>
      </c>
      <c r="AS20">
        <v>2.4963095525613099E-2</v>
      </c>
      <c r="AT20">
        <v>9.48</v>
      </c>
      <c r="AU20">
        <v>5.9976714335757597</v>
      </c>
      <c r="AV20">
        <v>0</v>
      </c>
      <c r="AW20">
        <v>84.093700866991</v>
      </c>
      <c r="AX20">
        <v>66.152794348729401</v>
      </c>
      <c r="AY20">
        <v>361.58291584122401</v>
      </c>
      <c r="AZ20">
        <v>0.54833294000258703</v>
      </c>
      <c r="BA20">
        <v>0.82057385379984404</v>
      </c>
      <c r="BB20">
        <v>1.3821528556913701E-2</v>
      </c>
      <c r="BC20">
        <v>1.1525688061894601E-3</v>
      </c>
      <c r="BD20">
        <v>0.59145741642337901</v>
      </c>
      <c r="BE20">
        <v>9.1631627546061491E-3</v>
      </c>
      <c r="BF20">
        <v>7.5323958077962302E-4</v>
      </c>
      <c r="BG20">
        <v>766.29999847710098</v>
      </c>
      <c r="BH20">
        <v>-1626.59999865293</v>
      </c>
      <c r="BI20">
        <v>419.60337577451702</v>
      </c>
      <c r="BJ20">
        <v>208.77974221014099</v>
      </c>
      <c r="BK20">
        <v>3.9178388817486001</v>
      </c>
      <c r="BL20">
        <v>4.5683942124709596</v>
      </c>
      <c r="BM20">
        <v>190.79154416149299</v>
      </c>
      <c r="BN20">
        <v>21.525697461390699</v>
      </c>
      <c r="BO20">
        <v>212.31724162288299</v>
      </c>
      <c r="BP20">
        <v>3.4163101814433201</v>
      </c>
      <c r="BQ20">
        <v>0.28661477213901099</v>
      </c>
      <c r="BR20">
        <v>204.861903328392</v>
      </c>
      <c r="BS20">
        <v>2.1745970449093601</v>
      </c>
      <c r="BT20">
        <v>0.28765278372054898</v>
      </c>
      <c r="BU20">
        <v>3.4366865168356102</v>
      </c>
      <c r="BV20">
        <v>1.6562348085490699</v>
      </c>
      <c r="BW20">
        <v>0.545750569780868</v>
      </c>
      <c r="BX20">
        <v>1.2347011385056601</v>
      </c>
      <c r="BY20">
        <v>0</v>
      </c>
      <c r="BZ20">
        <v>3.0166068785980098</v>
      </c>
      <c r="CA20">
        <v>0.39970330284530697</v>
      </c>
      <c r="CB20">
        <v>0.28859543510819702</v>
      </c>
      <c r="CC20">
        <v>0.24177648981726901</v>
      </c>
      <c r="CD20">
        <v>4.4838282321741599E-2</v>
      </c>
      <c r="CE20">
        <v>21.137648540238601</v>
      </c>
      <c r="CF20">
        <v>162.22829664659</v>
      </c>
      <c r="CG20">
        <v>42.399401058746001</v>
      </c>
      <c r="CH20">
        <v>0.39249775534896097</v>
      </c>
      <c r="CI20">
        <v>7.0557273200920001</v>
      </c>
      <c r="CJ20">
        <v>1.69469928722107</v>
      </c>
      <c r="CK20">
        <v>9.3915885072723899</v>
      </c>
      <c r="CL20">
        <v>1.5250112943427001</v>
      </c>
      <c r="CM20">
        <v>9.3727876252050202E-2</v>
      </c>
      <c r="CN20">
        <v>4.4029971830874801E-2</v>
      </c>
      <c r="CO20">
        <v>0.727267208349059</v>
      </c>
      <c r="CP20">
        <v>0.86157647757460698</v>
      </c>
      <c r="CQ20">
        <v>0.15250112943426899</v>
      </c>
      <c r="CR20">
        <v>42.633606681802199</v>
      </c>
      <c r="CS20">
        <v>1.5334351449500301</v>
      </c>
      <c r="CT20">
        <v>0.153343514495002</v>
      </c>
      <c r="CU20">
        <v>1.4699999999999699E-2</v>
      </c>
      <c r="CV20">
        <v>1.9298107733984101E-3</v>
      </c>
      <c r="CW20">
        <v>2.2257938005087499</v>
      </c>
      <c r="CX20">
        <v>2.02999999999996E-2</v>
      </c>
      <c r="CY20">
        <v>5.6335834973220101E-3</v>
      </c>
      <c r="CZ20">
        <v>0</v>
      </c>
      <c r="DA20">
        <v>2.3999991000028501E-3</v>
      </c>
      <c r="DB20">
        <v>1.4994512937556801E-3</v>
      </c>
      <c r="DC20">
        <v>1.9999999999999601E-3</v>
      </c>
      <c r="DD20">
        <v>3.9121776009076303E-3</v>
      </c>
      <c r="DE20">
        <v>1.2447316434809901E-3</v>
      </c>
      <c r="DF20">
        <v>2.3999991000000099E-3</v>
      </c>
      <c r="DG20">
        <v>0</v>
      </c>
      <c r="DH20">
        <v>0</v>
      </c>
      <c r="DI20">
        <v>0.23180769399999501</v>
      </c>
      <c r="DJ20">
        <v>1.88461551999996E-2</v>
      </c>
      <c r="DK20">
        <v>2.23676083040051</v>
      </c>
      <c r="DL20">
        <v>0.146002665169746</v>
      </c>
      <c r="DM20">
        <v>86.518524863148897</v>
      </c>
      <c r="DN20">
        <v>209.580484167821</v>
      </c>
      <c r="DO20">
        <v>327.66000000000003</v>
      </c>
      <c r="DP20">
        <v>31.5049498958481</v>
      </c>
      <c r="DQ20">
        <v>157.94999999999899</v>
      </c>
      <c r="DR20">
        <v>169.71</v>
      </c>
      <c r="DS20">
        <v>155.17177404441301</v>
      </c>
      <c r="DT20">
        <v>0</v>
      </c>
      <c r="DU20">
        <v>0</v>
      </c>
      <c r="DV20">
        <v>0</v>
      </c>
      <c r="DW20">
        <v>0</v>
      </c>
      <c r="DX20">
        <v>0</v>
      </c>
      <c r="DY20">
        <v>0</v>
      </c>
      <c r="DZ20">
        <v>0</v>
      </c>
      <c r="EA20">
        <v>0</v>
      </c>
      <c r="EB20">
        <v>0</v>
      </c>
      <c r="EC20">
        <v>0</v>
      </c>
      <c r="ED20">
        <v>0</v>
      </c>
      <c r="EE20">
        <v>0</v>
      </c>
      <c r="EF20">
        <v>1.31824347484084</v>
      </c>
      <c r="EG20">
        <v>0</v>
      </c>
      <c r="EH20">
        <v>0</v>
      </c>
      <c r="EI20">
        <v>0</v>
      </c>
      <c r="EJ20">
        <v>0</v>
      </c>
      <c r="EK20">
        <v>0</v>
      </c>
      <c r="EL20">
        <v>0</v>
      </c>
      <c r="EM20">
        <v>0</v>
      </c>
      <c r="EN20">
        <v>0</v>
      </c>
      <c r="EO20">
        <v>0</v>
      </c>
      <c r="EP20">
        <v>0</v>
      </c>
      <c r="EQ20">
        <v>0</v>
      </c>
      <c r="ER20">
        <v>0</v>
      </c>
      <c r="ES20">
        <v>0</v>
      </c>
      <c r="ET20">
        <v>0</v>
      </c>
      <c r="EU20">
        <v>0</v>
      </c>
      <c r="EV20">
        <v>790.99186593206605</v>
      </c>
      <c r="EW20">
        <v>-28.649999999999899</v>
      </c>
      <c r="EX20">
        <v>1422.2231766888401</v>
      </c>
      <c r="EY20">
        <v>820.89179442106195</v>
      </c>
      <c r="EZ20">
        <v>100.65897278775201</v>
      </c>
      <c r="FA20">
        <v>637.31906799087801</v>
      </c>
      <c r="FB20">
        <v>684.2451171875</v>
      </c>
      <c r="FC20">
        <v>0.434142149633578</v>
      </c>
      <c r="FD20">
        <v>0.79174916909338</v>
      </c>
      <c r="FE20">
        <v>0</v>
      </c>
      <c r="FF20">
        <v>1</v>
      </c>
      <c r="FG20" s="159">
        <v>5.9133355843838396E-13</v>
      </c>
      <c r="FH20">
        <v>0</v>
      </c>
      <c r="FI20">
        <v>5.4512674794765098E-5</v>
      </c>
      <c r="FJ20">
        <v>-5.7139894508806896E-3</v>
      </c>
      <c r="FK20" s="159">
        <v>6.57534000000779E-6</v>
      </c>
      <c r="FL20" s="159">
        <v>3.0052675022612998E-6</v>
      </c>
      <c r="FM20" s="159">
        <v>4.1080052507276704E-6</v>
      </c>
      <c r="FN20">
        <v>0</v>
      </c>
      <c r="FO20">
        <v>0</v>
      </c>
      <c r="FP20">
        <v>0</v>
      </c>
      <c r="FQ20">
        <v>0</v>
      </c>
      <c r="FR20">
        <v>0</v>
      </c>
      <c r="FS20">
        <v>0</v>
      </c>
      <c r="FT20">
        <v>0</v>
      </c>
      <c r="FU20">
        <v>0</v>
      </c>
      <c r="FV20">
        <v>-999</v>
      </c>
      <c r="FW20">
        <v>0.46969858100050699</v>
      </c>
      <c r="FX20">
        <v>3.1604922995303601E-3</v>
      </c>
      <c r="FY20">
        <v>1.1592791936840401</v>
      </c>
      <c r="FZ20">
        <v>9.7025495999327903E-4</v>
      </c>
      <c r="GA20">
        <v>43.396910051859898</v>
      </c>
      <c r="GB20">
        <v>1.07076148762641E-2</v>
      </c>
      <c r="GC20">
        <v>2.89394996655788E-3</v>
      </c>
      <c r="GD20">
        <v>0</v>
      </c>
      <c r="GE20">
        <v>7.0246972260815197E-3</v>
      </c>
      <c r="GF20">
        <v>0.48344782199695102</v>
      </c>
      <c r="GG20">
        <v>5.5905750860880401E-4</v>
      </c>
      <c r="GH20">
        <v>9.4570790934940998E-3</v>
      </c>
      <c r="GI20">
        <v>1.8637195290335602E-2</v>
      </c>
      <c r="GJ20">
        <v>9.1490365631027198E-4</v>
      </c>
      <c r="GK20">
        <v>1.77943837524243E-3</v>
      </c>
      <c r="GL20">
        <v>0.38203311956268698</v>
      </c>
      <c r="GM20">
        <v>6.3677279359661103E-3</v>
      </c>
      <c r="GN20">
        <v>5.2754486758327499E-4</v>
      </c>
      <c r="GO20">
        <v>0</v>
      </c>
      <c r="GP20">
        <v>0</v>
      </c>
      <c r="GQ20">
        <v>0</v>
      </c>
      <c r="GR20">
        <v>5.9461243577890698E-2</v>
      </c>
      <c r="GS20">
        <v>1.1041154644118401E-3</v>
      </c>
      <c r="GT20">
        <v>1.2385847341436399E-4</v>
      </c>
      <c r="GU20">
        <v>3.72518553196814E-2</v>
      </c>
      <c r="GV20">
        <v>6.9171694134877095E-4</v>
      </c>
      <c r="GW20">
        <v>7.7596055079212804E-5</v>
      </c>
      <c r="GX20">
        <v>0.116775591860281</v>
      </c>
      <c r="GY20">
        <v>0.12749497717594099</v>
      </c>
      <c r="GZ20">
        <v>59.087743075322699</v>
      </c>
      <c r="HA20">
        <v>677.75882522250902</v>
      </c>
      <c r="HB20">
        <v>0</v>
      </c>
      <c r="HC20">
        <v>0.99981311607481804</v>
      </c>
      <c r="HD20">
        <v>0.40388000382398098</v>
      </c>
      <c r="HE20">
        <v>1.04891314608355E-2</v>
      </c>
      <c r="HF20">
        <v>9.0845574612373199E-4</v>
      </c>
      <c r="HG20">
        <v>1.22716548609041E-2</v>
      </c>
      <c r="HH20" s="159">
        <v>4.7618751518259401E-7</v>
      </c>
      <c r="HI20" s="159">
        <v>3.33332546120649E-7</v>
      </c>
      <c r="HJ20">
        <v>0</v>
      </c>
      <c r="HK20">
        <v>0</v>
      </c>
      <c r="HL20">
        <v>0</v>
      </c>
      <c r="HM20">
        <v>0</v>
      </c>
      <c r="HN20">
        <v>0</v>
      </c>
      <c r="HO20">
        <v>1.0850537269733999E-2</v>
      </c>
      <c r="HP20">
        <v>0.53137498099992297</v>
      </c>
      <c r="HQ20">
        <v>1.04891314608355E-2</v>
      </c>
      <c r="HR20">
        <v>9.0845574612373199E-4</v>
      </c>
      <c r="HS20">
        <v>0.73079225563682704</v>
      </c>
      <c r="HT20">
        <v>-999</v>
      </c>
      <c r="HU20">
        <v>1</v>
      </c>
      <c r="HV20">
        <v>0.77637402678674705</v>
      </c>
      <c r="HW20">
        <v>0.22362597321325201</v>
      </c>
      <c r="HX20">
        <v>12500.682455739699</v>
      </c>
      <c r="HY20">
        <v>400.96283799456899</v>
      </c>
      <c r="HZ20">
        <v>40.258133581587103</v>
      </c>
      <c r="IA20">
        <v>-0.12749497717594099</v>
      </c>
      <c r="IB20">
        <v>0</v>
      </c>
      <c r="IC20">
        <v>0</v>
      </c>
      <c r="ID20">
        <v>0</v>
      </c>
      <c r="IE20">
        <v>0</v>
      </c>
      <c r="IF20">
        <v>0</v>
      </c>
      <c r="IG20">
        <v>0</v>
      </c>
      <c r="IH20">
        <v>0</v>
      </c>
      <c r="II20">
        <v>46.337800049999601</v>
      </c>
      <c r="IJ20">
        <v>463.37800049999902</v>
      </c>
      <c r="IK20">
        <v>1.0009991765156E-2</v>
      </c>
      <c r="IL20">
        <v>2.1645289967199702E-3</v>
      </c>
      <c r="IM20">
        <v>1.2174520761875999E-2</v>
      </c>
      <c r="IN20">
        <v>1.0961908264240799E-3</v>
      </c>
      <c r="IO20">
        <v>0.42118776180962503</v>
      </c>
      <c r="IP20">
        <v>1.8121603413434301E-2</v>
      </c>
      <c r="IQ20">
        <v>1.81459682240675E-3</v>
      </c>
      <c r="IR20">
        <v>0.29962627604914699</v>
      </c>
      <c r="IS20">
        <v>0.25047959761574501</v>
      </c>
      <c r="IT20">
        <v>0.25014327563567401</v>
      </c>
      <c r="IU20">
        <v>0.294988841221132</v>
      </c>
      <c r="IV20">
        <v>1.3582511482285099E-2</v>
      </c>
      <c r="IW20">
        <v>1.36068762929184E-3</v>
      </c>
      <c r="IX20">
        <v>7.5162704294765306E-2</v>
      </c>
      <c r="IY20">
        <v>2.7034337773791102E-3</v>
      </c>
      <c r="IZ20">
        <v>2.7034337773790902E-4</v>
      </c>
      <c r="JA20">
        <v>7.5131689934834503E-2</v>
      </c>
      <c r="JB20">
        <v>2.7023182604614098E-3</v>
      </c>
      <c r="JC20">
        <v>2.7023182604613997E-4</v>
      </c>
      <c r="JD20">
        <v>1.6712895501410201E-4</v>
      </c>
      <c r="JE20">
        <v>3.1325181073389302E-3</v>
      </c>
      <c r="JF20" s="159">
        <v>-7.9282283863002502E-19</v>
      </c>
      <c r="JG20">
        <v>0</v>
      </c>
      <c r="JH20">
        <v>4.1103089808705697E-3</v>
      </c>
      <c r="JI20">
        <v>5.3472862891389996E-4</v>
      </c>
      <c r="JJ20">
        <v>-0.49761550833190699</v>
      </c>
      <c r="JK20">
        <v>1.6712895501410201E-4</v>
      </c>
      <c r="JL20" s="159">
        <v>6.5753399999999896E-6</v>
      </c>
      <c r="JM20">
        <v>-0.49761550833190699</v>
      </c>
      <c r="JN20">
        <v>0</v>
      </c>
      <c r="JO20">
        <v>1.9128857453483099</v>
      </c>
      <c r="JP20">
        <v>-5.9920279884178801E-3</v>
      </c>
      <c r="JQ20">
        <v>4.8782149909233901E-4</v>
      </c>
      <c r="JR20">
        <v>5.6041073180953298E-2</v>
      </c>
      <c r="JS20">
        <v>1505.13693032738</v>
      </c>
      <c r="JT20">
        <v>5.0216821136366302E-2</v>
      </c>
      <c r="JU20">
        <v>0</v>
      </c>
      <c r="JV20">
        <v>365</v>
      </c>
      <c r="JW20">
        <v>0</v>
      </c>
      <c r="JX20">
        <v>-0.40268092994350901</v>
      </c>
      <c r="JY20">
        <v>0</v>
      </c>
      <c r="JZ20">
        <v>1.30616222997133</v>
      </c>
      <c r="KA20">
        <v>1.39757266420578</v>
      </c>
      <c r="KB20">
        <v>1.41381435485656</v>
      </c>
      <c r="KC20">
        <v>0</v>
      </c>
      <c r="KD20">
        <v>0</v>
      </c>
      <c r="KE20">
        <v>0</v>
      </c>
      <c r="KF20">
        <v>3.5010580698960499E-3</v>
      </c>
      <c r="KG20">
        <v>2.1848183190099499E-2</v>
      </c>
      <c r="KH20">
        <v>4.02680466960193E-2</v>
      </c>
      <c r="KI20">
        <v>0</v>
      </c>
      <c r="KJ20">
        <v>0</v>
      </c>
      <c r="KK20">
        <v>0</v>
      </c>
      <c r="KL20">
        <v>0</v>
      </c>
      <c r="KM20">
        <v>0</v>
      </c>
      <c r="KN20">
        <v>0</v>
      </c>
      <c r="KO20">
        <v>0</v>
      </c>
      <c r="KP20">
        <v>0</v>
      </c>
      <c r="KQ20">
        <v>0</v>
      </c>
      <c r="KR20">
        <v>0</v>
      </c>
      <c r="KS20">
        <v>0</v>
      </c>
      <c r="KT20">
        <v>0</v>
      </c>
      <c r="KU20">
        <v>0.34999999999999898</v>
      </c>
      <c r="KV20">
        <v>-0.11800635815124499</v>
      </c>
      <c r="KW20">
        <v>1.86980203229107E-3</v>
      </c>
      <c r="KX20">
        <v>31865.953399543901</v>
      </c>
      <c r="KY20">
        <v>0</v>
      </c>
      <c r="KZ20">
        <v>0.210161167402696</v>
      </c>
      <c r="LA20">
        <v>1.73602675993533E-5</v>
      </c>
      <c r="LB20">
        <v>0</v>
      </c>
      <c r="LC20">
        <v>-12.1627111905749</v>
      </c>
      <c r="LD20">
        <v>1.5701939180369499E-2</v>
      </c>
      <c r="LE20">
        <v>3.39805583053733E-3</v>
      </c>
      <c r="LF20">
        <v>1.5701939180369499E-2</v>
      </c>
      <c r="LG20">
        <v>0.93995901600661402</v>
      </c>
      <c r="LH20">
        <v>1.2260897909166</v>
      </c>
      <c r="LI20">
        <v>0</v>
      </c>
      <c r="LJ20">
        <v>0</v>
      </c>
      <c r="LK20">
        <v>0.24026771676283101</v>
      </c>
      <c r="LL20">
        <v>0</v>
      </c>
      <c r="LM20">
        <v>0</v>
      </c>
      <c r="LN20">
        <v>0</v>
      </c>
      <c r="LO20">
        <v>0</v>
      </c>
      <c r="LP20">
        <v>0</v>
      </c>
      <c r="LQ20">
        <v>0</v>
      </c>
      <c r="LR20">
        <v>0</v>
      </c>
      <c r="LS20">
        <v>0</v>
      </c>
      <c r="LT20">
        <v>-999</v>
      </c>
      <c r="LU20">
        <v>0.42556749517301301</v>
      </c>
      <c r="LV20">
        <v>19</v>
      </c>
      <c r="LW20">
        <v>71.28</v>
      </c>
      <c r="LX20">
        <v>0.66599999999999904</v>
      </c>
      <c r="LY20">
        <v>0</v>
      </c>
      <c r="LZ20">
        <v>-999</v>
      </c>
      <c r="MA20">
        <v>0</v>
      </c>
      <c r="MB20">
        <v>0</v>
      </c>
      <c r="MC20">
        <v>471.27999999999901</v>
      </c>
      <c r="MD20">
        <v>-23.6999999999999</v>
      </c>
      <c r="ME20">
        <v>-33.6</v>
      </c>
      <c r="MF20">
        <v>0</v>
      </c>
      <c r="MG20">
        <v>8.0706896550000007</v>
      </c>
      <c r="MH20">
        <v>0</v>
      </c>
      <c r="MI20">
        <v>0</v>
      </c>
      <c r="MJ20">
        <v>0</v>
      </c>
      <c r="MK20">
        <v>0</v>
      </c>
      <c r="ML20">
        <v>0</v>
      </c>
      <c r="MM20">
        <v>0</v>
      </c>
      <c r="MN20">
        <v>0</v>
      </c>
      <c r="MO20">
        <v>0</v>
      </c>
      <c r="MP20">
        <v>0</v>
      </c>
      <c r="MQ20">
        <v>0</v>
      </c>
      <c r="MR20">
        <v>0</v>
      </c>
      <c r="MS20">
        <v>0</v>
      </c>
      <c r="MT20">
        <v>0</v>
      </c>
      <c r="MU20">
        <v>0</v>
      </c>
      <c r="MV20">
        <v>0</v>
      </c>
    </row>
    <row r="21" spans="1:360" x14ac:dyDescent="0.25">
      <c r="A21">
        <v>7300</v>
      </c>
      <c r="B21">
        <v>0</v>
      </c>
      <c r="C21">
        <v>-33.6</v>
      </c>
      <c r="D21">
        <v>-23.6999999999999</v>
      </c>
      <c r="E21">
        <v>400</v>
      </c>
      <c r="F21">
        <v>0</v>
      </c>
      <c r="G21">
        <v>0</v>
      </c>
      <c r="H21">
        <v>0</v>
      </c>
      <c r="I21">
        <v>0</v>
      </c>
      <c r="J21">
        <v>0</v>
      </c>
      <c r="K21">
        <v>0</v>
      </c>
      <c r="L21" s="159">
        <v>6.5753399999999896E-6</v>
      </c>
      <c r="M21">
        <v>0</v>
      </c>
      <c r="N21">
        <v>0</v>
      </c>
      <c r="O21">
        <v>0</v>
      </c>
      <c r="P21">
        <v>0</v>
      </c>
      <c r="Q21">
        <v>0</v>
      </c>
      <c r="R21">
        <v>0</v>
      </c>
      <c r="S21">
        <v>0</v>
      </c>
      <c r="T21">
        <v>0</v>
      </c>
      <c r="U21">
        <v>676.58973354132195</v>
      </c>
      <c r="V21">
        <v>13.4699110763188</v>
      </c>
      <c r="W21">
        <v>1.30313809869616</v>
      </c>
      <c r="X21">
        <v>0.368908374747836</v>
      </c>
      <c r="Y21">
        <v>0.284899511242452</v>
      </c>
      <c r="Z21">
        <v>0.34619211400971101</v>
      </c>
      <c r="AA21">
        <v>0.112900193906717</v>
      </c>
      <c r="AB21">
        <v>0.49073298597996301</v>
      </c>
      <c r="AC21">
        <v>0.39636682011331897</v>
      </c>
      <c r="AD21">
        <v>0.88423052321212303</v>
      </c>
      <c r="AE21">
        <v>4.4071455788611602E-2</v>
      </c>
      <c r="AF21">
        <v>7.1698020999264298E-2</v>
      </c>
      <c r="AG21">
        <v>0</v>
      </c>
      <c r="AH21">
        <v>3399.3190138457198</v>
      </c>
      <c r="AI21">
        <v>80.427065083294295</v>
      </c>
      <c r="AJ21">
        <v>8.1168262788121393</v>
      </c>
      <c r="AK21">
        <v>395.197500197115</v>
      </c>
      <c r="AL21">
        <v>7.3382870119921799</v>
      </c>
      <c r="AM21">
        <v>0.82320106553890005</v>
      </c>
      <c r="AN21">
        <v>8707.0011239966498</v>
      </c>
      <c r="AO21">
        <v>313.17128832909498</v>
      </c>
      <c r="AP21">
        <v>31.317128832909301</v>
      </c>
      <c r="AQ21">
        <v>2.91590039733493E-2</v>
      </c>
      <c r="AR21">
        <v>5.9554663688015201E-3</v>
      </c>
      <c r="AS21">
        <v>2.4770658077617899E-2</v>
      </c>
      <c r="AT21">
        <v>9.48</v>
      </c>
      <c r="AU21">
        <v>5.9974066954335798</v>
      </c>
      <c r="AV21">
        <v>0</v>
      </c>
      <c r="AW21">
        <v>84.1331844409371</v>
      </c>
      <c r="AX21">
        <v>66.167170231752905</v>
      </c>
      <c r="AY21">
        <v>361.57871766044099</v>
      </c>
      <c r="AZ21">
        <v>0.54833294000258703</v>
      </c>
      <c r="BA21">
        <v>0.82135142623722801</v>
      </c>
      <c r="BB21">
        <v>1.3830314859531701E-2</v>
      </c>
      <c r="BC21">
        <v>1.15343674154618E-3</v>
      </c>
      <c r="BD21">
        <v>0.59170529852251297</v>
      </c>
      <c r="BE21">
        <v>9.1667593142112508E-3</v>
      </c>
      <c r="BF21">
        <v>7.5327584810074705E-4</v>
      </c>
      <c r="BG21">
        <v>766.29999847710098</v>
      </c>
      <c r="BH21">
        <v>-1626.59999865293</v>
      </c>
      <c r="BI21">
        <v>419.94620606629002</v>
      </c>
      <c r="BJ21">
        <v>208.87456597910599</v>
      </c>
      <c r="BK21">
        <v>3.8811680669216999</v>
      </c>
      <c r="BL21">
        <v>4.5705718045712098</v>
      </c>
      <c r="BM21">
        <v>190.86523145248901</v>
      </c>
      <c r="BN21">
        <v>21.546181717067501</v>
      </c>
      <c r="BO21">
        <v>212.411413169556</v>
      </c>
      <c r="BP21">
        <v>3.4191129818227801</v>
      </c>
      <c r="BQ21">
        <v>0.28688525009684002</v>
      </c>
      <c r="BR21">
        <v>204.993397912185</v>
      </c>
      <c r="BS21">
        <v>2.1762860080968802</v>
      </c>
      <c r="BT21">
        <v>0.28786265442355202</v>
      </c>
      <c r="BU21">
        <v>3.43894698759483</v>
      </c>
      <c r="BV21">
        <v>1.65848619122575</v>
      </c>
      <c r="BW21">
        <v>0.54517111945794505</v>
      </c>
      <c r="BX21">
        <v>1.2352896769111299</v>
      </c>
      <c r="BY21">
        <v>0</v>
      </c>
      <c r="BZ21">
        <v>3.0190293138504001</v>
      </c>
      <c r="CA21">
        <v>0.40008366797238398</v>
      </c>
      <c r="CB21">
        <v>0.28882616435116598</v>
      </c>
      <c r="CC21">
        <v>0.242004298828327</v>
      </c>
      <c r="CD21">
        <v>4.4880951268512499E-2</v>
      </c>
      <c r="CE21">
        <v>21.159715639138</v>
      </c>
      <c r="CF21">
        <v>162.35830356947699</v>
      </c>
      <c r="CG21">
        <v>42.393818951051003</v>
      </c>
      <c r="CH21">
        <v>0.39290751174965999</v>
      </c>
      <c r="CI21">
        <v>7.0628144924849403</v>
      </c>
      <c r="CJ21">
        <v>1.69582860220911</v>
      </c>
      <c r="CK21">
        <v>9.4014404500170592</v>
      </c>
      <c r="CL21">
        <v>1.5248105184574601</v>
      </c>
      <c r="CM21">
        <v>9.3898667550770198E-2</v>
      </c>
      <c r="CN21">
        <v>4.40759378587934E-2</v>
      </c>
      <c r="CO21">
        <v>0.72193160805328604</v>
      </c>
      <c r="CP21">
        <v>0.85644539719944901</v>
      </c>
      <c r="CQ21">
        <v>0.15248105184574501</v>
      </c>
      <c r="CR21">
        <v>42.635094342708001</v>
      </c>
      <c r="CS21">
        <v>1.53348865277389</v>
      </c>
      <c r="CT21">
        <v>0.153348865277388</v>
      </c>
      <c r="CU21">
        <v>1.4699999999999699E-2</v>
      </c>
      <c r="CV21">
        <v>1.93563314038133E-3</v>
      </c>
      <c r="CW21">
        <v>2.2263567654716101</v>
      </c>
      <c r="CX21">
        <v>2.02999999999996E-2</v>
      </c>
      <c r="CY21">
        <v>5.6471833435886897E-3</v>
      </c>
      <c r="CZ21">
        <v>0</v>
      </c>
      <c r="DA21">
        <v>2.39999910000287E-3</v>
      </c>
      <c r="DB21">
        <v>1.4993864078006001E-3</v>
      </c>
      <c r="DC21">
        <v>1.9999999999999601E-3</v>
      </c>
      <c r="DD21">
        <v>3.8936647625581501E-3</v>
      </c>
      <c r="DE21">
        <v>1.2346482656259701E-3</v>
      </c>
      <c r="DF21">
        <v>2.3999991000000199E-3</v>
      </c>
      <c r="DG21">
        <v>0</v>
      </c>
      <c r="DH21">
        <v>0</v>
      </c>
      <c r="DI21">
        <v>0.23180769399999601</v>
      </c>
      <c r="DJ21">
        <v>1.8846155199999701E-2</v>
      </c>
      <c r="DK21">
        <v>2.2440688470136601</v>
      </c>
      <c r="DL21">
        <v>0.14647968975285</v>
      </c>
      <c r="DM21">
        <v>85.884906775298504</v>
      </c>
      <c r="DN21">
        <v>210.27961922482299</v>
      </c>
      <c r="DO21">
        <v>327.66000000000003</v>
      </c>
      <c r="DP21">
        <v>31.441618963131202</v>
      </c>
      <c r="DQ21">
        <v>157.94999999999899</v>
      </c>
      <c r="DR21">
        <v>169.71</v>
      </c>
      <c r="DS21">
        <v>155.212778252286</v>
      </c>
      <c r="DT21">
        <v>0</v>
      </c>
      <c r="DU21">
        <v>0</v>
      </c>
      <c r="DV21">
        <v>0</v>
      </c>
      <c r="DW21">
        <v>0</v>
      </c>
      <c r="DX21">
        <v>0</v>
      </c>
      <c r="DY21">
        <v>0</v>
      </c>
      <c r="DZ21">
        <v>0</v>
      </c>
      <c r="EA21">
        <v>0</v>
      </c>
      <c r="EB21">
        <v>0</v>
      </c>
      <c r="EC21">
        <v>0</v>
      </c>
      <c r="ED21">
        <v>0</v>
      </c>
      <c r="EE21">
        <v>0</v>
      </c>
      <c r="EF21">
        <v>1.3161635932472699</v>
      </c>
      <c r="EG21">
        <v>0</v>
      </c>
      <c r="EH21">
        <v>0</v>
      </c>
      <c r="EI21">
        <v>0</v>
      </c>
      <c r="EJ21">
        <v>0</v>
      </c>
      <c r="EK21">
        <v>0</v>
      </c>
      <c r="EL21">
        <v>0</v>
      </c>
      <c r="EM21">
        <v>0</v>
      </c>
      <c r="EN21">
        <v>0</v>
      </c>
      <c r="EO21">
        <v>0</v>
      </c>
      <c r="EP21">
        <v>0</v>
      </c>
      <c r="EQ21">
        <v>0</v>
      </c>
      <c r="ER21">
        <v>0</v>
      </c>
      <c r="ES21">
        <v>0</v>
      </c>
      <c r="ET21">
        <v>0</v>
      </c>
      <c r="EU21">
        <v>0</v>
      </c>
      <c r="EV21">
        <v>792.04767071523702</v>
      </c>
      <c r="EW21">
        <v>-28.649999999999899</v>
      </c>
      <c r="EX21">
        <v>1424.3994390343601</v>
      </c>
      <c r="EY21">
        <v>821.51894668851003</v>
      </c>
      <c r="EZ21">
        <v>100.312149844225</v>
      </c>
      <c r="FA21">
        <v>638.578724560414</v>
      </c>
      <c r="FB21">
        <v>685.508544921875</v>
      </c>
      <c r="FC21">
        <v>0.43264630227814399</v>
      </c>
      <c r="FD21">
        <v>0.78902117803848004</v>
      </c>
      <c r="FE21">
        <v>0</v>
      </c>
      <c r="FF21">
        <v>1</v>
      </c>
      <c r="FG21" s="159">
        <v>5.9135893538278599E-13</v>
      </c>
      <c r="FH21">
        <v>0</v>
      </c>
      <c r="FI21">
        <v>5.4512674794765098E-5</v>
      </c>
      <c r="FJ21">
        <v>-5.6911705392057197E-3</v>
      </c>
      <c r="FK21" s="159">
        <v>6.57534000000779E-6</v>
      </c>
      <c r="FL21" s="159">
        <v>2.9819590259857798E-6</v>
      </c>
      <c r="FM21" s="159">
        <v>4.1078239227422703E-6</v>
      </c>
      <c r="FN21">
        <v>0</v>
      </c>
      <c r="FO21">
        <v>0</v>
      </c>
      <c r="FP21">
        <v>0</v>
      </c>
      <c r="FQ21">
        <v>0</v>
      </c>
      <c r="FR21">
        <v>0</v>
      </c>
      <c r="FS21">
        <v>0</v>
      </c>
      <c r="FT21">
        <v>0</v>
      </c>
      <c r="FU21">
        <v>0</v>
      </c>
      <c r="FV21">
        <v>-999</v>
      </c>
      <c r="FW21">
        <v>0.47027566890151001</v>
      </c>
      <c r="FX21">
        <v>3.16293421562196E-3</v>
      </c>
      <c r="FY21">
        <v>1.1610820086483999</v>
      </c>
      <c r="FZ21">
        <v>9.6922754865725203E-4</v>
      </c>
      <c r="GA21">
        <v>43.354427179668697</v>
      </c>
      <c r="GB21">
        <v>1.0699404363435701E-2</v>
      </c>
      <c r="GC21">
        <v>2.89173090903669E-3</v>
      </c>
      <c r="GD21">
        <v>0</v>
      </c>
      <c r="GE21">
        <v>7.0238926733159103E-3</v>
      </c>
      <c r="GF21">
        <v>0.479698261573131</v>
      </c>
      <c r="GG21">
        <v>5.5897213486188395E-4</v>
      </c>
      <c r="GH21">
        <v>9.4565546062349501E-3</v>
      </c>
      <c r="GI21">
        <v>1.86315911144984E-2</v>
      </c>
      <c r="GJ21">
        <v>9.1486844419118502E-4</v>
      </c>
      <c r="GK21">
        <v>1.7789555584543E-3</v>
      </c>
      <c r="GL21">
        <v>0.38265237634909699</v>
      </c>
      <c r="GM21">
        <v>6.3796414278143596E-3</v>
      </c>
      <c r="GN21">
        <v>5.2854270490192102E-4</v>
      </c>
      <c r="GO21">
        <v>0</v>
      </c>
      <c r="GP21">
        <v>0</v>
      </c>
      <c r="GQ21">
        <v>0</v>
      </c>
      <c r="GR21">
        <v>5.9516114512024203E-2</v>
      </c>
      <c r="GS21">
        <v>1.10513434399252E-3</v>
      </c>
      <c r="GT21">
        <v>1.2397277021893201E-4</v>
      </c>
      <c r="GU21">
        <v>3.7288653137350199E-2</v>
      </c>
      <c r="GV21">
        <v>6.9240022742050595E-4</v>
      </c>
      <c r="GW21">
        <v>7.7672705368496994E-5</v>
      </c>
      <c r="GX21">
        <v>0.117002418813896</v>
      </c>
      <c r="GY21">
        <v>0.12771298939318601</v>
      </c>
      <c r="GZ21">
        <v>59.075716406448599</v>
      </c>
      <c r="HA21">
        <v>677.636788275752</v>
      </c>
      <c r="HB21">
        <v>0</v>
      </c>
      <c r="HC21">
        <v>0.99981311106181303</v>
      </c>
      <c r="HD21">
        <v>0.40454505397863699</v>
      </c>
      <c r="HE21">
        <v>1.05059976496983E-2</v>
      </c>
      <c r="HF21">
        <v>9.0990078819533501E-4</v>
      </c>
      <c r="HG21">
        <v>1.22985899269554E-2</v>
      </c>
      <c r="HH21" s="159">
        <v>4.7618752234949198E-7</v>
      </c>
      <c r="HI21" s="159">
        <v>3.3333254605014001E-7</v>
      </c>
      <c r="HJ21">
        <v>0</v>
      </c>
      <c r="HK21">
        <v>0</v>
      </c>
      <c r="HL21">
        <v>0</v>
      </c>
      <c r="HM21">
        <v>0</v>
      </c>
      <c r="HN21">
        <v>0</v>
      </c>
      <c r="HO21">
        <v>1.0874833491444399E-2</v>
      </c>
      <c r="HP21">
        <v>0.53225804337182303</v>
      </c>
      <c r="HQ21">
        <v>1.05059976496983E-2</v>
      </c>
      <c r="HR21">
        <v>9.0990078819533501E-4</v>
      </c>
      <c r="HS21">
        <v>0.73037799495556299</v>
      </c>
      <c r="HT21">
        <v>-999</v>
      </c>
      <c r="HU21">
        <v>1</v>
      </c>
      <c r="HV21">
        <v>0.77731466466413601</v>
      </c>
      <c r="HW21">
        <v>0.22268533533586299</v>
      </c>
      <c r="HX21">
        <v>12501.5176380394</v>
      </c>
      <c r="HY21">
        <v>400.93664042438201</v>
      </c>
      <c r="HZ21">
        <v>40.257156177260299</v>
      </c>
      <c r="IA21">
        <v>-0.12771298939318601</v>
      </c>
      <c r="IB21">
        <v>0</v>
      </c>
      <c r="IC21">
        <v>0</v>
      </c>
      <c r="ID21">
        <v>0</v>
      </c>
      <c r="IE21">
        <v>0</v>
      </c>
      <c r="IF21">
        <v>0</v>
      </c>
      <c r="IG21">
        <v>0</v>
      </c>
      <c r="IH21">
        <v>0</v>
      </c>
      <c r="II21">
        <v>46.337800049999601</v>
      </c>
      <c r="IJ21">
        <v>463.37800049999902</v>
      </c>
      <c r="IK21">
        <v>1.00294138921592E-2</v>
      </c>
      <c r="IL21">
        <v>2.1693843180662499E-3</v>
      </c>
      <c r="IM21">
        <v>1.21987982102254E-2</v>
      </c>
      <c r="IN21">
        <v>1.0884621852297301E-3</v>
      </c>
      <c r="IO21">
        <v>0.42127703756693802</v>
      </c>
      <c r="IP21">
        <v>1.8144443167946601E-2</v>
      </c>
      <c r="IQ21">
        <v>1.8067936617903999E-3</v>
      </c>
      <c r="IR21">
        <v>0.29936544075534899</v>
      </c>
      <c r="IS21">
        <v>0.249999502642752</v>
      </c>
      <c r="IT21">
        <v>0.25105809609833202</v>
      </c>
      <c r="IU21">
        <v>0.29516125153560302</v>
      </c>
      <c r="IV21">
        <v>1.3608341400230199E-2</v>
      </c>
      <c r="IW21">
        <v>1.35318348501876E-3</v>
      </c>
      <c r="IX21">
        <v>7.5147091401112198E-2</v>
      </c>
      <c r="IY21">
        <v>2.7028722166361802E-3</v>
      </c>
      <c r="IZ21">
        <v>2.7028722166361598E-4</v>
      </c>
      <c r="JA21">
        <v>7.5130279677339304E-2</v>
      </c>
      <c r="JB21">
        <v>2.7022675366645101E-3</v>
      </c>
      <c r="JC21">
        <v>2.7022675366644998E-4</v>
      </c>
      <c r="JD21">
        <v>1.67413830269787E-4</v>
      </c>
      <c r="JE21">
        <v>3.1363691806289801E-3</v>
      </c>
      <c r="JF21" s="159">
        <v>-4.2690460541616699E-19</v>
      </c>
      <c r="JG21">
        <v>0</v>
      </c>
      <c r="JH21">
        <v>4.1118107266693397E-3</v>
      </c>
      <c r="JI21">
        <v>5.3494805345548596E-4</v>
      </c>
      <c r="JJ21">
        <v>-0.49800452060612899</v>
      </c>
      <c r="JK21">
        <v>1.67413830269787E-4</v>
      </c>
      <c r="JL21" s="159">
        <v>6.5753399999999896E-6</v>
      </c>
      <c r="JM21">
        <v>-0.49800452060612899</v>
      </c>
      <c r="JN21">
        <v>0</v>
      </c>
      <c r="JO21">
        <v>1.86890691390756</v>
      </c>
      <c r="JP21">
        <v>-6.3176834860510997E-3</v>
      </c>
      <c r="JQ21">
        <v>5.0633433744184096E-4</v>
      </c>
      <c r="JR21">
        <v>5.38550367463628E-2</v>
      </c>
      <c r="JS21">
        <v>1507.0275113144801</v>
      </c>
      <c r="JT21">
        <v>5.0043797855497299E-2</v>
      </c>
      <c r="JU21">
        <v>0</v>
      </c>
      <c r="JV21">
        <v>365</v>
      </c>
      <c r="JW21">
        <v>0</v>
      </c>
      <c r="JX21">
        <v>-0.40268092994350901</v>
      </c>
      <c r="JY21">
        <v>0</v>
      </c>
      <c r="JZ21">
        <v>1.30672174349118</v>
      </c>
      <c r="KA21">
        <v>1.3978467507358501</v>
      </c>
      <c r="KB21">
        <v>1.41461744166856</v>
      </c>
      <c r="KC21">
        <v>0</v>
      </c>
      <c r="KD21">
        <v>0</v>
      </c>
      <c r="KE21">
        <v>0</v>
      </c>
      <c r="KF21">
        <v>3.50386225916096E-3</v>
      </c>
      <c r="KG21">
        <v>2.1870731494009601E-2</v>
      </c>
      <c r="KH21">
        <v>4.0208436782862102E-2</v>
      </c>
      <c r="KI21">
        <v>0</v>
      </c>
      <c r="KJ21">
        <v>0</v>
      </c>
      <c r="KK21">
        <v>0</v>
      </c>
      <c r="KL21">
        <v>0</v>
      </c>
      <c r="KM21">
        <v>0</v>
      </c>
      <c r="KN21">
        <v>0</v>
      </c>
      <c r="KO21">
        <v>0</v>
      </c>
      <c r="KP21">
        <v>0</v>
      </c>
      <c r="KQ21">
        <v>0</v>
      </c>
      <c r="KR21">
        <v>0</v>
      </c>
      <c r="KS21">
        <v>0</v>
      </c>
      <c r="KT21">
        <v>0</v>
      </c>
      <c r="KU21">
        <v>0.34999999999999898</v>
      </c>
      <c r="KV21">
        <v>-0.117885138685396</v>
      </c>
      <c r="KW21">
        <v>1.86795694179016E-3</v>
      </c>
      <c r="KX21">
        <v>31928.936228020699</v>
      </c>
      <c r="KY21">
        <v>0</v>
      </c>
      <c r="KZ21">
        <v>0.21016895723638401</v>
      </c>
      <c r="LA21">
        <v>1.73602675993533E-5</v>
      </c>
      <c r="LB21">
        <v>0</v>
      </c>
      <c r="LC21">
        <v>-12.161819678821701</v>
      </c>
      <c r="LD21">
        <v>1.5702499985366498E-2</v>
      </c>
      <c r="LE21">
        <v>3.3985848918552399E-3</v>
      </c>
      <c r="LF21">
        <v>1.5702499985366498E-2</v>
      </c>
      <c r="LG21">
        <v>0.94036903457926801</v>
      </c>
      <c r="LH21">
        <v>1.2265557211128</v>
      </c>
      <c r="LI21">
        <v>0</v>
      </c>
      <c r="LJ21">
        <v>0</v>
      </c>
      <c r="LK21">
        <v>0.240380526974106</v>
      </c>
      <c r="LL21">
        <v>0</v>
      </c>
      <c r="LM21">
        <v>0</v>
      </c>
      <c r="LN21">
        <v>0</v>
      </c>
      <c r="LO21">
        <v>0</v>
      </c>
      <c r="LP21">
        <v>0</v>
      </c>
      <c r="LQ21">
        <v>0</v>
      </c>
      <c r="LR21">
        <v>0</v>
      </c>
      <c r="LS21">
        <v>0</v>
      </c>
      <c r="LT21">
        <v>-999</v>
      </c>
      <c r="LU21">
        <v>0.42557129953758499</v>
      </c>
      <c r="LV21">
        <v>20</v>
      </c>
      <c r="LW21">
        <v>75.239999999999895</v>
      </c>
      <c r="LX21">
        <v>0.70299999999999896</v>
      </c>
      <c r="LY21">
        <v>0</v>
      </c>
      <c r="LZ21">
        <v>-999</v>
      </c>
      <c r="MA21">
        <v>0</v>
      </c>
      <c r="MB21">
        <v>0</v>
      </c>
      <c r="MC21">
        <v>475.24</v>
      </c>
      <c r="MD21">
        <v>-23.6999999999999</v>
      </c>
      <c r="ME21">
        <v>-33.6</v>
      </c>
      <c r="MF21">
        <v>0</v>
      </c>
      <c r="MG21">
        <v>8.0706896550000007</v>
      </c>
      <c r="MH21">
        <v>0</v>
      </c>
      <c r="MI21">
        <v>0</v>
      </c>
      <c r="MJ21">
        <v>0</v>
      </c>
      <c r="MK21">
        <v>0</v>
      </c>
      <c r="ML21">
        <v>0</v>
      </c>
      <c r="MM21">
        <v>0</v>
      </c>
      <c r="MN21">
        <v>0</v>
      </c>
      <c r="MO21">
        <v>0</v>
      </c>
      <c r="MP21">
        <v>0</v>
      </c>
      <c r="MQ21">
        <v>0</v>
      </c>
      <c r="MR21">
        <v>0</v>
      </c>
      <c r="MS21">
        <v>0</v>
      </c>
      <c r="MT21">
        <v>0</v>
      </c>
      <c r="MU21">
        <v>0</v>
      </c>
      <c r="MV21">
        <v>0</v>
      </c>
    </row>
    <row r="22" spans="1:360" x14ac:dyDescent="0.25">
      <c r="A22">
        <v>7665</v>
      </c>
      <c r="B22">
        <v>0</v>
      </c>
      <c r="C22">
        <v>-33.6</v>
      </c>
      <c r="D22">
        <v>-23.6999999999999</v>
      </c>
      <c r="E22">
        <v>400</v>
      </c>
      <c r="F22">
        <v>0</v>
      </c>
      <c r="G22">
        <v>0</v>
      </c>
      <c r="H22">
        <v>0</v>
      </c>
      <c r="I22">
        <v>0</v>
      </c>
      <c r="J22">
        <v>0</v>
      </c>
      <c r="K22">
        <v>0</v>
      </c>
      <c r="L22" s="159">
        <v>6.5753399999999896E-6</v>
      </c>
      <c r="M22">
        <v>0</v>
      </c>
      <c r="N22">
        <v>0</v>
      </c>
      <c r="O22">
        <v>0</v>
      </c>
      <c r="P22">
        <v>0</v>
      </c>
      <c r="Q22">
        <v>0</v>
      </c>
      <c r="R22">
        <v>0</v>
      </c>
      <c r="S22">
        <v>0</v>
      </c>
      <c r="T22">
        <v>0</v>
      </c>
      <c r="U22">
        <v>677.62771739636401</v>
      </c>
      <c r="V22">
        <v>13.489395454741899</v>
      </c>
      <c r="W22">
        <v>1.3050474555375</v>
      </c>
      <c r="X22">
        <v>0.36702203886181001</v>
      </c>
      <c r="Y22">
        <v>0.28450935382672099</v>
      </c>
      <c r="Z22">
        <v>0.348468607311468</v>
      </c>
      <c r="AA22">
        <v>0.112866078042444</v>
      </c>
      <c r="AB22">
        <v>0.49137117480993497</v>
      </c>
      <c r="AC22">
        <v>0.395762747147619</v>
      </c>
      <c r="AD22">
        <v>0.88426427477230896</v>
      </c>
      <c r="AE22">
        <v>4.3982074811635401E-2</v>
      </c>
      <c r="AF22">
        <v>7.1753650416055498E-2</v>
      </c>
      <c r="AG22">
        <v>0</v>
      </c>
      <c r="AH22">
        <v>3399.9773987792501</v>
      </c>
      <c r="AI22">
        <v>80.402670183595006</v>
      </c>
      <c r="AJ22">
        <v>8.1159921718831392</v>
      </c>
      <c r="AK22">
        <v>395.58268499018197</v>
      </c>
      <c r="AL22">
        <v>7.3454393764751904</v>
      </c>
      <c r="AM22">
        <v>0.82400341001710198</v>
      </c>
      <c r="AN22">
        <v>8706.7529980997606</v>
      </c>
      <c r="AO22">
        <v>313.16236379748102</v>
      </c>
      <c r="AP22">
        <v>31.316236379747799</v>
      </c>
      <c r="AQ22">
        <v>2.9194068330379699E-2</v>
      </c>
      <c r="AR22">
        <v>5.9650902829799504E-3</v>
      </c>
      <c r="AS22">
        <v>2.4584255470885299E-2</v>
      </c>
      <c r="AT22">
        <v>9.48</v>
      </c>
      <c r="AU22">
        <v>5.99713227402545</v>
      </c>
      <c r="AV22">
        <v>0</v>
      </c>
      <c r="AW22">
        <v>84.171043413621305</v>
      </c>
      <c r="AX22">
        <v>66.181102971252102</v>
      </c>
      <c r="AY22">
        <v>361.57469368880402</v>
      </c>
      <c r="AZ22">
        <v>0.54833294000258703</v>
      </c>
      <c r="BA22">
        <v>0.82211831552475501</v>
      </c>
      <c r="BB22">
        <v>1.38390868665734E-2</v>
      </c>
      <c r="BC22">
        <v>1.1543037732795699E-3</v>
      </c>
      <c r="BD22">
        <v>0.59195814727718599</v>
      </c>
      <c r="BE22">
        <v>9.1706505212548993E-3</v>
      </c>
      <c r="BF22">
        <v>7.5332919029282898E-4</v>
      </c>
      <c r="BG22">
        <v>766.29999847710098</v>
      </c>
      <c r="BH22">
        <v>-1626.59999865293</v>
      </c>
      <c r="BI22">
        <v>420.29033349717503</v>
      </c>
      <c r="BJ22">
        <v>208.97380614640301</v>
      </c>
      <c r="BK22">
        <v>3.8528424312795599</v>
      </c>
      <c r="BL22">
        <v>4.57321856856269</v>
      </c>
      <c r="BM22">
        <v>190.94221285306699</v>
      </c>
      <c r="BN22">
        <v>21.566828006857001</v>
      </c>
      <c r="BO22">
        <v>212.50904085992499</v>
      </c>
      <c r="BP22">
        <v>3.42182544498898</v>
      </c>
      <c r="BQ22">
        <v>0.28714886308186299</v>
      </c>
      <c r="BR22">
        <v>205.12096371512399</v>
      </c>
      <c r="BS22">
        <v>2.1779510970271598</v>
      </c>
      <c r="BT22">
        <v>0.28807307869408499</v>
      </c>
      <c r="BU22">
        <v>3.4413098234119701</v>
      </c>
      <c r="BV22">
        <v>1.66069870036949</v>
      </c>
      <c r="BW22">
        <v>0.54460610451201596</v>
      </c>
      <c r="BX22">
        <v>1.2360050185304501</v>
      </c>
      <c r="BY22">
        <v>0</v>
      </c>
      <c r="BZ22">
        <v>3.0213584031335801</v>
      </c>
      <c r="CA22">
        <v>0.4004670418554</v>
      </c>
      <c r="CB22">
        <v>0.28905821992320702</v>
      </c>
      <c r="CC22">
        <v>0.24222490534760599</v>
      </c>
      <c r="CD22">
        <v>4.4923957734255997E-2</v>
      </c>
      <c r="CE22">
        <v>21.181643213789702</v>
      </c>
      <c r="CF22">
        <v>162.48454782786001</v>
      </c>
      <c r="CG22">
        <v>42.388289990380002</v>
      </c>
      <c r="CH22">
        <v>0.39331467737239401</v>
      </c>
      <c r="CI22">
        <v>7.0694700845042604</v>
      </c>
      <c r="CJ22">
        <v>1.6968639616751</v>
      </c>
      <c r="CK22">
        <v>9.4107489574410703</v>
      </c>
      <c r="CL22">
        <v>1.5246116541513901</v>
      </c>
      <c r="CM22">
        <v>9.4064083037170093E-2</v>
      </c>
      <c r="CN22">
        <v>4.4121613256054001E-2</v>
      </c>
      <c r="CO22">
        <v>0.71674898141023502</v>
      </c>
      <c r="CP22">
        <v>0.85146844152777601</v>
      </c>
      <c r="CQ22">
        <v>0.15246116541513799</v>
      </c>
      <c r="CR22">
        <v>42.636415887263801</v>
      </c>
      <c r="CS22">
        <v>1.5335361857654699</v>
      </c>
      <c r="CT22">
        <v>0.153353618576546</v>
      </c>
      <c r="CU22">
        <v>1.4699999999999699E-2</v>
      </c>
      <c r="CV22">
        <v>1.9412818124009601E-3</v>
      </c>
      <c r="CW22">
        <v>2.2268400121633398</v>
      </c>
      <c r="CX22">
        <v>2.02999999999996E-2</v>
      </c>
      <c r="CY22">
        <v>5.6603220620436998E-3</v>
      </c>
      <c r="CZ22">
        <v>0</v>
      </c>
      <c r="DA22">
        <v>2.39999910000286E-3</v>
      </c>
      <c r="DB22">
        <v>1.49931905871815E-3</v>
      </c>
      <c r="DC22">
        <v>1.9999999999999601E-3</v>
      </c>
      <c r="DD22">
        <v>3.8756818857220202E-3</v>
      </c>
      <c r="DE22">
        <v>1.22489765060996E-3</v>
      </c>
      <c r="DF22">
        <v>2.3999991000000099E-3</v>
      </c>
      <c r="DG22">
        <v>0</v>
      </c>
      <c r="DH22">
        <v>0</v>
      </c>
      <c r="DI22">
        <v>0.23180769399999601</v>
      </c>
      <c r="DJ22">
        <v>1.88461551999996E-2</v>
      </c>
      <c r="DK22">
        <v>2.2512224405216501</v>
      </c>
      <c r="DL22">
        <v>0.14694663449880199</v>
      </c>
      <c r="DM22">
        <v>85.261843033859805</v>
      </c>
      <c r="DN22">
        <v>210.965729940296</v>
      </c>
      <c r="DO22">
        <v>327.66000000000003</v>
      </c>
      <c r="DP22">
        <v>31.380642350593298</v>
      </c>
      <c r="DQ22">
        <v>157.94999999999899</v>
      </c>
      <c r="DR22">
        <v>169.71</v>
      </c>
      <c r="DS22">
        <v>155.25230649492499</v>
      </c>
      <c r="DT22">
        <v>0</v>
      </c>
      <c r="DU22">
        <v>0</v>
      </c>
      <c r="DV22">
        <v>0</v>
      </c>
      <c r="DW22">
        <v>0</v>
      </c>
      <c r="DX22">
        <v>0</v>
      </c>
      <c r="DY22">
        <v>0</v>
      </c>
      <c r="DZ22">
        <v>0</v>
      </c>
      <c r="EA22">
        <v>0</v>
      </c>
      <c r="EB22">
        <v>0</v>
      </c>
      <c r="EC22">
        <v>0</v>
      </c>
      <c r="ED22">
        <v>0</v>
      </c>
      <c r="EE22">
        <v>0</v>
      </c>
      <c r="EF22">
        <v>1.3141678339651099</v>
      </c>
      <c r="EG22">
        <v>0</v>
      </c>
      <c r="EH22">
        <v>0</v>
      </c>
      <c r="EI22">
        <v>0</v>
      </c>
      <c r="EJ22">
        <v>0</v>
      </c>
      <c r="EK22">
        <v>0</v>
      </c>
      <c r="EL22">
        <v>0</v>
      </c>
      <c r="EM22">
        <v>0</v>
      </c>
      <c r="EN22">
        <v>0</v>
      </c>
      <c r="EO22">
        <v>0</v>
      </c>
      <c r="EP22">
        <v>0</v>
      </c>
      <c r="EQ22">
        <v>0</v>
      </c>
      <c r="ER22">
        <v>0</v>
      </c>
      <c r="ES22">
        <v>0</v>
      </c>
      <c r="ET22">
        <v>0</v>
      </c>
      <c r="EU22">
        <v>0</v>
      </c>
      <c r="EV22">
        <v>793.10961793719798</v>
      </c>
      <c r="EW22">
        <v>-28.649999999999899</v>
      </c>
      <c r="EX22">
        <v>1426.58466820287</v>
      </c>
      <c r="EY22">
        <v>822.15138126632598</v>
      </c>
      <c r="EZ22">
        <v>99.976002448960699</v>
      </c>
      <c r="FA22">
        <v>639.82419434137296</v>
      </c>
      <c r="FB22">
        <v>686.78448486328102</v>
      </c>
      <c r="FC22">
        <v>0.43119649856236703</v>
      </c>
      <c r="FD22">
        <v>0.78637715720732204</v>
      </c>
      <c r="FE22">
        <v>0</v>
      </c>
      <c r="FF22">
        <v>1</v>
      </c>
      <c r="FG22" s="159">
        <v>5.9138431232718702E-13</v>
      </c>
      <c r="FH22">
        <v>0</v>
      </c>
      <c r="FI22">
        <v>5.4512674794765098E-5</v>
      </c>
      <c r="FJ22">
        <v>-5.6693861217606296E-3</v>
      </c>
      <c r="FK22" s="159">
        <v>6.57534000000779E-6</v>
      </c>
      <c r="FL22" s="159">
        <v>2.9593843003795599E-6</v>
      </c>
      <c r="FM22" s="159">
        <v>4.1076359623649798E-6</v>
      </c>
      <c r="FN22">
        <v>0</v>
      </c>
      <c r="FO22">
        <v>0</v>
      </c>
      <c r="FP22">
        <v>0</v>
      </c>
      <c r="FQ22">
        <v>0</v>
      </c>
      <c r="FR22">
        <v>0</v>
      </c>
      <c r="FS22">
        <v>0</v>
      </c>
      <c r="FT22">
        <v>0</v>
      </c>
      <c r="FU22">
        <v>0</v>
      </c>
      <c r="FV22">
        <v>-999</v>
      </c>
      <c r="FW22">
        <v>0.47083749107887601</v>
      </c>
      <c r="FX22">
        <v>3.1653269739723702E-3</v>
      </c>
      <c r="FY22">
        <v>1.1628433716076301</v>
      </c>
      <c r="FZ22">
        <v>9.6821718925115896E-4</v>
      </c>
      <c r="GA22">
        <v>43.313393735590402</v>
      </c>
      <c r="GB22">
        <v>1.0692359007530501E-2</v>
      </c>
      <c r="GC22">
        <v>2.8898267587920299E-3</v>
      </c>
      <c r="GD22">
        <v>0</v>
      </c>
      <c r="GE22">
        <v>7.0233709220155604E-3</v>
      </c>
      <c r="GF22">
        <v>0.47606673728509702</v>
      </c>
      <c r="GG22">
        <v>5.5890318517994801E-4</v>
      </c>
      <c r="GH22">
        <v>9.4557272031635092E-3</v>
      </c>
      <c r="GI22">
        <v>1.8626138235606E-2</v>
      </c>
      <c r="GJ22">
        <v>9.1480546835087499E-4</v>
      </c>
      <c r="GK22">
        <v>1.7784901345955599E-3</v>
      </c>
      <c r="GL22">
        <v>0.38326821575244702</v>
      </c>
      <c r="GM22">
        <v>6.3912505632387996E-3</v>
      </c>
      <c r="GN22">
        <v>5.2951573041244498E-4</v>
      </c>
      <c r="GO22">
        <v>0</v>
      </c>
      <c r="GP22">
        <v>0</v>
      </c>
      <c r="GQ22">
        <v>0</v>
      </c>
      <c r="GR22">
        <v>5.9571477559417101E-2</v>
      </c>
      <c r="GS22">
        <v>1.10616236145575E-3</v>
      </c>
      <c r="GT22">
        <v>1.2408809210123799E-4</v>
      </c>
      <c r="GU22">
        <v>3.73253258480069E-2</v>
      </c>
      <c r="GV22">
        <v>6.9308119042298805E-4</v>
      </c>
      <c r="GW22">
        <v>7.7749095058396E-5</v>
      </c>
      <c r="GX22">
        <v>0.117223957644827</v>
      </c>
      <c r="GY22">
        <v>0.12792669401862999</v>
      </c>
      <c r="GZ22">
        <v>59.065666751962397</v>
      </c>
      <c r="HA22">
        <v>677.53534795551604</v>
      </c>
      <c r="HB22">
        <v>0</v>
      </c>
      <c r="HC22">
        <v>0.99981310672964196</v>
      </c>
      <c r="HD22">
        <v>0.40519946380870903</v>
      </c>
      <c r="HE22">
        <v>1.05226560316435E-2</v>
      </c>
      <c r="HF22">
        <v>9.1133056798019805E-4</v>
      </c>
      <c r="HG22">
        <v>1.2325177162982801E-2</v>
      </c>
      <c r="HH22" s="159">
        <v>4.7618752939478502E-7</v>
      </c>
      <c r="HI22" s="159">
        <v>3.3333254600622702E-7</v>
      </c>
      <c r="HJ22">
        <v>0</v>
      </c>
      <c r="HK22">
        <v>0</v>
      </c>
      <c r="HL22">
        <v>0</v>
      </c>
      <c r="HM22">
        <v>0</v>
      </c>
      <c r="HN22">
        <v>0</v>
      </c>
      <c r="HO22">
        <v>1.08987587070077E-2</v>
      </c>
      <c r="HP22">
        <v>0.53312615782733996</v>
      </c>
      <c r="HQ22">
        <v>1.05226560316435E-2</v>
      </c>
      <c r="HR22">
        <v>9.1133056798019805E-4</v>
      </c>
      <c r="HS22">
        <v>0.72998065712562699</v>
      </c>
      <c r="HT22">
        <v>-999</v>
      </c>
      <c r="HU22">
        <v>1</v>
      </c>
      <c r="HV22">
        <v>0.77823161150186004</v>
      </c>
      <c r="HW22">
        <v>0.22176838849813901</v>
      </c>
      <c r="HX22">
        <v>12502.313081869201</v>
      </c>
      <c r="HY22">
        <v>400.91047335755098</v>
      </c>
      <c r="HZ22">
        <v>40.256231961648098</v>
      </c>
      <c r="IA22">
        <v>-0.12792669401862999</v>
      </c>
      <c r="IB22">
        <v>0</v>
      </c>
      <c r="IC22">
        <v>0</v>
      </c>
      <c r="ID22">
        <v>0</v>
      </c>
      <c r="IE22">
        <v>0</v>
      </c>
      <c r="IF22">
        <v>0</v>
      </c>
      <c r="IG22">
        <v>0</v>
      </c>
      <c r="IH22">
        <v>0</v>
      </c>
      <c r="II22">
        <v>46.337800049999601</v>
      </c>
      <c r="IJ22">
        <v>463.37800049999902</v>
      </c>
      <c r="IK22">
        <v>1.00483102212723E-2</v>
      </c>
      <c r="IL22">
        <v>2.1741207393776302E-3</v>
      </c>
      <c r="IM22">
        <v>1.2222430960649899E-2</v>
      </c>
      <c r="IN22">
        <v>1.08095279128921E-3</v>
      </c>
      <c r="IO22">
        <v>0.42136234291043401</v>
      </c>
      <c r="IP22">
        <v>1.8166651340143398E-2</v>
      </c>
      <c r="IQ22">
        <v>1.7992167774075201E-3</v>
      </c>
      <c r="IR22">
        <v>0.29911022351717897</v>
      </c>
      <c r="IS22">
        <v>0.24953153304418099</v>
      </c>
      <c r="IT22">
        <v>0.25195142776051999</v>
      </c>
      <c r="IU22">
        <v>0.29532855834077198</v>
      </c>
      <c r="IV22">
        <v>1.36334989809583E-2</v>
      </c>
      <c r="IW22">
        <v>1.3459015414890099E-3</v>
      </c>
      <c r="IX22">
        <v>7.5131788558610899E-2</v>
      </c>
      <c r="IY22">
        <v>2.7023218077372999E-3</v>
      </c>
      <c r="IZ22">
        <v>2.7023218077372799E-4</v>
      </c>
      <c r="JA22">
        <v>7.5128800482866395E-2</v>
      </c>
      <c r="JB22">
        <v>2.70221433335924E-3</v>
      </c>
      <c r="JC22">
        <v>2.7022143333592201E-4</v>
      </c>
      <c r="JD22">
        <v>1.67691002203425E-4</v>
      </c>
      <c r="JE22">
        <v>3.1401187203163399E-3</v>
      </c>
      <c r="JF22" s="159">
        <v>5.2177229550864901E-19</v>
      </c>
      <c r="JG22">
        <v>0</v>
      </c>
      <c r="JH22">
        <v>4.1132823536675998E-3</v>
      </c>
      <c r="JI22">
        <v>5.3517018353571903E-4</v>
      </c>
      <c r="JJ22">
        <v>-0.498384052842269</v>
      </c>
      <c r="JK22">
        <v>1.67691002203425E-4</v>
      </c>
      <c r="JL22" s="159">
        <v>6.5753399999999896E-6</v>
      </c>
      <c r="JM22">
        <v>-0.498384052842269</v>
      </c>
      <c r="JN22">
        <v>0</v>
      </c>
      <c r="JO22">
        <v>1.8334276847580799</v>
      </c>
      <c r="JP22">
        <v>-6.6380001360782301E-3</v>
      </c>
      <c r="JQ22">
        <v>5.2431721427796403E-4</v>
      </c>
      <c r="JR22">
        <v>5.1784675250651398E-2</v>
      </c>
      <c r="JS22">
        <v>1508.9358526752601</v>
      </c>
      <c r="JT22">
        <v>4.9876100399865703E-2</v>
      </c>
      <c r="JU22">
        <v>0</v>
      </c>
      <c r="JV22">
        <v>365</v>
      </c>
      <c r="JW22">
        <v>0</v>
      </c>
      <c r="JX22">
        <v>-0.40268092994350901</v>
      </c>
      <c r="JY22">
        <v>0</v>
      </c>
      <c r="JZ22">
        <v>1.3072580475659901</v>
      </c>
      <c r="KA22">
        <v>1.3980832006358801</v>
      </c>
      <c r="KB22">
        <v>1.4153935543712901</v>
      </c>
      <c r="KC22">
        <v>0</v>
      </c>
      <c r="KD22">
        <v>0</v>
      </c>
      <c r="KE22">
        <v>0</v>
      </c>
      <c r="KF22">
        <v>3.5066281904401102E-3</v>
      </c>
      <c r="KG22">
        <v>2.1892998445402299E-2</v>
      </c>
      <c r="KH22">
        <v>4.0151133525069403E-2</v>
      </c>
      <c r="KI22">
        <v>0</v>
      </c>
      <c r="KJ22">
        <v>0</v>
      </c>
      <c r="KK22">
        <v>0</v>
      </c>
      <c r="KL22">
        <v>0</v>
      </c>
      <c r="KM22">
        <v>0</v>
      </c>
      <c r="KN22">
        <v>0</v>
      </c>
      <c r="KO22">
        <v>0</v>
      </c>
      <c r="KP22">
        <v>0</v>
      </c>
      <c r="KQ22">
        <v>0</v>
      </c>
      <c r="KR22">
        <v>0</v>
      </c>
      <c r="KS22">
        <v>0</v>
      </c>
      <c r="KT22">
        <v>0</v>
      </c>
      <c r="KU22">
        <v>0.34999999999999898</v>
      </c>
      <c r="KV22">
        <v>-0.117765558010532</v>
      </c>
      <c r="KW22">
        <v>1.86613799119444E-3</v>
      </c>
      <c r="KX22">
        <v>31991.209717068599</v>
      </c>
      <c r="KY22">
        <v>0</v>
      </c>
      <c r="KZ22">
        <v>0.21017607944304501</v>
      </c>
      <c r="LA22">
        <v>1.73602675993533E-5</v>
      </c>
      <c r="LB22">
        <v>0</v>
      </c>
      <c r="LC22">
        <v>-12.1609599901468</v>
      </c>
      <c r="LD22">
        <v>1.57030394618283E-2</v>
      </c>
      <c r="LE22">
        <v>3.3990938319135499E-3</v>
      </c>
      <c r="LF22">
        <v>1.57030394618283E-2</v>
      </c>
      <c r="LG22">
        <v>0.94076250865391098</v>
      </c>
      <c r="LH22">
        <v>1.2270028507430799</v>
      </c>
      <c r="LI22">
        <v>0</v>
      </c>
      <c r="LJ22">
        <v>0</v>
      </c>
      <c r="LK22">
        <v>0.24048869546748899</v>
      </c>
      <c r="LL22">
        <v>0</v>
      </c>
      <c r="LM22">
        <v>0</v>
      </c>
      <c r="LN22">
        <v>0</v>
      </c>
      <c r="LO22">
        <v>0</v>
      </c>
      <c r="LP22">
        <v>0</v>
      </c>
      <c r="LQ22">
        <v>0</v>
      </c>
      <c r="LR22">
        <v>0</v>
      </c>
      <c r="LS22">
        <v>0</v>
      </c>
      <c r="LT22">
        <v>-999</v>
      </c>
      <c r="LU22">
        <v>0.425575048456246</v>
      </c>
      <c r="LV22">
        <v>21</v>
      </c>
      <c r="LW22">
        <v>79.2</v>
      </c>
      <c r="LX22">
        <v>0.73999999999999899</v>
      </c>
      <c r="LY22">
        <v>0</v>
      </c>
      <c r="LZ22">
        <v>-999</v>
      </c>
      <c r="MA22">
        <v>0</v>
      </c>
      <c r="MB22">
        <v>0</v>
      </c>
      <c r="MC22">
        <v>479.19999999999902</v>
      </c>
      <c r="MD22">
        <v>-23.6999999999999</v>
      </c>
      <c r="ME22">
        <v>-33.6</v>
      </c>
      <c r="MF22">
        <v>0</v>
      </c>
      <c r="MG22">
        <v>8.0706896550000007</v>
      </c>
      <c r="MH22">
        <v>0</v>
      </c>
      <c r="MI22">
        <v>0</v>
      </c>
      <c r="MJ22">
        <v>0</v>
      </c>
      <c r="MK22">
        <v>0</v>
      </c>
      <c r="ML22">
        <v>0</v>
      </c>
      <c r="MM22">
        <v>0</v>
      </c>
      <c r="MN22">
        <v>0</v>
      </c>
      <c r="MO22">
        <v>0</v>
      </c>
      <c r="MP22">
        <v>0</v>
      </c>
      <c r="MQ22">
        <v>0</v>
      </c>
      <c r="MR22">
        <v>0</v>
      </c>
      <c r="MS22">
        <v>0</v>
      </c>
      <c r="MT22">
        <v>0</v>
      </c>
      <c r="MU22">
        <v>0</v>
      </c>
      <c r="MV22">
        <v>0</v>
      </c>
    </row>
    <row r="23" spans="1:360" x14ac:dyDescent="0.25">
      <c r="A23">
        <v>8030</v>
      </c>
      <c r="B23">
        <v>0</v>
      </c>
      <c r="C23">
        <v>-33.6</v>
      </c>
      <c r="D23">
        <v>-23.6999999999999</v>
      </c>
      <c r="E23">
        <v>400</v>
      </c>
      <c r="F23">
        <v>0</v>
      </c>
      <c r="G23">
        <v>0</v>
      </c>
      <c r="H23">
        <v>0</v>
      </c>
      <c r="I23">
        <v>0</v>
      </c>
      <c r="J23">
        <v>0</v>
      </c>
      <c r="K23">
        <v>0</v>
      </c>
      <c r="L23" s="159">
        <v>6.5753399999999896E-6</v>
      </c>
      <c r="M23">
        <v>0</v>
      </c>
      <c r="N23">
        <v>0</v>
      </c>
      <c r="O23">
        <v>0</v>
      </c>
      <c r="P23">
        <v>0</v>
      </c>
      <c r="Q23">
        <v>0</v>
      </c>
      <c r="R23">
        <v>0</v>
      </c>
      <c r="S23">
        <v>0</v>
      </c>
      <c r="T23">
        <v>0</v>
      </c>
      <c r="U23">
        <v>678.67327725297196</v>
      </c>
      <c r="V23">
        <v>13.5086395208646</v>
      </c>
      <c r="W23">
        <v>1.30693111089292</v>
      </c>
      <c r="X23">
        <v>0.36516347740434502</v>
      </c>
      <c r="Y23">
        <v>0.28412061275998401</v>
      </c>
      <c r="Z23">
        <v>0.35071590983566903</v>
      </c>
      <c r="AA23">
        <v>0.112833468943663</v>
      </c>
      <c r="AB23">
        <v>0.49202420197614999</v>
      </c>
      <c r="AC23">
        <v>0.39514232908018598</v>
      </c>
      <c r="AD23">
        <v>0.88429340569372406</v>
      </c>
      <c r="AE23">
        <v>4.3893793556542E-2</v>
      </c>
      <c r="AF23">
        <v>7.1812800749733702E-2</v>
      </c>
      <c r="AG23">
        <v>0</v>
      </c>
      <c r="AH23">
        <v>3400.61103529812</v>
      </c>
      <c r="AI23">
        <v>80.378461192467498</v>
      </c>
      <c r="AJ23">
        <v>8.1152318089156203</v>
      </c>
      <c r="AK23">
        <v>395.966919315577</v>
      </c>
      <c r="AL23">
        <v>7.3525740920495704</v>
      </c>
      <c r="AM23">
        <v>0.82480377465990595</v>
      </c>
      <c r="AN23">
        <v>8706.4981999729007</v>
      </c>
      <c r="AO23">
        <v>313.15319928073001</v>
      </c>
      <c r="AP23">
        <v>31.3153199280728</v>
      </c>
      <c r="AQ23">
        <v>2.9228617745676099E-2</v>
      </c>
      <c r="AR23">
        <v>5.9746031860961101E-3</v>
      </c>
      <c r="AS23">
        <v>2.4402824699626499E-2</v>
      </c>
      <c r="AT23">
        <v>9.48</v>
      </c>
      <c r="AU23">
        <v>5.9968484468051999</v>
      </c>
      <c r="AV23">
        <v>0</v>
      </c>
      <c r="AW23">
        <v>84.208061673187203</v>
      </c>
      <c r="AX23">
        <v>66.194617971568107</v>
      </c>
      <c r="AY23">
        <v>361.57075187335602</v>
      </c>
      <c r="AZ23">
        <v>0.54833294000258703</v>
      </c>
      <c r="BA23">
        <v>0.82287926352994201</v>
      </c>
      <c r="BB23">
        <v>1.38479150088371E-2</v>
      </c>
      <c r="BC23">
        <v>1.1551738742094999E-3</v>
      </c>
      <c r="BD23">
        <v>0.59222245400238005</v>
      </c>
      <c r="BE23">
        <v>9.1746941836687995E-3</v>
      </c>
      <c r="BF23">
        <v>7.5339634044948602E-4</v>
      </c>
      <c r="BG23">
        <v>766.29999847710098</v>
      </c>
      <c r="BH23">
        <v>-1626.59999865293</v>
      </c>
      <c r="BI23">
        <v>420.64044239500498</v>
      </c>
      <c r="BJ23">
        <v>209.07995009144099</v>
      </c>
      <c r="BK23">
        <v>3.8350266601877299</v>
      </c>
      <c r="BL23">
        <v>4.5761749517221704</v>
      </c>
      <c r="BM23">
        <v>191.02288663340701</v>
      </c>
      <c r="BN23">
        <v>21.587678553149299</v>
      </c>
      <c r="BO23">
        <v>212.61056518655599</v>
      </c>
      <c r="BP23">
        <v>3.4244786657685902</v>
      </c>
      <c r="BQ23">
        <v>0.28740677248278801</v>
      </c>
      <c r="BR23">
        <v>205.24492343125399</v>
      </c>
      <c r="BS23">
        <v>2.17958273328084</v>
      </c>
      <c r="BT23">
        <v>0.28828322248251798</v>
      </c>
      <c r="BU23">
        <v>3.4437227318913699</v>
      </c>
      <c r="BV23">
        <v>1.66286890337041</v>
      </c>
      <c r="BW23">
        <v>0.54404978751496802</v>
      </c>
      <c r="BX23">
        <v>1.23680404100599</v>
      </c>
      <c r="BY23">
        <v>0</v>
      </c>
      <c r="BZ23">
        <v>3.0236244572611501</v>
      </c>
      <c r="CA23">
        <v>0.40085420850745002</v>
      </c>
      <c r="CB23">
        <v>0.28929042783820502</v>
      </c>
      <c r="CC23">
        <v>0.24243938281407801</v>
      </c>
      <c r="CD23">
        <v>4.4967389668710001E-2</v>
      </c>
      <c r="CE23">
        <v>21.203444227752701</v>
      </c>
      <c r="CF23">
        <v>162.607357796153</v>
      </c>
      <c r="CG23">
        <v>42.382767508253401</v>
      </c>
      <c r="CH23">
        <v>0.39371949293305503</v>
      </c>
      <c r="CI23">
        <v>7.07593836313122</v>
      </c>
      <c r="CJ23">
        <v>1.6978753384023599</v>
      </c>
      <c r="CK23">
        <v>9.4198188951997999</v>
      </c>
      <c r="CL23">
        <v>1.52441302286403</v>
      </c>
      <c r="CM23">
        <v>9.4225365986576506E-2</v>
      </c>
      <c r="CN23">
        <v>4.4167025025904097E-2</v>
      </c>
      <c r="CO23">
        <v>0.71169230792463301</v>
      </c>
      <c r="CP23">
        <v>0.84661777644569003</v>
      </c>
      <c r="CQ23">
        <v>0.15244130228640199</v>
      </c>
      <c r="CR23">
        <v>42.637565635100103</v>
      </c>
      <c r="CS23">
        <v>1.5335775396146401</v>
      </c>
      <c r="CT23">
        <v>0.15335775396146301</v>
      </c>
      <c r="CU23">
        <v>1.47E-2</v>
      </c>
      <c r="CV23">
        <v>1.94680304028668E-3</v>
      </c>
      <c r="CW23">
        <v>2.2273078158572099</v>
      </c>
      <c r="CX23">
        <v>2.0299999999999901E-2</v>
      </c>
      <c r="CY23">
        <v>5.6731770367678203E-3</v>
      </c>
      <c r="CZ23">
        <v>0</v>
      </c>
      <c r="DA23">
        <v>2.39999910000286E-3</v>
      </c>
      <c r="DB23">
        <v>1.49924932280877E-3</v>
      </c>
      <c r="DC23">
        <v>2E-3</v>
      </c>
      <c r="DD23">
        <v>3.8580517358041801E-3</v>
      </c>
      <c r="DE23">
        <v>1.2154221025789599E-3</v>
      </c>
      <c r="DF23">
        <v>2.3999991000000099E-3</v>
      </c>
      <c r="DG23">
        <v>0</v>
      </c>
      <c r="DH23">
        <v>0</v>
      </c>
      <c r="DI23">
        <v>0.23180769400000001</v>
      </c>
      <c r="DJ23">
        <v>1.8846155199999898E-2</v>
      </c>
      <c r="DK23">
        <v>2.2582017801707202</v>
      </c>
      <c r="DL23">
        <v>0.14740220497197901</v>
      </c>
      <c r="DM23">
        <v>84.650551347382006</v>
      </c>
      <c r="DN23">
        <v>211.63694731450201</v>
      </c>
      <c r="DO23">
        <v>327.66000000000003</v>
      </c>
      <c r="DP23">
        <v>31.321972571539401</v>
      </c>
      <c r="DQ23">
        <v>157.94999999999899</v>
      </c>
      <c r="DR23">
        <v>169.71</v>
      </c>
      <c r="DS23">
        <v>155.29051106101599</v>
      </c>
      <c r="DT23">
        <v>0</v>
      </c>
      <c r="DU23">
        <v>0</v>
      </c>
      <c r="DV23">
        <v>0</v>
      </c>
      <c r="DW23">
        <v>0</v>
      </c>
      <c r="DX23">
        <v>0</v>
      </c>
      <c r="DY23">
        <v>0</v>
      </c>
      <c r="DZ23">
        <v>0</v>
      </c>
      <c r="EA23">
        <v>0</v>
      </c>
      <c r="EB23">
        <v>0</v>
      </c>
      <c r="EC23">
        <v>0</v>
      </c>
      <c r="ED23">
        <v>0</v>
      </c>
      <c r="EE23">
        <v>0</v>
      </c>
      <c r="EF23">
        <v>1.3122615492419201</v>
      </c>
      <c r="EG23">
        <v>0</v>
      </c>
      <c r="EH23">
        <v>0</v>
      </c>
      <c r="EI23">
        <v>0</v>
      </c>
      <c r="EJ23">
        <v>0</v>
      </c>
      <c r="EK23">
        <v>0</v>
      </c>
      <c r="EL23">
        <v>0</v>
      </c>
      <c r="EM23">
        <v>0</v>
      </c>
      <c r="EN23">
        <v>0</v>
      </c>
      <c r="EO23">
        <v>0</v>
      </c>
      <c r="EP23">
        <v>0</v>
      </c>
      <c r="EQ23">
        <v>0</v>
      </c>
      <c r="ER23">
        <v>0</v>
      </c>
      <c r="ES23">
        <v>0</v>
      </c>
      <c r="ET23">
        <v>0</v>
      </c>
      <c r="EU23">
        <v>0</v>
      </c>
      <c r="EV23">
        <v>794.18195276641904</v>
      </c>
      <c r="EW23">
        <v>-28.649999999999899</v>
      </c>
      <c r="EX23">
        <v>1428.7858468483601</v>
      </c>
      <c r="EY23">
        <v>822.79106848971605</v>
      </c>
      <c r="EZ23">
        <v>99.649341175558305</v>
      </c>
      <c r="FA23">
        <v>641.05961683720705</v>
      </c>
      <c r="FB23">
        <v>688.076904296875</v>
      </c>
      <c r="FC23">
        <v>0.42978760849018199</v>
      </c>
      <c r="FD23">
        <v>0.78380775097727096</v>
      </c>
      <c r="FE23">
        <v>0</v>
      </c>
      <c r="FF23">
        <v>1</v>
      </c>
      <c r="FG23" s="159">
        <v>5.9138431232718702E-13</v>
      </c>
      <c r="FH23">
        <v>0</v>
      </c>
      <c r="FI23">
        <v>5.4512674794765098E-5</v>
      </c>
      <c r="FJ23">
        <v>-5.6481755082690103E-3</v>
      </c>
      <c r="FK23" s="159">
        <v>6.57534000000779E-6</v>
      </c>
      <c r="FL23" s="159">
        <v>2.9374133831941302E-6</v>
      </c>
      <c r="FM23" s="159">
        <v>4.1074415596331897E-6</v>
      </c>
      <c r="FN23">
        <v>0</v>
      </c>
      <c r="FO23">
        <v>0</v>
      </c>
      <c r="FP23">
        <v>0</v>
      </c>
      <c r="FQ23">
        <v>0</v>
      </c>
      <c r="FR23">
        <v>0</v>
      </c>
      <c r="FS23">
        <v>0</v>
      </c>
      <c r="FT23">
        <v>0</v>
      </c>
      <c r="FU23">
        <v>0</v>
      </c>
      <c r="FV23">
        <v>-999</v>
      </c>
      <c r="FW23">
        <v>0.47139108424381099</v>
      </c>
      <c r="FX23">
        <v>3.1676733733218298E-3</v>
      </c>
      <c r="FY23">
        <v>1.16458536203859</v>
      </c>
      <c r="FZ23">
        <v>9.6721895134337197E-4</v>
      </c>
      <c r="GA23">
        <v>43.273252554389302</v>
      </c>
      <c r="GB23">
        <v>1.0686137026327E-2</v>
      </c>
      <c r="GC23">
        <v>2.8881451422505598E-3</v>
      </c>
      <c r="GD23">
        <v>0</v>
      </c>
      <c r="GE23">
        <v>7.0230374669157701E-3</v>
      </c>
      <c r="GF23">
        <v>0.47253234573672898</v>
      </c>
      <c r="GG23">
        <v>5.5884842664816095E-4</v>
      </c>
      <c r="GH23">
        <v>9.4546285929849108E-3</v>
      </c>
      <c r="GI23">
        <v>1.86208164131287E-2</v>
      </c>
      <c r="GJ23">
        <v>9.1471448557232905E-4</v>
      </c>
      <c r="GK23">
        <v>1.77804030186845E-3</v>
      </c>
      <c r="GL23">
        <v>0.383882647527716</v>
      </c>
      <c r="GM23">
        <v>6.4026158321195603E-3</v>
      </c>
      <c r="GN23">
        <v>5.3046704939385496E-4</v>
      </c>
      <c r="GO23">
        <v>0</v>
      </c>
      <c r="GP23">
        <v>0</v>
      </c>
      <c r="GQ23">
        <v>0</v>
      </c>
      <c r="GR23">
        <v>5.9627503248446102E-2</v>
      </c>
      <c r="GS23">
        <v>1.1072026832845399E-3</v>
      </c>
      <c r="GT23">
        <v>1.24204794273907E-4</v>
      </c>
      <c r="GU23">
        <v>3.7361888900891399E-2</v>
      </c>
      <c r="GV23">
        <v>6.9376011722785901E-4</v>
      </c>
      <c r="GW23">
        <v>7.78252563298587E-5</v>
      </c>
      <c r="GX23">
        <v>0.11744137314290801</v>
      </c>
      <c r="GY23">
        <v>0.12813696836748001</v>
      </c>
      <c r="GZ23">
        <v>59.057372673711903</v>
      </c>
      <c r="HA23">
        <v>677.45413991141197</v>
      </c>
      <c r="HB23">
        <v>0</v>
      </c>
      <c r="HC23">
        <v>0.99981310298890402</v>
      </c>
      <c r="HD23">
        <v>0.40584571175317202</v>
      </c>
      <c r="HE23">
        <v>1.05391737512934E-2</v>
      </c>
      <c r="HF23">
        <v>9.1274967089573103E-4</v>
      </c>
      <c r="HG23">
        <v>1.23516488468436E-2</v>
      </c>
      <c r="HH23" s="159">
        <v>4.7618753638482902E-7</v>
      </c>
      <c r="HI23" s="159">
        <v>3.3333254598184301E-7</v>
      </c>
      <c r="HJ23">
        <v>0</v>
      </c>
      <c r="HK23">
        <v>0</v>
      </c>
      <c r="HL23">
        <v>0</v>
      </c>
      <c r="HM23">
        <v>0</v>
      </c>
      <c r="HN23">
        <v>0</v>
      </c>
      <c r="HO23">
        <v>1.09225264639294E-2</v>
      </c>
      <c r="HP23">
        <v>0.53398268012065297</v>
      </c>
      <c r="HQ23">
        <v>1.05391737512934E-2</v>
      </c>
      <c r="HR23">
        <v>9.1274967089573103E-4</v>
      </c>
      <c r="HS23">
        <v>0.72959594854680199</v>
      </c>
      <c r="HT23">
        <v>-999</v>
      </c>
      <c r="HU23">
        <v>1</v>
      </c>
      <c r="HV23">
        <v>0.77912806955222702</v>
      </c>
      <c r="HW23">
        <v>0.22087193044777201</v>
      </c>
      <c r="HX23">
        <v>12503.076154586601</v>
      </c>
      <c r="HY23">
        <v>400.88423456524703</v>
      </c>
      <c r="HZ23">
        <v>40.255355511648297</v>
      </c>
      <c r="IA23">
        <v>-0.12813696836748001</v>
      </c>
      <c r="IB23">
        <v>0</v>
      </c>
      <c r="IC23">
        <v>0</v>
      </c>
      <c r="ID23">
        <v>0</v>
      </c>
      <c r="IE23">
        <v>0</v>
      </c>
      <c r="IF23">
        <v>0</v>
      </c>
      <c r="IG23">
        <v>0</v>
      </c>
      <c r="IH23">
        <v>0</v>
      </c>
      <c r="II23">
        <v>46.337800049999601</v>
      </c>
      <c r="IJ23">
        <v>463.37800049999902</v>
      </c>
      <c r="IK23">
        <v>1.0066878527435401E-2</v>
      </c>
      <c r="IL23">
        <v>2.17878916846233E-3</v>
      </c>
      <c r="IM23">
        <v>1.2245667695897701E-2</v>
      </c>
      <c r="IN23">
        <v>1.0736223322272899E-3</v>
      </c>
      <c r="IO23">
        <v>0.42144435002498898</v>
      </c>
      <c r="IP23">
        <v>1.8188467869705498E-2</v>
      </c>
      <c r="IQ23">
        <v>1.7918249566972501E-3</v>
      </c>
      <c r="IR23">
        <v>0.29885983432944002</v>
      </c>
      <c r="IS23">
        <v>0.24907205760200499</v>
      </c>
      <c r="IT23">
        <v>0.25282821851559401</v>
      </c>
      <c r="IU23">
        <v>0.29549156139744198</v>
      </c>
      <c r="IV23">
        <v>1.3658228752770001E-2</v>
      </c>
      <c r="IW23">
        <v>1.3388010450036999E-3</v>
      </c>
      <c r="IX23">
        <v>7.5116746518091901E-2</v>
      </c>
      <c r="IY23">
        <v>2.7017807793003798E-3</v>
      </c>
      <c r="IZ23">
        <v>2.70178077930036E-4</v>
      </c>
      <c r="JA23">
        <v>7.5127222222976006E-2</v>
      </c>
      <c r="JB23">
        <v>2.70215756689325E-3</v>
      </c>
      <c r="JC23">
        <v>2.7021575668932402E-4</v>
      </c>
      <c r="JD23">
        <v>1.6796240729302701E-4</v>
      </c>
      <c r="JE23">
        <v>3.1438120174991902E-3</v>
      </c>
      <c r="JF23" s="159">
        <v>1.1655173354219099E-18</v>
      </c>
      <c r="JG23">
        <v>0</v>
      </c>
      <c r="JH23">
        <v>4.1147186237654801E-3</v>
      </c>
      <c r="JI23">
        <v>5.3539446946573204E-4</v>
      </c>
      <c r="JJ23">
        <v>-0.49875575198789901</v>
      </c>
      <c r="JK23">
        <v>1.6796240729302701E-4</v>
      </c>
      <c r="JL23" s="159">
        <v>6.5753399999999896E-6</v>
      </c>
      <c r="JM23">
        <v>-0.49875575198789901</v>
      </c>
      <c r="JN23">
        <v>0</v>
      </c>
      <c r="JO23">
        <v>1.80863257401698</v>
      </c>
      <c r="JP23">
        <v>-6.9506638624571102E-3</v>
      </c>
      <c r="JQ23">
        <v>5.4194736419583103E-4</v>
      </c>
      <c r="JR23">
        <v>5.05287665757485E-2</v>
      </c>
      <c r="JS23">
        <v>1510.8679573218401</v>
      </c>
      <c r="JT23">
        <v>4.9713135387564E-2</v>
      </c>
      <c r="JU23">
        <v>0</v>
      </c>
      <c r="JV23">
        <v>365</v>
      </c>
      <c r="JW23">
        <v>0</v>
      </c>
      <c r="JX23">
        <v>-0.40268092994350901</v>
      </c>
      <c r="JY23">
        <v>0</v>
      </c>
      <c r="JZ23">
        <v>1.30776565434831</v>
      </c>
      <c r="KA23">
        <v>1.3983052648865499</v>
      </c>
      <c r="KB23">
        <v>1.4161515335593</v>
      </c>
      <c r="KC23">
        <v>0</v>
      </c>
      <c r="KD23">
        <v>0</v>
      </c>
      <c r="KE23">
        <v>0</v>
      </c>
      <c r="KF23">
        <v>3.5093580389613899E-3</v>
      </c>
      <c r="KG23">
        <v>2.19150694998511E-2</v>
      </c>
      <c r="KH23">
        <v>4.0095031022636701E-2</v>
      </c>
      <c r="KI23">
        <v>0</v>
      </c>
      <c r="KJ23">
        <v>0</v>
      </c>
      <c r="KK23">
        <v>0</v>
      </c>
      <c r="KL23">
        <v>0</v>
      </c>
      <c r="KM23">
        <v>0</v>
      </c>
      <c r="KN23">
        <v>0</v>
      </c>
      <c r="KO23">
        <v>0</v>
      </c>
      <c r="KP23">
        <v>0</v>
      </c>
      <c r="KQ23">
        <v>0</v>
      </c>
      <c r="KR23">
        <v>0</v>
      </c>
      <c r="KS23">
        <v>0</v>
      </c>
      <c r="KT23">
        <v>0</v>
      </c>
      <c r="KU23">
        <v>0.34999999999999898</v>
      </c>
      <c r="KV23">
        <v>-0.117647209641732</v>
      </c>
      <c r="KW23">
        <v>1.86433895361998E-3</v>
      </c>
      <c r="KX23">
        <v>32052.980841860299</v>
      </c>
      <c r="KY23">
        <v>0</v>
      </c>
      <c r="KZ23">
        <v>0.210182656178907</v>
      </c>
      <c r="LA23">
        <v>1.73602675993533E-5</v>
      </c>
      <c r="LB23">
        <v>0</v>
      </c>
      <c r="LC23">
        <v>-12.1601231759157</v>
      </c>
      <c r="LD23">
        <v>1.5703568785879699E-2</v>
      </c>
      <c r="LE23">
        <v>3.3995931942261801E-3</v>
      </c>
      <c r="LF23">
        <v>1.5703568785879699E-2</v>
      </c>
      <c r="LG23">
        <v>0.941147586421483</v>
      </c>
      <c r="LH23">
        <v>1.22744043911532</v>
      </c>
      <c r="LI23">
        <v>0</v>
      </c>
      <c r="LJ23">
        <v>0</v>
      </c>
      <c r="LK23">
        <v>0.24059446192339201</v>
      </c>
      <c r="LL23">
        <v>0</v>
      </c>
      <c r="LM23">
        <v>0</v>
      </c>
      <c r="LN23">
        <v>0</v>
      </c>
      <c r="LO23">
        <v>0</v>
      </c>
      <c r="LP23">
        <v>0</v>
      </c>
      <c r="LQ23">
        <v>0</v>
      </c>
      <c r="LR23">
        <v>0</v>
      </c>
      <c r="LS23">
        <v>0</v>
      </c>
      <c r="LT23">
        <v>-999</v>
      </c>
      <c r="LU23">
        <v>0.425578562548173</v>
      </c>
      <c r="LV23">
        <v>22</v>
      </c>
      <c r="LW23">
        <v>83.159999999999897</v>
      </c>
      <c r="LX23">
        <v>0.77699999999999902</v>
      </c>
      <c r="LY23">
        <v>0</v>
      </c>
      <c r="LZ23">
        <v>-999</v>
      </c>
      <c r="MA23">
        <v>0</v>
      </c>
      <c r="MB23">
        <v>0</v>
      </c>
      <c r="MC23">
        <v>483.159999999999</v>
      </c>
      <c r="MD23">
        <v>-23.6999999999999</v>
      </c>
      <c r="ME23">
        <v>-33.6</v>
      </c>
      <c r="MF23">
        <v>0</v>
      </c>
      <c r="MG23">
        <v>8.0706896550000007</v>
      </c>
      <c r="MH23">
        <v>0</v>
      </c>
      <c r="MI23">
        <v>0</v>
      </c>
      <c r="MJ23">
        <v>0</v>
      </c>
      <c r="MK23">
        <v>0</v>
      </c>
      <c r="ML23">
        <v>0</v>
      </c>
      <c r="MM23">
        <v>0</v>
      </c>
      <c r="MN23">
        <v>0</v>
      </c>
      <c r="MO23">
        <v>0</v>
      </c>
      <c r="MP23">
        <v>0</v>
      </c>
      <c r="MQ23">
        <v>0</v>
      </c>
      <c r="MR23">
        <v>0</v>
      </c>
      <c r="MS23">
        <v>0</v>
      </c>
      <c r="MT23">
        <v>0</v>
      </c>
      <c r="MU23">
        <v>0</v>
      </c>
      <c r="MV23">
        <v>0</v>
      </c>
    </row>
    <row r="24" spans="1:360" x14ac:dyDescent="0.25">
      <c r="A24">
        <v>8395</v>
      </c>
      <c r="B24">
        <v>0</v>
      </c>
      <c r="C24">
        <v>-33.6</v>
      </c>
      <c r="D24">
        <v>-23.6999999999999</v>
      </c>
      <c r="E24">
        <v>400</v>
      </c>
      <c r="F24">
        <v>0</v>
      </c>
      <c r="G24">
        <v>0</v>
      </c>
      <c r="H24">
        <v>0</v>
      </c>
      <c r="I24">
        <v>0</v>
      </c>
      <c r="J24">
        <v>0</v>
      </c>
      <c r="K24">
        <v>0</v>
      </c>
      <c r="L24" s="159">
        <v>6.5753399999999896E-6</v>
      </c>
      <c r="M24">
        <v>0</v>
      </c>
      <c r="N24">
        <v>0</v>
      </c>
      <c r="O24">
        <v>0</v>
      </c>
      <c r="P24">
        <v>0</v>
      </c>
      <c r="Q24">
        <v>0</v>
      </c>
      <c r="R24">
        <v>0</v>
      </c>
      <c r="S24">
        <v>0</v>
      </c>
      <c r="T24">
        <v>0</v>
      </c>
      <c r="U24">
        <v>679.72191353883795</v>
      </c>
      <c r="V24">
        <v>13.5277159322904</v>
      </c>
      <c r="W24">
        <v>1.30879374382958</v>
      </c>
      <c r="X24">
        <v>0.36333176518795801</v>
      </c>
      <c r="Y24">
        <v>0.28372972931074902</v>
      </c>
      <c r="Z24">
        <v>0.35293850550129202</v>
      </c>
      <c r="AA24">
        <v>0.112802490464512</v>
      </c>
      <c r="AB24">
        <v>0.49269122838664298</v>
      </c>
      <c r="AC24">
        <v>0.39450628114884401</v>
      </c>
      <c r="AD24">
        <v>0.884318641676754</v>
      </c>
      <c r="AE24">
        <v>4.3806263217874099E-2</v>
      </c>
      <c r="AF24">
        <v>7.1875095105371101E-2</v>
      </c>
      <c r="AG24">
        <v>0</v>
      </c>
      <c r="AH24">
        <v>3401.2253784248401</v>
      </c>
      <c r="AI24">
        <v>80.354359435409094</v>
      </c>
      <c r="AJ24">
        <v>8.1145393075284193</v>
      </c>
      <c r="AK24">
        <v>396.35048532324902</v>
      </c>
      <c r="AL24">
        <v>7.3596963978610201</v>
      </c>
      <c r="AM24">
        <v>0.82560274718898796</v>
      </c>
      <c r="AN24">
        <v>8706.23690645645</v>
      </c>
      <c r="AO24">
        <v>313.14380113939302</v>
      </c>
      <c r="AP24">
        <v>31.314380113939102</v>
      </c>
      <c r="AQ24">
        <v>2.92630417867576E-2</v>
      </c>
      <c r="AR24">
        <v>5.9841157845633604E-3</v>
      </c>
      <c r="AS24">
        <v>2.42258307919265E-2</v>
      </c>
      <c r="AT24">
        <v>9.48</v>
      </c>
      <c r="AU24">
        <v>5.9965554460035797</v>
      </c>
      <c r="AV24">
        <v>0</v>
      </c>
      <c r="AW24">
        <v>84.244442511820694</v>
      </c>
      <c r="AX24">
        <v>66.207780909175298</v>
      </c>
      <c r="AY24">
        <v>361.56687094605297</v>
      </c>
      <c r="AZ24">
        <v>0.54833294000258703</v>
      </c>
      <c r="BA24">
        <v>0.823635478252285</v>
      </c>
      <c r="BB24">
        <v>1.3856776288084099E-2</v>
      </c>
      <c r="BC24">
        <v>1.15604418903384E-3</v>
      </c>
      <c r="BD24">
        <v>0.59248297840401798</v>
      </c>
      <c r="BE24">
        <v>9.1788171833909193E-3</v>
      </c>
      <c r="BF24">
        <v>7.5347354466429798E-4</v>
      </c>
      <c r="BG24">
        <v>766.29999847710098</v>
      </c>
      <c r="BH24">
        <v>-1626.59999865293</v>
      </c>
      <c r="BI24">
        <v>420.986552206738</v>
      </c>
      <c r="BJ24">
        <v>209.184484413874</v>
      </c>
      <c r="BK24">
        <v>3.8184906999605399</v>
      </c>
      <c r="BL24">
        <v>4.5793661106357604</v>
      </c>
      <c r="BM24">
        <v>191.10649922022699</v>
      </c>
      <c r="BN24">
        <v>21.608715018416099</v>
      </c>
      <c r="BO24">
        <v>212.715214238643</v>
      </c>
      <c r="BP24">
        <v>3.4270922603043599</v>
      </c>
      <c r="BQ24">
        <v>0.28766007712618002</v>
      </c>
      <c r="BR24">
        <v>205.36599371391301</v>
      </c>
      <c r="BS24">
        <v>2.1811841149244802</v>
      </c>
      <c r="BT24">
        <v>0.28849342011786999</v>
      </c>
      <c r="BU24">
        <v>3.4461686717300801</v>
      </c>
      <c r="BV24">
        <v>1.66500339679081</v>
      </c>
      <c r="BW24">
        <v>0.54349875855122698</v>
      </c>
      <c r="BX24">
        <v>1.23766651638804</v>
      </c>
      <c r="BY24">
        <v>0</v>
      </c>
      <c r="BZ24">
        <v>3.0258474328791101</v>
      </c>
      <c r="CA24">
        <v>0.40124482742525402</v>
      </c>
      <c r="CB24">
        <v>0.28952271006284502</v>
      </c>
      <c r="CC24">
        <v>0.24264886825159299</v>
      </c>
      <c r="CD24">
        <v>4.5011208874585998E-2</v>
      </c>
      <c r="CE24">
        <v>21.225149010745302</v>
      </c>
      <c r="CF24">
        <v>162.727423807126</v>
      </c>
      <c r="CG24">
        <v>42.377276390340803</v>
      </c>
      <c r="CH24">
        <v>0.39412252161378403</v>
      </c>
      <c r="CI24">
        <v>7.0822849112088999</v>
      </c>
      <c r="CJ24">
        <v>1.6988754391610399</v>
      </c>
      <c r="CK24">
        <v>9.4287308042812494</v>
      </c>
      <c r="CL24">
        <v>1.5242155196770399</v>
      </c>
      <c r="CM24">
        <v>9.4383610832099799E-2</v>
      </c>
      <c r="CN24">
        <v>4.4212236345504703E-2</v>
      </c>
      <c r="CO24">
        <v>0.70674025028276399</v>
      </c>
      <c r="CP24">
        <v>0.84187230429931303</v>
      </c>
      <c r="CQ24">
        <v>0.15242155196770299</v>
      </c>
      <c r="CR24">
        <v>42.638569906787502</v>
      </c>
      <c r="CS24">
        <v>1.53361366101323</v>
      </c>
      <c r="CT24">
        <v>0.15336136610132201</v>
      </c>
      <c r="CU24">
        <v>1.47000000000009E-2</v>
      </c>
      <c r="CV24">
        <v>1.9522241384124499E-3</v>
      </c>
      <c r="CW24">
        <v>2.2277695091152299</v>
      </c>
      <c r="CX24">
        <v>2.0300000000001199E-2</v>
      </c>
      <c r="CY24">
        <v>5.6857988044927699E-3</v>
      </c>
      <c r="CZ24">
        <v>0</v>
      </c>
      <c r="DA24">
        <v>2.39999910000287E-3</v>
      </c>
      <c r="DB24">
        <v>1.49917726346493E-3</v>
      </c>
      <c r="DC24">
        <v>2.0000000000001202E-3</v>
      </c>
      <c r="DD24">
        <v>3.8407038643401702E-3</v>
      </c>
      <c r="DE24">
        <v>1.2061764618520199E-3</v>
      </c>
      <c r="DF24">
        <v>2.3999991000000199E-3</v>
      </c>
      <c r="DG24">
        <v>0</v>
      </c>
      <c r="DH24">
        <v>0</v>
      </c>
      <c r="DI24">
        <v>0.231807694000014</v>
      </c>
      <c r="DJ24">
        <v>1.8846155200001199E-2</v>
      </c>
      <c r="DK24">
        <v>2.2650464901411098</v>
      </c>
      <c r="DL24">
        <v>0.14784898760712201</v>
      </c>
      <c r="DM24">
        <v>84.048503462786499</v>
      </c>
      <c r="DN24">
        <v>212.296814287622</v>
      </c>
      <c r="DO24">
        <v>327.66000000000003</v>
      </c>
      <c r="DP24">
        <v>31.265144514328998</v>
      </c>
      <c r="DQ24">
        <v>157.94999999999899</v>
      </c>
      <c r="DR24">
        <v>169.71</v>
      </c>
      <c r="DS24">
        <v>155.32758608440801</v>
      </c>
      <c r="DT24">
        <v>0</v>
      </c>
      <c r="DU24">
        <v>0</v>
      </c>
      <c r="DV24">
        <v>0</v>
      </c>
      <c r="DW24">
        <v>0</v>
      </c>
      <c r="DX24">
        <v>0</v>
      </c>
      <c r="DY24">
        <v>0</v>
      </c>
      <c r="DZ24">
        <v>0</v>
      </c>
      <c r="EA24">
        <v>0</v>
      </c>
      <c r="EB24">
        <v>0</v>
      </c>
      <c r="EC24">
        <v>0</v>
      </c>
      <c r="ED24">
        <v>0</v>
      </c>
      <c r="EE24">
        <v>0</v>
      </c>
      <c r="EF24">
        <v>1.3104208182235799</v>
      </c>
      <c r="EG24">
        <v>0</v>
      </c>
      <c r="EH24">
        <v>0</v>
      </c>
      <c r="EI24">
        <v>0</v>
      </c>
      <c r="EJ24">
        <v>0</v>
      </c>
      <c r="EK24">
        <v>0</v>
      </c>
      <c r="EL24">
        <v>0</v>
      </c>
      <c r="EM24">
        <v>0</v>
      </c>
      <c r="EN24">
        <v>0</v>
      </c>
      <c r="EO24">
        <v>0</v>
      </c>
      <c r="EP24">
        <v>0</v>
      </c>
      <c r="EQ24">
        <v>0</v>
      </c>
      <c r="ER24">
        <v>0</v>
      </c>
      <c r="ES24">
        <v>0</v>
      </c>
      <c r="ET24">
        <v>0</v>
      </c>
      <c r="EU24">
        <v>0</v>
      </c>
      <c r="EV24">
        <v>795.25977247922197</v>
      </c>
      <c r="EW24">
        <v>-28.649999999999899</v>
      </c>
      <c r="EX24">
        <v>1430.9935021870201</v>
      </c>
      <c r="EY24">
        <v>823.43464123188301</v>
      </c>
      <c r="EZ24">
        <v>99.3313826285424</v>
      </c>
      <c r="FA24">
        <v>642.28305360690194</v>
      </c>
      <c r="FB24">
        <v>689.37908935546795</v>
      </c>
      <c r="FC24">
        <v>0.42841625327690303</v>
      </c>
      <c r="FD24">
        <v>0.78130679742654496</v>
      </c>
      <c r="FE24">
        <v>0</v>
      </c>
      <c r="FF24">
        <v>1</v>
      </c>
      <c r="FG24" s="159">
        <v>5.9146044316039E-13</v>
      </c>
      <c r="FH24">
        <v>0</v>
      </c>
      <c r="FI24">
        <v>5.4512674794765098E-5</v>
      </c>
      <c r="FJ24">
        <v>-5.6274164729976199E-3</v>
      </c>
      <c r="FK24" s="159">
        <v>6.57534000000779E-6</v>
      </c>
      <c r="FL24" s="159">
        <v>2.91598117918334E-6</v>
      </c>
      <c r="FM24" s="159">
        <v>4.1072408736094696E-6</v>
      </c>
      <c r="FN24">
        <v>0</v>
      </c>
      <c r="FO24">
        <v>0</v>
      </c>
      <c r="FP24">
        <v>0</v>
      </c>
      <c r="FQ24">
        <v>0</v>
      </c>
      <c r="FR24">
        <v>0</v>
      </c>
      <c r="FS24">
        <v>0</v>
      </c>
      <c r="FT24">
        <v>0</v>
      </c>
      <c r="FU24">
        <v>0</v>
      </c>
      <c r="FV24">
        <v>-999</v>
      </c>
      <c r="FW24">
        <v>0.471942713699951</v>
      </c>
      <c r="FX24">
        <v>3.1699669446536099E-3</v>
      </c>
      <c r="FY24">
        <v>1.16632899011614</v>
      </c>
      <c r="FZ24">
        <v>9.6622684037678003E-4</v>
      </c>
      <c r="GA24">
        <v>43.233784561996501</v>
      </c>
      <c r="GB24">
        <v>1.0680454821306E-2</v>
      </c>
      <c r="GC24">
        <v>2.8866094111638001E-3</v>
      </c>
      <c r="GD24">
        <v>0</v>
      </c>
      <c r="GE24">
        <v>7.0228031961942E-3</v>
      </c>
      <c r="GF24">
        <v>0.46908461526288098</v>
      </c>
      <c r="GG24">
        <v>5.5880378465887604E-4</v>
      </c>
      <c r="GH24">
        <v>9.4533734161724794E-3</v>
      </c>
      <c r="GI24">
        <v>1.8615620459788401E-2</v>
      </c>
      <c r="GJ24">
        <v>9.1460495231412097E-4</v>
      </c>
      <c r="GK24">
        <v>1.7776048267392501E-3</v>
      </c>
      <c r="GL24">
        <v>0.38449405830726102</v>
      </c>
      <c r="GM24">
        <v>6.4137878900625001E-3</v>
      </c>
      <c r="GN24">
        <v>5.3139998741766705E-4</v>
      </c>
      <c r="GO24">
        <v>0</v>
      </c>
      <c r="GP24">
        <v>0</v>
      </c>
      <c r="GQ24">
        <v>0</v>
      </c>
      <c r="GR24">
        <v>5.9683899082819E-2</v>
      </c>
      <c r="GS24">
        <v>1.10824987821544E-3</v>
      </c>
      <c r="GT24">
        <v>1.2432226746370299E-4</v>
      </c>
      <c r="GU24">
        <v>3.7398369895727902E-2</v>
      </c>
      <c r="GV24">
        <v>6.9443752032493798E-4</v>
      </c>
      <c r="GW24">
        <v>7.7901246673437005E-5</v>
      </c>
      <c r="GX24">
        <v>0.117655525770009</v>
      </c>
      <c r="GY24">
        <v>0.12834443036829199</v>
      </c>
      <c r="GZ24">
        <v>59.050216320805198</v>
      </c>
      <c r="HA24">
        <v>677.38734515033002</v>
      </c>
      <c r="HB24">
        <v>0</v>
      </c>
      <c r="HC24">
        <v>0.99981309974660304</v>
      </c>
      <c r="HD24">
        <v>0.40648439587193502</v>
      </c>
      <c r="HE24">
        <v>1.0555549847679001E-2</v>
      </c>
      <c r="HF24">
        <v>9.14156938142368E-4</v>
      </c>
      <c r="HG24">
        <v>1.23781269411436E-2</v>
      </c>
      <c r="HH24" s="159">
        <v>4.7618754336188298E-7</v>
      </c>
      <c r="HI24" s="159">
        <v>3.3333254597031801E-7</v>
      </c>
      <c r="HJ24">
        <v>0</v>
      </c>
      <c r="HK24">
        <v>0</v>
      </c>
      <c r="HL24">
        <v>0</v>
      </c>
      <c r="HM24">
        <v>0</v>
      </c>
      <c r="HN24">
        <v>0</v>
      </c>
      <c r="HO24">
        <v>1.09462532213999E-2</v>
      </c>
      <c r="HP24">
        <v>0.53482882624022698</v>
      </c>
      <c r="HQ24">
        <v>1.0555549847679001E-2</v>
      </c>
      <c r="HR24">
        <v>9.14156938142368E-4</v>
      </c>
      <c r="HS24">
        <v>0.72921630938978399</v>
      </c>
      <c r="HT24">
        <v>-999</v>
      </c>
      <c r="HU24">
        <v>1</v>
      </c>
      <c r="HV24">
        <v>0.78000489831958797</v>
      </c>
      <c r="HW24">
        <v>0.219995101680411</v>
      </c>
      <c r="HX24">
        <v>12503.8127702045</v>
      </c>
      <c r="HY24">
        <v>400.85785697266402</v>
      </c>
      <c r="HZ24">
        <v>40.2545221686565</v>
      </c>
      <c r="IA24">
        <v>-0.12834443036829199</v>
      </c>
      <c r="IB24">
        <v>0</v>
      </c>
      <c r="IC24">
        <v>0</v>
      </c>
      <c r="ID24">
        <v>0</v>
      </c>
      <c r="IE24">
        <v>0</v>
      </c>
      <c r="IF24">
        <v>0</v>
      </c>
      <c r="IG24">
        <v>0</v>
      </c>
      <c r="IH24">
        <v>0</v>
      </c>
      <c r="II24">
        <v>46.337800049999601</v>
      </c>
      <c r="IJ24">
        <v>463.37800049999902</v>
      </c>
      <c r="IK24">
        <v>1.0085292717979101E-2</v>
      </c>
      <c r="IL24">
        <v>2.1834369522822201E-3</v>
      </c>
      <c r="IM24">
        <v>1.22687296702613E-2</v>
      </c>
      <c r="IN24">
        <v>1.0664528293054499E-3</v>
      </c>
      <c r="IO24">
        <v>0.42152374647430801</v>
      </c>
      <c r="IP24">
        <v>1.8210110048718399E-2</v>
      </c>
      <c r="IQ24">
        <v>1.78459972055123E-3</v>
      </c>
      <c r="IR24">
        <v>0.29861428642246002</v>
      </c>
      <c r="IS24">
        <v>0.24861847325716799</v>
      </c>
      <c r="IT24">
        <v>0.25369104937206399</v>
      </c>
      <c r="IU24">
        <v>0.295650733710761</v>
      </c>
      <c r="IV24">
        <v>1.3682740290560999E-2</v>
      </c>
      <c r="IW24">
        <v>1.3318627447354999E-3</v>
      </c>
      <c r="IX24">
        <v>7.51019603400674E-2</v>
      </c>
      <c r="IY24">
        <v>2.7012489536631101E-3</v>
      </c>
      <c r="IZ24">
        <v>2.7012489536630899E-4</v>
      </c>
      <c r="JA24">
        <v>7.5125548513342397E-2</v>
      </c>
      <c r="JB24">
        <v>2.7020973673142299E-3</v>
      </c>
      <c r="JC24">
        <v>2.7020973673142097E-4</v>
      </c>
      <c r="JD24">
        <v>1.6822957216229E-4</v>
      </c>
      <c r="JE24">
        <v>3.14749065966018E-3</v>
      </c>
      <c r="JF24" s="159">
        <v>8.2670415652019703E-19</v>
      </c>
      <c r="JG24">
        <v>0</v>
      </c>
      <c r="JH24">
        <v>4.1161079876139203E-3</v>
      </c>
      <c r="JI24">
        <v>5.3561965216146403E-4</v>
      </c>
      <c r="JJ24">
        <v>-0.49912071259239599</v>
      </c>
      <c r="JK24">
        <v>1.6822957216229E-4</v>
      </c>
      <c r="JL24" s="159">
        <v>6.5753399999999896E-6</v>
      </c>
      <c r="JM24">
        <v>-0.49912071259239599</v>
      </c>
      <c r="JN24">
        <v>0</v>
      </c>
      <c r="JO24">
        <v>1.78525190381953</v>
      </c>
      <c r="JP24">
        <v>-7.2572445179245699E-3</v>
      </c>
      <c r="JQ24">
        <v>5.5929523565998297E-4</v>
      </c>
      <c r="JR24">
        <v>4.9537735261757997E-2</v>
      </c>
      <c r="JS24">
        <v>1512.81370718013</v>
      </c>
      <c r="JT24">
        <v>4.9554511997709202E-2</v>
      </c>
      <c r="JU24">
        <v>0</v>
      </c>
      <c r="JV24">
        <v>365</v>
      </c>
      <c r="JW24">
        <v>0</v>
      </c>
      <c r="JX24">
        <v>-0.40268092994350901</v>
      </c>
      <c r="JY24">
        <v>0</v>
      </c>
      <c r="JZ24">
        <v>1.30827342481239</v>
      </c>
      <c r="KA24">
        <v>1.3985200683105199</v>
      </c>
      <c r="KB24">
        <v>1.41689422022075</v>
      </c>
      <c r="KC24">
        <v>0</v>
      </c>
      <c r="KD24">
        <v>0</v>
      </c>
      <c r="KE24">
        <v>0</v>
      </c>
      <c r="KF24">
        <v>3.51204260638478E-3</v>
      </c>
      <c r="KG24">
        <v>2.19369829558346E-2</v>
      </c>
      <c r="KH24">
        <v>4.0039283558200398E-2</v>
      </c>
      <c r="KI24">
        <v>0</v>
      </c>
      <c r="KJ24">
        <v>0</v>
      </c>
      <c r="KK24">
        <v>0</v>
      </c>
      <c r="KL24">
        <v>0</v>
      </c>
      <c r="KM24">
        <v>0</v>
      </c>
      <c r="KN24">
        <v>0</v>
      </c>
      <c r="KO24">
        <v>0</v>
      </c>
      <c r="KP24">
        <v>0</v>
      </c>
      <c r="KQ24">
        <v>0</v>
      </c>
      <c r="KR24">
        <v>0</v>
      </c>
      <c r="KS24">
        <v>0</v>
      </c>
      <c r="KT24">
        <v>0</v>
      </c>
      <c r="KU24">
        <v>0.34999999999999898</v>
      </c>
      <c r="KV24">
        <v>-0.117530271090646</v>
      </c>
      <c r="KW24">
        <v>1.8625624875983999E-3</v>
      </c>
      <c r="KX24">
        <v>32114.152680345102</v>
      </c>
      <c r="KY24">
        <v>0</v>
      </c>
      <c r="KZ24">
        <v>0.21018878521461701</v>
      </c>
      <c r="LA24">
        <v>1.73602675993533E-5</v>
      </c>
      <c r="LB24">
        <v>0</v>
      </c>
      <c r="LC24">
        <v>-12.1593049753836</v>
      </c>
      <c r="LD24">
        <v>1.5704090540101301E-2</v>
      </c>
      <c r="LE24">
        <v>3.4000854151899399E-3</v>
      </c>
      <c r="LF24">
        <v>1.5704090540101301E-2</v>
      </c>
      <c r="LG24">
        <v>0.94152632202757203</v>
      </c>
      <c r="LH24">
        <v>1.2278708204858699</v>
      </c>
      <c r="LI24">
        <v>0</v>
      </c>
      <c r="LJ24">
        <v>0</v>
      </c>
      <c r="LK24">
        <v>0.24069840717662999</v>
      </c>
      <c r="LL24">
        <v>0</v>
      </c>
      <c r="LM24">
        <v>0</v>
      </c>
      <c r="LN24">
        <v>0</v>
      </c>
      <c r="LO24">
        <v>0</v>
      </c>
      <c r="LP24">
        <v>0</v>
      </c>
      <c r="LQ24">
        <v>0</v>
      </c>
      <c r="LR24">
        <v>0</v>
      </c>
      <c r="LS24">
        <v>0</v>
      </c>
      <c r="LT24">
        <v>-999</v>
      </c>
      <c r="LU24">
        <v>0.42558185363902801</v>
      </c>
      <c r="LV24">
        <v>23</v>
      </c>
      <c r="LW24">
        <v>87.12</v>
      </c>
      <c r="LX24">
        <v>0.81399999999999895</v>
      </c>
      <c r="LY24">
        <v>0</v>
      </c>
      <c r="LZ24">
        <v>-999</v>
      </c>
      <c r="MA24">
        <v>0</v>
      </c>
      <c r="MB24">
        <v>0</v>
      </c>
      <c r="MC24">
        <v>487.12</v>
      </c>
      <c r="MD24">
        <v>-23.6999999999999</v>
      </c>
      <c r="ME24">
        <v>-33.6</v>
      </c>
      <c r="MF24">
        <v>0</v>
      </c>
      <c r="MG24">
        <v>8.0706896550000007</v>
      </c>
      <c r="MH24">
        <v>0</v>
      </c>
      <c r="MI24">
        <v>0</v>
      </c>
      <c r="MJ24">
        <v>0</v>
      </c>
      <c r="MK24">
        <v>0</v>
      </c>
      <c r="ML24">
        <v>0</v>
      </c>
      <c r="MM24">
        <v>0</v>
      </c>
      <c r="MN24">
        <v>0</v>
      </c>
      <c r="MO24">
        <v>0</v>
      </c>
      <c r="MP24">
        <v>0</v>
      </c>
      <c r="MQ24">
        <v>0</v>
      </c>
      <c r="MR24">
        <v>0</v>
      </c>
      <c r="MS24">
        <v>0</v>
      </c>
      <c r="MT24">
        <v>0</v>
      </c>
      <c r="MU24">
        <v>0</v>
      </c>
      <c r="MV24">
        <v>0</v>
      </c>
    </row>
    <row r="25" spans="1:360" x14ac:dyDescent="0.25">
      <c r="A25">
        <v>8760</v>
      </c>
      <c r="B25">
        <v>0</v>
      </c>
      <c r="C25">
        <v>-33.6</v>
      </c>
      <c r="D25">
        <v>-23.6999999999999</v>
      </c>
      <c r="E25">
        <v>400</v>
      </c>
      <c r="F25">
        <v>0</v>
      </c>
      <c r="G25">
        <v>0</v>
      </c>
      <c r="H25">
        <v>0</v>
      </c>
      <c r="I25">
        <v>0</v>
      </c>
      <c r="J25">
        <v>0</v>
      </c>
      <c r="K25">
        <v>0</v>
      </c>
      <c r="L25" s="159">
        <v>6.5753399999999896E-6</v>
      </c>
      <c r="M25">
        <v>0</v>
      </c>
      <c r="N25">
        <v>0</v>
      </c>
      <c r="O25">
        <v>0</v>
      </c>
      <c r="P25">
        <v>0</v>
      </c>
      <c r="Q25">
        <v>0</v>
      </c>
      <c r="R25">
        <v>0</v>
      </c>
      <c r="S25">
        <v>0</v>
      </c>
      <c r="T25">
        <v>0</v>
      </c>
      <c r="U25">
        <v>680.78005277623197</v>
      </c>
      <c r="V25">
        <v>13.546665495566801</v>
      </c>
      <c r="W25">
        <v>1.3106389467617101</v>
      </c>
      <c r="X25">
        <v>0.36151831420791503</v>
      </c>
      <c r="Y25">
        <v>0.28333913652384302</v>
      </c>
      <c r="Z25">
        <v>0.35514254926824002</v>
      </c>
      <c r="AA25">
        <v>0.112773092655844</v>
      </c>
      <c r="AB25">
        <v>0.493371836849538</v>
      </c>
      <c r="AC25">
        <v>0.39385507049461699</v>
      </c>
      <c r="AD25">
        <v>0.88434063278725294</v>
      </c>
      <c r="AE25">
        <v>4.3719301106420499E-2</v>
      </c>
      <c r="AF25">
        <v>7.1940066106325598E-2</v>
      </c>
      <c r="AG25">
        <v>0</v>
      </c>
      <c r="AH25">
        <v>3401.8260492989002</v>
      </c>
      <c r="AI25">
        <v>80.330320781156303</v>
      </c>
      <c r="AJ25">
        <v>8.1139099747675303</v>
      </c>
      <c r="AK25">
        <v>396.73366953572901</v>
      </c>
      <c r="AL25">
        <v>7.3668116142483804</v>
      </c>
      <c r="AM25">
        <v>0.82640092443417301</v>
      </c>
      <c r="AN25">
        <v>8705.9693052760704</v>
      </c>
      <c r="AO25">
        <v>313.13417612554201</v>
      </c>
      <c r="AP25">
        <v>31.313417612554002</v>
      </c>
      <c r="AQ25">
        <v>2.9297088257302099E-2</v>
      </c>
      <c r="AR25">
        <v>5.9935433747867004E-3</v>
      </c>
      <c r="AS25">
        <v>2.4052676774657399E-2</v>
      </c>
      <c r="AT25">
        <v>9.48</v>
      </c>
      <c r="AU25">
        <v>5.9962534861597296</v>
      </c>
      <c r="AV25">
        <v>0</v>
      </c>
      <c r="AW25">
        <v>84.2801594161227</v>
      </c>
      <c r="AX25">
        <v>66.220627112454196</v>
      </c>
      <c r="AY25">
        <v>361.56305616251802</v>
      </c>
      <c r="AZ25">
        <v>0.54833294000258703</v>
      </c>
      <c r="BA25">
        <v>0.82438976894326899</v>
      </c>
      <c r="BB25">
        <v>1.38657282663189E-2</v>
      </c>
      <c r="BC25">
        <v>1.15691972269703E-3</v>
      </c>
      <c r="BD25">
        <v>0.59275951917269498</v>
      </c>
      <c r="BE25">
        <v>9.1830116089047092E-3</v>
      </c>
      <c r="BF25">
        <v>7.5356150947110303E-4</v>
      </c>
      <c r="BG25">
        <v>766.29999847710098</v>
      </c>
      <c r="BH25">
        <v>-1626.59999865293</v>
      </c>
      <c r="BI25">
        <v>421.34349702629601</v>
      </c>
      <c r="BJ25">
        <v>209.298626519962</v>
      </c>
      <c r="BK25">
        <v>3.8143169491934001</v>
      </c>
      <c r="BL25">
        <v>4.5827221928184398</v>
      </c>
      <c r="BM25">
        <v>191.19326446142199</v>
      </c>
      <c r="BN25">
        <v>21.629945013965401</v>
      </c>
      <c r="BO25">
        <v>212.82320947538801</v>
      </c>
      <c r="BP25">
        <v>3.4296724886951599</v>
      </c>
      <c r="BQ25">
        <v>0.28790912182782902</v>
      </c>
      <c r="BR25">
        <v>205.484309570768</v>
      </c>
      <c r="BS25">
        <v>2.1827477160205402</v>
      </c>
      <c r="BT25">
        <v>0.28870277872866801</v>
      </c>
      <c r="BU25">
        <v>3.4486220519715798</v>
      </c>
      <c r="BV25">
        <v>1.6670996605159301</v>
      </c>
      <c r="BW25">
        <v>0.54294882582904502</v>
      </c>
      <c r="BX25">
        <v>1.2385735656265999</v>
      </c>
      <c r="BY25">
        <v>0</v>
      </c>
      <c r="BZ25">
        <v>3.0280334487545701</v>
      </c>
      <c r="CA25">
        <v>0.40163903994058098</v>
      </c>
      <c r="CB25">
        <v>0.28975432475996499</v>
      </c>
      <c r="CC25">
        <v>0.242853690621501</v>
      </c>
      <c r="CD25">
        <v>4.50554312063286E-2</v>
      </c>
      <c r="CE25">
        <v>21.2467608014849</v>
      </c>
      <c r="CF25">
        <v>162.84489994029801</v>
      </c>
      <c r="CG25">
        <v>42.371808450076102</v>
      </c>
      <c r="CH25">
        <v>0.39452382355322302</v>
      </c>
      <c r="CI25">
        <v>7.0885955289998703</v>
      </c>
      <c r="CJ25">
        <v>1.69988733016965</v>
      </c>
      <c r="CK25">
        <v>9.4375867112006304</v>
      </c>
      <c r="CL25">
        <v>1.5240188501380301</v>
      </c>
      <c r="CM25">
        <v>9.4539531966208706E-2</v>
      </c>
      <c r="CN25">
        <v>4.4257253961142898E-2</v>
      </c>
      <c r="CO25">
        <v>0.70188685514106797</v>
      </c>
      <c r="CP25">
        <v>0.83722524747079596</v>
      </c>
      <c r="CQ25">
        <v>0.152401885013802</v>
      </c>
      <c r="CR25">
        <v>42.639409630470098</v>
      </c>
      <c r="CS25">
        <v>1.5336438639893999</v>
      </c>
      <c r="CT25">
        <v>0.15336438639894001</v>
      </c>
      <c r="CU25">
        <v>1.47000000000004E-2</v>
      </c>
      <c r="CV25">
        <v>1.9575465096093201E-3</v>
      </c>
      <c r="CW25">
        <v>2.2282437926941001</v>
      </c>
      <c r="CX25">
        <v>2.0300000000000599E-2</v>
      </c>
      <c r="CY25">
        <v>5.6982091051871204E-3</v>
      </c>
      <c r="CZ25">
        <v>0</v>
      </c>
      <c r="DA25">
        <v>2.39999910000286E-3</v>
      </c>
      <c r="DB25">
        <v>1.4991029367369499E-3</v>
      </c>
      <c r="DC25">
        <v>2.0000000000000599E-3</v>
      </c>
      <c r="DD25">
        <v>3.8235669297975901E-3</v>
      </c>
      <c r="DE25">
        <v>1.19714309291347E-3</v>
      </c>
      <c r="DF25">
        <v>2.3999991000000199E-3</v>
      </c>
      <c r="DG25">
        <v>0</v>
      </c>
      <c r="DH25">
        <v>0</v>
      </c>
      <c r="DI25">
        <v>0.231807694000007</v>
      </c>
      <c r="DJ25">
        <v>1.8846155200000499E-2</v>
      </c>
      <c r="DK25">
        <v>2.2717314996651798</v>
      </c>
      <c r="DL25">
        <v>0.148285345931148</v>
      </c>
      <c r="DM25">
        <v>83.458464750020298</v>
      </c>
      <c r="DN25">
        <v>212.942795322953</v>
      </c>
      <c r="DO25">
        <v>327.66000000000003</v>
      </c>
      <c r="DP25">
        <v>31.210180819645601</v>
      </c>
      <c r="DQ25">
        <v>157.94999999999899</v>
      </c>
      <c r="DR25">
        <v>169.71</v>
      </c>
      <c r="DS25">
        <v>155.36358824674801</v>
      </c>
      <c r="DT25">
        <v>0</v>
      </c>
      <c r="DU25">
        <v>0</v>
      </c>
      <c r="DV25">
        <v>0</v>
      </c>
      <c r="DW25">
        <v>0</v>
      </c>
      <c r="DX25">
        <v>0</v>
      </c>
      <c r="DY25">
        <v>0</v>
      </c>
      <c r="DZ25">
        <v>0</v>
      </c>
      <c r="EA25">
        <v>0</v>
      </c>
      <c r="EB25">
        <v>0</v>
      </c>
      <c r="EC25">
        <v>0</v>
      </c>
      <c r="ED25">
        <v>0</v>
      </c>
      <c r="EE25">
        <v>0</v>
      </c>
      <c r="EF25">
        <v>1.3086550720743599</v>
      </c>
      <c r="EG25">
        <v>0</v>
      </c>
      <c r="EH25">
        <v>0</v>
      </c>
      <c r="EI25">
        <v>0</v>
      </c>
      <c r="EJ25">
        <v>0</v>
      </c>
      <c r="EK25">
        <v>0</v>
      </c>
      <c r="EL25">
        <v>0</v>
      </c>
      <c r="EM25">
        <v>0</v>
      </c>
      <c r="EN25">
        <v>0</v>
      </c>
      <c r="EO25">
        <v>0</v>
      </c>
      <c r="EP25">
        <v>0</v>
      </c>
      <c r="EQ25">
        <v>0</v>
      </c>
      <c r="ER25">
        <v>0</v>
      </c>
      <c r="ES25">
        <v>0</v>
      </c>
      <c r="ET25">
        <v>0</v>
      </c>
      <c r="EU25">
        <v>0</v>
      </c>
      <c r="EV25">
        <v>796.34980702454698</v>
      </c>
      <c r="EW25">
        <v>-28.649999999999899</v>
      </c>
      <c r="EX25">
        <v>1433.22116373943</v>
      </c>
      <c r="EY25">
        <v>824.08602291855402</v>
      </c>
      <c r="EZ25">
        <v>99.020169189424095</v>
      </c>
      <c r="FA25">
        <v>643.50199820364901</v>
      </c>
      <c r="FB25">
        <v>690.698974609375</v>
      </c>
      <c r="FC25">
        <v>0.42707398971398602</v>
      </c>
      <c r="FD25">
        <v>0.77885889859538704</v>
      </c>
      <c r="FE25">
        <v>0</v>
      </c>
      <c r="FF25">
        <v>1</v>
      </c>
      <c r="FG25" s="159">
        <v>5.9148582010479103E-13</v>
      </c>
      <c r="FH25">
        <v>0</v>
      </c>
      <c r="FI25">
        <v>5.4512674794765098E-5</v>
      </c>
      <c r="FJ25">
        <v>-5.60711917513863E-3</v>
      </c>
      <c r="FK25" s="159">
        <v>6.57534000000779E-6</v>
      </c>
      <c r="FL25" s="159">
        <v>2.8950155399193699E-6</v>
      </c>
      <c r="FM25" s="159">
        <v>4.1070340512388597E-6</v>
      </c>
      <c r="FN25">
        <v>0</v>
      </c>
      <c r="FO25">
        <v>0</v>
      </c>
      <c r="FP25">
        <v>0</v>
      </c>
      <c r="FQ25">
        <v>0</v>
      </c>
      <c r="FR25">
        <v>0</v>
      </c>
      <c r="FS25">
        <v>0</v>
      </c>
      <c r="FT25">
        <v>0</v>
      </c>
      <c r="FU25">
        <v>0</v>
      </c>
      <c r="FV25">
        <v>-999</v>
      </c>
      <c r="FW25">
        <v>0.47248831286556803</v>
      </c>
      <c r="FX25">
        <v>3.1722254456356298E-3</v>
      </c>
      <c r="FY25">
        <v>1.1680577922741999</v>
      </c>
      <c r="FZ25">
        <v>9.6523639204782797E-4</v>
      </c>
      <c r="GA25">
        <v>43.194905952931897</v>
      </c>
      <c r="GB25">
        <v>1.0675364778478901E-2</v>
      </c>
      <c r="GC25">
        <v>2.8852337239132198E-3</v>
      </c>
      <c r="GD25">
        <v>0</v>
      </c>
      <c r="GE25">
        <v>7.02269556159669E-3</v>
      </c>
      <c r="GF25">
        <v>0.465711939575505</v>
      </c>
      <c r="GG25">
        <v>5.5877074655736995E-4</v>
      </c>
      <c r="GH25">
        <v>9.4519016592122095E-3</v>
      </c>
      <c r="GI25">
        <v>1.8610517312334901E-2</v>
      </c>
      <c r="GJ25">
        <v>9.1447082970929098E-4</v>
      </c>
      <c r="GK25">
        <v>1.77718090461468E-3</v>
      </c>
      <c r="GL25">
        <v>0.38510618756794901</v>
      </c>
      <c r="GM25">
        <v>6.4247990823010697E-3</v>
      </c>
      <c r="GN25">
        <v>5.3231708079929697E-4</v>
      </c>
      <c r="GO25">
        <v>0</v>
      </c>
      <c r="GP25">
        <v>0</v>
      </c>
      <c r="GQ25">
        <v>0</v>
      </c>
      <c r="GR25">
        <v>5.97410071598398E-2</v>
      </c>
      <c r="GS25">
        <v>1.1093102985361E-3</v>
      </c>
      <c r="GT25">
        <v>1.24441224263356E-4</v>
      </c>
      <c r="GU25">
        <v>3.74347998094633E-2</v>
      </c>
      <c r="GV25">
        <v>6.9511397491455297E-4</v>
      </c>
      <c r="GW25">
        <v>7.7977130614478003E-5</v>
      </c>
      <c r="GX25">
        <v>0.117867040744078</v>
      </c>
      <c r="GY25">
        <v>0.12854973833911901</v>
      </c>
      <c r="GZ25">
        <v>59.044430103343998</v>
      </c>
      <c r="HA25">
        <v>677.33775317139202</v>
      </c>
      <c r="HB25">
        <v>0</v>
      </c>
      <c r="HC25">
        <v>0.99981309691954301</v>
      </c>
      <c r="HD25">
        <v>0.40711824689575099</v>
      </c>
      <c r="HE25">
        <v>1.0571863485753501E-2</v>
      </c>
      <c r="HF25">
        <v>9.1555926988013195E-4</v>
      </c>
      <c r="HG25">
        <v>1.2404566944232E-2</v>
      </c>
      <c r="HH25" s="159">
        <v>4.76187550299576E-7</v>
      </c>
      <c r="HI25" s="159">
        <v>3.3333254597407799E-7</v>
      </c>
      <c r="HJ25">
        <v>0</v>
      </c>
      <c r="HK25">
        <v>0</v>
      </c>
      <c r="HL25">
        <v>0</v>
      </c>
      <c r="HM25">
        <v>0</v>
      </c>
      <c r="HN25">
        <v>0</v>
      </c>
      <c r="HO25">
        <v>1.0969907379466201E-2</v>
      </c>
      <c r="HP25">
        <v>0.53566798523487003</v>
      </c>
      <c r="HQ25">
        <v>1.0571863485753501E-2</v>
      </c>
      <c r="HR25">
        <v>9.1555926988013195E-4</v>
      </c>
      <c r="HS25">
        <v>0.72884617293181997</v>
      </c>
      <c r="HT25">
        <v>-999</v>
      </c>
      <c r="HU25">
        <v>1</v>
      </c>
      <c r="HV25">
        <v>0.78086750691953799</v>
      </c>
      <c r="HW25">
        <v>0.21913249308046101</v>
      </c>
      <c r="HX25">
        <v>12504.5290241107</v>
      </c>
      <c r="HY25">
        <v>400.831308520947</v>
      </c>
      <c r="HZ25">
        <v>40.253728511755703</v>
      </c>
      <c r="IA25">
        <v>-0.12854973833911901</v>
      </c>
      <c r="IB25">
        <v>0</v>
      </c>
      <c r="IC25">
        <v>0</v>
      </c>
      <c r="ID25">
        <v>0</v>
      </c>
      <c r="IE25">
        <v>0</v>
      </c>
      <c r="IF25">
        <v>0</v>
      </c>
      <c r="IG25">
        <v>0</v>
      </c>
      <c r="IH25">
        <v>0</v>
      </c>
      <c r="II25">
        <v>46.337800049999601</v>
      </c>
      <c r="IJ25">
        <v>463.37800049999902</v>
      </c>
      <c r="IK25">
        <v>1.01035059291861E-2</v>
      </c>
      <c r="IL25">
        <v>2.1880424588644901E-3</v>
      </c>
      <c r="IM25">
        <v>1.22915483880506E-2</v>
      </c>
      <c r="IN25">
        <v>1.05942359604358E-3</v>
      </c>
      <c r="IO25">
        <v>0.42160127377876999</v>
      </c>
      <c r="IP25">
        <v>1.82315081966733E-2</v>
      </c>
      <c r="IQ25">
        <v>1.7775200441153701E-3</v>
      </c>
      <c r="IR25">
        <v>0.298372264296906</v>
      </c>
      <c r="IS25">
        <v>0.24817104291417499</v>
      </c>
      <c r="IT25">
        <v>0.254541849924312</v>
      </c>
      <c r="IU25">
        <v>0.29580714709093803</v>
      </c>
      <c r="IV25">
        <v>1.37069757936066E-2</v>
      </c>
      <c r="IW25">
        <v>1.3250668038086999E-3</v>
      </c>
      <c r="IX25">
        <v>7.5087477770253194E-2</v>
      </c>
      <c r="IY25">
        <v>2.7007280481317602E-3</v>
      </c>
      <c r="IZ25">
        <v>2.70072804813174E-4</v>
      </c>
      <c r="JA25">
        <v>7.5123789002760899E-2</v>
      </c>
      <c r="JB25">
        <v>2.7020340816676799E-3</v>
      </c>
      <c r="JC25">
        <v>2.7020340816676601E-4</v>
      </c>
      <c r="JD25">
        <v>1.68493863118203E-4</v>
      </c>
      <c r="JE25">
        <v>3.15112803896366E-3</v>
      </c>
      <c r="JF25" s="159">
        <v>3.9979955110402899E-19</v>
      </c>
      <c r="JG25">
        <v>0</v>
      </c>
      <c r="JH25">
        <v>4.1174614872236002E-3</v>
      </c>
      <c r="JI25">
        <v>5.35846615931881E-4</v>
      </c>
      <c r="JJ25">
        <v>-0.49948067443281802</v>
      </c>
      <c r="JK25">
        <v>1.68493863118203E-4</v>
      </c>
      <c r="JL25" s="159">
        <v>6.5753399999999896E-6</v>
      </c>
      <c r="JM25">
        <v>-0.49948067443281802</v>
      </c>
      <c r="JN25">
        <v>0</v>
      </c>
      <c r="JO25">
        <v>1.7743931435284499</v>
      </c>
      <c r="JP25">
        <v>-7.5554143797340496E-3</v>
      </c>
      <c r="JQ25">
        <v>5.7643217020249098E-4</v>
      </c>
      <c r="JR25">
        <v>4.8559107380363203E-2</v>
      </c>
      <c r="JS25">
        <v>1514.7850192617</v>
      </c>
      <c r="JT25">
        <v>4.9399253612150897E-2</v>
      </c>
      <c r="JU25">
        <v>0</v>
      </c>
      <c r="JV25">
        <v>365</v>
      </c>
      <c r="JW25">
        <v>0</v>
      </c>
      <c r="JX25">
        <v>-0.40268092994350901</v>
      </c>
      <c r="JY25">
        <v>0</v>
      </c>
      <c r="JZ25">
        <v>1.3087495395914199</v>
      </c>
      <c r="KA25">
        <v>1.3987332725687101</v>
      </c>
      <c r="KB25">
        <v>1.41762546774771</v>
      </c>
      <c r="KC25">
        <v>0</v>
      </c>
      <c r="KD25">
        <v>0</v>
      </c>
      <c r="KE25">
        <v>0</v>
      </c>
      <c r="KF25">
        <v>3.5146992869309101E-3</v>
      </c>
      <c r="KG25">
        <v>2.1958728040660101E-2</v>
      </c>
      <c r="KH25">
        <v>3.9984354935332297E-2</v>
      </c>
      <c r="KI25">
        <v>0</v>
      </c>
      <c r="KJ25">
        <v>0</v>
      </c>
      <c r="KK25">
        <v>0</v>
      </c>
      <c r="KL25">
        <v>0</v>
      </c>
      <c r="KM25">
        <v>0</v>
      </c>
      <c r="KN25">
        <v>0</v>
      </c>
      <c r="KO25">
        <v>0</v>
      </c>
      <c r="KP25">
        <v>0</v>
      </c>
      <c r="KQ25">
        <v>0</v>
      </c>
      <c r="KR25">
        <v>0</v>
      </c>
      <c r="KS25">
        <v>0</v>
      </c>
      <c r="KT25">
        <v>0</v>
      </c>
      <c r="KU25">
        <v>0.34999999999999898</v>
      </c>
      <c r="KV25">
        <v>-0.11741401980623099</v>
      </c>
      <c r="KW25">
        <v>1.8607975850372599E-3</v>
      </c>
      <c r="KX25">
        <v>32175.099910182402</v>
      </c>
      <c r="KY25">
        <v>0</v>
      </c>
      <c r="KZ25">
        <v>0.21019456739362799</v>
      </c>
      <c r="LA25">
        <v>1.73602675993533E-5</v>
      </c>
      <c r="LB25">
        <v>0</v>
      </c>
      <c r="LC25">
        <v>-12.158504432416599</v>
      </c>
      <c r="LD25">
        <v>1.57046039263294E-2</v>
      </c>
      <c r="LE25">
        <v>3.4005697418201999E-3</v>
      </c>
      <c r="LF25">
        <v>1.57046039263294E-2</v>
      </c>
      <c r="LG25">
        <v>0.94189836139476601</v>
      </c>
      <c r="LH25">
        <v>1.2282935924940499</v>
      </c>
      <c r="LI25">
        <v>0</v>
      </c>
      <c r="LJ25">
        <v>0</v>
      </c>
      <c r="LK25">
        <v>0.24080045547463599</v>
      </c>
      <c r="LL25">
        <v>0</v>
      </c>
      <c r="LM25">
        <v>0</v>
      </c>
      <c r="LN25">
        <v>0</v>
      </c>
      <c r="LO25">
        <v>0</v>
      </c>
      <c r="LP25">
        <v>0</v>
      </c>
      <c r="LQ25">
        <v>0</v>
      </c>
      <c r="LR25">
        <v>0</v>
      </c>
      <c r="LS25">
        <v>0</v>
      </c>
      <c r="LT25">
        <v>-999</v>
      </c>
      <c r="LU25">
        <v>0.42558496720081102</v>
      </c>
      <c r="LV25">
        <v>24</v>
      </c>
      <c r="LW25">
        <v>91.079999999999899</v>
      </c>
      <c r="LX25">
        <v>0.85099999999999898</v>
      </c>
      <c r="LY25">
        <v>0</v>
      </c>
      <c r="LZ25">
        <v>-999</v>
      </c>
      <c r="MA25">
        <v>0</v>
      </c>
      <c r="MB25">
        <v>0</v>
      </c>
      <c r="MC25">
        <v>491.07999999999902</v>
      </c>
      <c r="MD25">
        <v>-23.6999999999999</v>
      </c>
      <c r="ME25">
        <v>-33.6</v>
      </c>
      <c r="MF25">
        <v>0</v>
      </c>
      <c r="MG25">
        <v>8.0706896550000007</v>
      </c>
      <c r="MH25">
        <v>0</v>
      </c>
      <c r="MI25">
        <v>0</v>
      </c>
      <c r="MJ25">
        <v>0</v>
      </c>
      <c r="MK25">
        <v>0</v>
      </c>
      <c r="ML25">
        <v>0</v>
      </c>
      <c r="MM25">
        <v>0</v>
      </c>
      <c r="MN25">
        <v>0</v>
      </c>
      <c r="MO25">
        <v>0</v>
      </c>
      <c r="MP25">
        <v>0</v>
      </c>
      <c r="MQ25">
        <v>0</v>
      </c>
      <c r="MR25">
        <v>0</v>
      </c>
      <c r="MS25">
        <v>0</v>
      </c>
      <c r="MT25">
        <v>0</v>
      </c>
      <c r="MU25">
        <v>0</v>
      </c>
      <c r="MV25">
        <v>0</v>
      </c>
    </row>
    <row r="26" spans="1:360" x14ac:dyDescent="0.25">
      <c r="A26">
        <v>9125</v>
      </c>
      <c r="B26">
        <v>0</v>
      </c>
      <c r="C26">
        <v>-33.6</v>
      </c>
      <c r="D26">
        <v>-23.6999999999999</v>
      </c>
      <c r="E26">
        <v>400</v>
      </c>
      <c r="F26">
        <v>0</v>
      </c>
      <c r="G26">
        <v>0</v>
      </c>
      <c r="H26">
        <v>0</v>
      </c>
      <c r="I26">
        <v>0</v>
      </c>
      <c r="J26">
        <v>0</v>
      </c>
      <c r="K26">
        <v>0</v>
      </c>
      <c r="L26" s="159">
        <v>6.5753399999999896E-6</v>
      </c>
      <c r="M26">
        <v>0</v>
      </c>
      <c r="N26">
        <v>0</v>
      </c>
      <c r="O26">
        <v>0</v>
      </c>
      <c r="P26">
        <v>0</v>
      </c>
      <c r="Q26">
        <v>0</v>
      </c>
      <c r="R26">
        <v>0</v>
      </c>
      <c r="S26">
        <v>0</v>
      </c>
      <c r="T26">
        <v>0</v>
      </c>
      <c r="U26">
        <v>681.83774726240495</v>
      </c>
      <c r="V26">
        <v>13.565527266805001</v>
      </c>
      <c r="W26">
        <v>1.31246984271869</v>
      </c>
      <c r="X26">
        <v>0.35972660466745399</v>
      </c>
      <c r="Y26">
        <v>0.28294556403906601</v>
      </c>
      <c r="Z26">
        <v>0.357327831293479</v>
      </c>
      <c r="AA26">
        <v>0.112745478555779</v>
      </c>
      <c r="AB26">
        <v>0.49406505257202699</v>
      </c>
      <c r="AC26">
        <v>0.39318946887219203</v>
      </c>
      <c r="AD26">
        <v>0.88435995695516201</v>
      </c>
      <c r="AE26">
        <v>4.3632598604524002E-2</v>
      </c>
      <c r="AF26">
        <v>7.2007444440313498E-2</v>
      </c>
      <c r="AG26">
        <v>0</v>
      </c>
      <c r="AH26">
        <v>3402.4165311872498</v>
      </c>
      <c r="AI26">
        <v>80.306299805533797</v>
      </c>
      <c r="AJ26">
        <v>8.1133392990934201</v>
      </c>
      <c r="AK26">
        <v>397.11665907902699</v>
      </c>
      <c r="AL26">
        <v>7.3739232158903798</v>
      </c>
      <c r="AM26">
        <v>0.82719869618115105</v>
      </c>
      <c r="AN26">
        <v>8705.6955971028492</v>
      </c>
      <c r="AO26">
        <v>313.124331456866</v>
      </c>
      <c r="AP26">
        <v>31.312433145686299</v>
      </c>
      <c r="AQ26">
        <v>2.9331177403103599E-2</v>
      </c>
      <c r="AR26">
        <v>6.0030118660979997E-3</v>
      </c>
      <c r="AS26">
        <v>2.3883255259982899E-2</v>
      </c>
      <c r="AT26">
        <v>9.48</v>
      </c>
      <c r="AU26">
        <v>5.99594274976167</v>
      </c>
      <c r="AV26">
        <v>0</v>
      </c>
      <c r="AW26">
        <v>84.315299067165498</v>
      </c>
      <c r="AX26">
        <v>66.233222540543693</v>
      </c>
      <c r="AY26">
        <v>361.559299966146</v>
      </c>
      <c r="AZ26">
        <v>0.54833294000258703</v>
      </c>
      <c r="BA26">
        <v>0.82514103102393999</v>
      </c>
      <c r="BB26">
        <v>1.38746932589224E-2</v>
      </c>
      <c r="BC26">
        <v>1.1577934844683099E-3</v>
      </c>
      <c r="BD26">
        <v>0.59302387504991505</v>
      </c>
      <c r="BE26">
        <v>9.1872270175426506E-3</v>
      </c>
      <c r="BF26">
        <v>7.5365596436474105E-4</v>
      </c>
      <c r="BG26">
        <v>766.29999847710098</v>
      </c>
      <c r="BH26">
        <v>-1626.59999865293</v>
      </c>
      <c r="BI26">
        <v>421.689331646499</v>
      </c>
      <c r="BJ26">
        <v>209.40481358370599</v>
      </c>
      <c r="BK26">
        <v>3.8039744854392299</v>
      </c>
      <c r="BL26">
        <v>4.5862506417124198</v>
      </c>
      <c r="BM26">
        <v>191.28205128593601</v>
      </c>
      <c r="BN26">
        <v>21.6513184533062</v>
      </c>
      <c r="BO26">
        <v>212.93336973924201</v>
      </c>
      <c r="BP26">
        <v>3.4322342255210998</v>
      </c>
      <c r="BQ26">
        <v>0.28815513581146901</v>
      </c>
      <c r="BR26">
        <v>205.60083909826599</v>
      </c>
      <c r="BS26">
        <v>2.1842855468703499</v>
      </c>
      <c r="BT26">
        <v>0.28891250660631301</v>
      </c>
      <c r="BU26">
        <v>3.4510959967593098</v>
      </c>
      <c r="BV26">
        <v>1.6691705903529499</v>
      </c>
      <c r="BW26">
        <v>0.54239820594354504</v>
      </c>
      <c r="BX26">
        <v>1.23952720046281</v>
      </c>
      <c r="BY26">
        <v>0</v>
      </c>
      <c r="BZ26">
        <v>3.0301983095065599</v>
      </c>
      <c r="CA26">
        <v>0.40203591601453897</v>
      </c>
      <c r="CB26">
        <v>0.28998603176844501</v>
      </c>
      <c r="CC26">
        <v>0.243055183478284</v>
      </c>
      <c r="CD26">
        <v>4.5099952333184902E-2</v>
      </c>
      <c r="CE26">
        <v>21.268328910008101</v>
      </c>
      <c r="CF26">
        <v>162.96068490365101</v>
      </c>
      <c r="CG26">
        <v>42.366446021391198</v>
      </c>
      <c r="CH26">
        <v>0.39492431437254899</v>
      </c>
      <c r="CI26">
        <v>7.0948260151954301</v>
      </c>
      <c r="CJ26">
        <v>1.7008902155615799</v>
      </c>
      <c r="CK26">
        <v>9.4463311333367805</v>
      </c>
      <c r="CL26">
        <v>1.52382597561374</v>
      </c>
      <c r="CM26">
        <v>9.4694018134921204E-2</v>
      </c>
      <c r="CN26">
        <v>4.4302180586208002E-2</v>
      </c>
      <c r="CO26">
        <v>0.69711690504527901</v>
      </c>
      <c r="CP26">
        <v>0.83266234722253596</v>
      </c>
      <c r="CQ26">
        <v>0.15238259756137301</v>
      </c>
      <c r="CR26">
        <v>42.640154194614702</v>
      </c>
      <c r="CS26">
        <v>1.5336706442905801</v>
      </c>
      <c r="CT26">
        <v>0.15336706442905701</v>
      </c>
      <c r="CU26">
        <v>1.4699999999999699E-2</v>
      </c>
      <c r="CV26">
        <v>1.9627872631823701E-3</v>
      </c>
      <c r="CW26">
        <v>2.22870829566999</v>
      </c>
      <c r="CX26">
        <v>2.02999999999996E-2</v>
      </c>
      <c r="CY26">
        <v>5.7104056735559497E-3</v>
      </c>
      <c r="CZ26">
        <v>0</v>
      </c>
      <c r="DA26">
        <v>2.3999991000028501E-3</v>
      </c>
      <c r="DB26">
        <v>1.49902639187011E-3</v>
      </c>
      <c r="DC26">
        <v>1.9999999999999601E-3</v>
      </c>
      <c r="DD26">
        <v>3.8066318505881702E-3</v>
      </c>
      <c r="DE26">
        <v>1.1882899938275399E-3</v>
      </c>
      <c r="DF26">
        <v>2.3999990999999999E-3</v>
      </c>
      <c r="DG26">
        <v>0</v>
      </c>
      <c r="DH26">
        <v>0</v>
      </c>
      <c r="DI26">
        <v>0.23180769399999601</v>
      </c>
      <c r="DJ26">
        <v>1.8846155199999701E-2</v>
      </c>
      <c r="DK26">
        <v>2.2783244348424798</v>
      </c>
      <c r="DL26">
        <v>0.14871569418031799</v>
      </c>
      <c r="DM26">
        <v>82.874857026507399</v>
      </c>
      <c r="DN26">
        <v>213.58101665150201</v>
      </c>
      <c r="DO26">
        <v>327.66000000000003</v>
      </c>
      <c r="DP26">
        <v>31.156395396334698</v>
      </c>
      <c r="DQ26">
        <v>157.94999999999899</v>
      </c>
      <c r="DR26">
        <v>169.71</v>
      </c>
      <c r="DS26">
        <v>155.398816142432</v>
      </c>
      <c r="DT26">
        <v>0</v>
      </c>
      <c r="DU26">
        <v>0</v>
      </c>
      <c r="DV26">
        <v>0</v>
      </c>
      <c r="DW26">
        <v>0</v>
      </c>
      <c r="DX26">
        <v>0</v>
      </c>
      <c r="DY26">
        <v>0</v>
      </c>
      <c r="DZ26">
        <v>0</v>
      </c>
      <c r="EA26">
        <v>0</v>
      </c>
      <c r="EB26">
        <v>0</v>
      </c>
      <c r="EC26">
        <v>0</v>
      </c>
      <c r="ED26">
        <v>0</v>
      </c>
      <c r="EE26">
        <v>0</v>
      </c>
      <c r="EF26">
        <v>1.30692767499478</v>
      </c>
      <c r="EG26">
        <v>0</v>
      </c>
      <c r="EH26">
        <v>0</v>
      </c>
      <c r="EI26">
        <v>0</v>
      </c>
      <c r="EJ26">
        <v>0</v>
      </c>
      <c r="EK26">
        <v>0</v>
      </c>
      <c r="EL26">
        <v>0</v>
      </c>
      <c r="EM26">
        <v>0</v>
      </c>
      <c r="EN26">
        <v>0</v>
      </c>
      <c r="EO26">
        <v>0</v>
      </c>
      <c r="EP26">
        <v>0</v>
      </c>
      <c r="EQ26">
        <v>0</v>
      </c>
      <c r="ER26">
        <v>0</v>
      </c>
      <c r="ES26">
        <v>0</v>
      </c>
      <c r="ET26">
        <v>0</v>
      </c>
      <c r="EU26">
        <v>0</v>
      </c>
      <c r="EV26">
        <v>797.44110659005901</v>
      </c>
      <c r="EW26">
        <v>-28.649999999999899</v>
      </c>
      <c r="EX26">
        <v>1435.4478889734801</v>
      </c>
      <c r="EY26">
        <v>824.73827471779998</v>
      </c>
      <c r="EZ26">
        <v>98.715682803381597</v>
      </c>
      <c r="FA26">
        <v>644.70954472226902</v>
      </c>
      <c r="FB26">
        <v>692.02264404296795</v>
      </c>
      <c r="FC26">
        <v>0.42576073993098501</v>
      </c>
      <c r="FD26">
        <v>0.77646391247072499</v>
      </c>
      <c r="FE26">
        <v>0</v>
      </c>
      <c r="FF26">
        <v>1</v>
      </c>
      <c r="FG26" s="159">
        <v>5.9153657399359298E-13</v>
      </c>
      <c r="FH26">
        <v>0</v>
      </c>
      <c r="FI26">
        <v>5.4512674794765098E-5</v>
      </c>
      <c r="FJ26">
        <v>-5.5872297136642102E-3</v>
      </c>
      <c r="FK26" s="159">
        <v>6.57534000000779E-6</v>
      </c>
      <c r="FL26" s="159">
        <v>2.87450323804687E-6</v>
      </c>
      <c r="FM26" s="159">
        <v>4.1068212175134803E-6</v>
      </c>
      <c r="FN26">
        <v>0</v>
      </c>
      <c r="FO26">
        <v>0</v>
      </c>
      <c r="FP26">
        <v>0</v>
      </c>
      <c r="FQ26">
        <v>0</v>
      </c>
      <c r="FR26">
        <v>0</v>
      </c>
      <c r="FS26">
        <v>0</v>
      </c>
      <c r="FT26">
        <v>0</v>
      </c>
      <c r="FU26">
        <v>0</v>
      </c>
      <c r="FV26">
        <v>-999</v>
      </c>
      <c r="FW26">
        <v>0.473034654303496</v>
      </c>
      <c r="FX26">
        <v>3.1744336373823599E-3</v>
      </c>
      <c r="FY26">
        <v>1.16979611375516</v>
      </c>
      <c r="FZ26">
        <v>9.6424171327413801E-4</v>
      </c>
      <c r="GA26">
        <v>43.156501737683399</v>
      </c>
      <c r="GB26">
        <v>1.06705874404509E-2</v>
      </c>
      <c r="GC26">
        <v>2.8839425514732299E-3</v>
      </c>
      <c r="GD26">
        <v>0</v>
      </c>
      <c r="GE26">
        <v>7.0226179021297304E-3</v>
      </c>
      <c r="GF26">
        <v>0.462412190832027</v>
      </c>
      <c r="GG26">
        <v>5.5874416138664603E-4</v>
      </c>
      <c r="GH26">
        <v>9.45037947459452E-3</v>
      </c>
      <c r="GI26">
        <v>1.8605518225466501E-2</v>
      </c>
      <c r="GJ26">
        <v>9.1432775289200399E-4</v>
      </c>
      <c r="GK26">
        <v>1.77676837432404E-3</v>
      </c>
      <c r="GL26">
        <v>0.38571467505705698</v>
      </c>
      <c r="GM26">
        <v>6.4356838352296296E-3</v>
      </c>
      <c r="GN26">
        <v>5.3322103186113695E-4</v>
      </c>
      <c r="GO26">
        <v>0</v>
      </c>
      <c r="GP26">
        <v>0</v>
      </c>
      <c r="GQ26">
        <v>0</v>
      </c>
      <c r="GR26">
        <v>5.9798224194988502E-2</v>
      </c>
      <c r="GS26">
        <v>1.1103727420629099E-3</v>
      </c>
      <c r="GT26">
        <v>1.24560408024078E-4</v>
      </c>
      <c r="GU26">
        <v>3.7471199585535298E-2</v>
      </c>
      <c r="GV26">
        <v>6.9578986988821998E-4</v>
      </c>
      <c r="GW26">
        <v>7.8052951778409806E-5</v>
      </c>
      <c r="GX26">
        <v>0.118076420625443</v>
      </c>
      <c r="GY26">
        <v>0.128753155877738</v>
      </c>
      <c r="GZ26">
        <v>59.039167635275199</v>
      </c>
      <c r="HA26">
        <v>677.29624498038197</v>
      </c>
      <c r="HB26">
        <v>0</v>
      </c>
      <c r="HC26">
        <v>0.99981309443371302</v>
      </c>
      <c r="HD26">
        <v>0.40774617296759502</v>
      </c>
      <c r="HE26">
        <v>1.05880581725967E-2</v>
      </c>
      <c r="HF26">
        <v>9.16950880172277E-4</v>
      </c>
      <c r="HG26">
        <v>1.24310453784692E-2</v>
      </c>
      <c r="HH26" s="159">
        <v>4.7618755723466699E-7</v>
      </c>
      <c r="HI26" s="159">
        <v>3.3333254598470598E-7</v>
      </c>
      <c r="HJ26">
        <v>0</v>
      </c>
      <c r="HK26">
        <v>0</v>
      </c>
      <c r="HL26">
        <v>0</v>
      </c>
      <c r="HM26">
        <v>0</v>
      </c>
      <c r="HN26">
        <v>0</v>
      </c>
      <c r="HO26">
        <v>1.0993563535536099E-2</v>
      </c>
      <c r="HP26">
        <v>0.53649932884533402</v>
      </c>
      <c r="HQ26">
        <v>1.05880581725967E-2</v>
      </c>
      <c r="HR26">
        <v>9.16950880172277E-4</v>
      </c>
      <c r="HS26">
        <v>0.72847591131010803</v>
      </c>
      <c r="HT26">
        <v>-999</v>
      </c>
      <c r="HU26">
        <v>1</v>
      </c>
      <c r="HV26">
        <v>0.78171410796093899</v>
      </c>
      <c r="HW26">
        <v>0.21828589203905999</v>
      </c>
      <c r="HX26">
        <v>12505.2287873691</v>
      </c>
      <c r="HY26">
        <v>400.80455447829002</v>
      </c>
      <c r="HZ26">
        <v>40.252971140960902</v>
      </c>
      <c r="IA26">
        <v>-0.128753155877738</v>
      </c>
      <c r="IB26">
        <v>0</v>
      </c>
      <c r="IC26">
        <v>0</v>
      </c>
      <c r="ID26">
        <v>0</v>
      </c>
      <c r="IE26">
        <v>0</v>
      </c>
      <c r="IF26">
        <v>0</v>
      </c>
      <c r="IG26">
        <v>0</v>
      </c>
      <c r="IH26">
        <v>0</v>
      </c>
      <c r="II26">
        <v>46.337800049999601</v>
      </c>
      <c r="IJ26">
        <v>463.37800049999902</v>
      </c>
      <c r="IK26">
        <v>1.01216883735352E-2</v>
      </c>
      <c r="IL26">
        <v>2.1926560389955098E-3</v>
      </c>
      <c r="IM26">
        <v>1.23143444125307E-2</v>
      </c>
      <c r="IN26">
        <v>1.0525334542224401E-3</v>
      </c>
      <c r="IO26">
        <v>0.42167740100865803</v>
      </c>
      <c r="IP26">
        <v>1.82528810897147E-2</v>
      </c>
      <c r="IQ26">
        <v>1.7705844139421999E-3</v>
      </c>
      <c r="IR26">
        <v>0.29813453604366302</v>
      </c>
      <c r="IS26">
        <v>0.24772767582031499</v>
      </c>
      <c r="IT26">
        <v>0.255381430773579</v>
      </c>
      <c r="IU26">
        <v>0.295960804698844</v>
      </c>
      <c r="IV26">
        <v>1.37311372803351E-2</v>
      </c>
      <c r="IW26">
        <v>1.3184100330042401E-3</v>
      </c>
      <c r="IX26">
        <v>7.5073298304684594E-2</v>
      </c>
      <c r="IY26">
        <v>2.7002180445798202E-3</v>
      </c>
      <c r="IZ26">
        <v>2.7002180445798E-4</v>
      </c>
      <c r="JA26">
        <v>7.5121952105717593E-2</v>
      </c>
      <c r="JB26">
        <v>2.7019680126037799E-3</v>
      </c>
      <c r="JC26">
        <v>2.70196801260377E-4</v>
      </c>
      <c r="JD26">
        <v>1.68756241225325E-4</v>
      </c>
      <c r="JE26">
        <v>3.1547692969366601E-3</v>
      </c>
      <c r="JF26" s="159">
        <v>-5.1499603193061403E-19</v>
      </c>
      <c r="JG26">
        <v>0</v>
      </c>
      <c r="JH26">
        <v>4.1187608804081101E-3</v>
      </c>
      <c r="JI26">
        <v>5.3607338004217804E-4</v>
      </c>
      <c r="JJ26">
        <v>-0.49983591268229999</v>
      </c>
      <c r="JK26">
        <v>1.68756241225325E-4</v>
      </c>
      <c r="JL26" s="159">
        <v>6.5753399999999896E-6</v>
      </c>
      <c r="JM26">
        <v>-0.49983591268229999</v>
      </c>
      <c r="JN26">
        <v>0</v>
      </c>
      <c r="JO26">
        <v>1.7574577445969499</v>
      </c>
      <c r="JP26">
        <v>-7.8487137821366803E-3</v>
      </c>
      <c r="JQ26">
        <v>5.9336724941180298E-4</v>
      </c>
      <c r="JR26">
        <v>4.7730925655052603E-2</v>
      </c>
      <c r="JS26">
        <v>1516.76093616253</v>
      </c>
      <c r="JT26">
        <v>4.9247351223700303E-2</v>
      </c>
      <c r="JU26">
        <v>0</v>
      </c>
      <c r="JV26">
        <v>365</v>
      </c>
      <c r="JW26">
        <v>0</v>
      </c>
      <c r="JX26">
        <v>-0.40268092994350901</v>
      </c>
      <c r="JY26">
        <v>0</v>
      </c>
      <c r="JZ26">
        <v>1.30924307312522</v>
      </c>
      <c r="KA26">
        <v>1.3989447526652501</v>
      </c>
      <c r="KB26">
        <v>1.4183448299529</v>
      </c>
      <c r="KC26">
        <v>0</v>
      </c>
      <c r="KD26">
        <v>0</v>
      </c>
      <c r="KE26">
        <v>0</v>
      </c>
      <c r="KF26">
        <v>3.51730914620622E-3</v>
      </c>
      <c r="KG26">
        <v>2.19803254217521E-2</v>
      </c>
      <c r="KH26">
        <v>3.9929353643565597E-2</v>
      </c>
      <c r="KI26">
        <v>0</v>
      </c>
      <c r="KJ26">
        <v>0</v>
      </c>
      <c r="KK26">
        <v>0</v>
      </c>
      <c r="KL26">
        <v>0</v>
      </c>
      <c r="KM26">
        <v>0</v>
      </c>
      <c r="KN26">
        <v>0</v>
      </c>
      <c r="KO26">
        <v>0</v>
      </c>
      <c r="KP26">
        <v>0</v>
      </c>
      <c r="KQ26">
        <v>0</v>
      </c>
      <c r="KR26">
        <v>0</v>
      </c>
      <c r="KS26">
        <v>0</v>
      </c>
      <c r="KT26">
        <v>0</v>
      </c>
      <c r="KU26">
        <v>0.34999999999999898</v>
      </c>
      <c r="KV26">
        <v>-0.11729910838199099</v>
      </c>
      <c r="KW26">
        <v>1.85905412333967E-3</v>
      </c>
      <c r="KX26">
        <v>32235.477236113398</v>
      </c>
      <c r="KY26">
        <v>0</v>
      </c>
      <c r="KZ26">
        <v>0.210200066670092</v>
      </c>
      <c r="LA26">
        <v>1.73602675993533E-5</v>
      </c>
      <c r="LB26">
        <v>0</v>
      </c>
      <c r="LC26">
        <v>-12.157718643160401</v>
      </c>
      <c r="LD26">
        <v>1.5705109860487902E-2</v>
      </c>
      <c r="LE26">
        <v>3.4010470381961801E-3</v>
      </c>
      <c r="LF26">
        <v>1.5705109860487902E-2</v>
      </c>
      <c r="LG26">
        <v>0.94226454577927199</v>
      </c>
      <c r="LH26">
        <v>1.22870971111281</v>
      </c>
      <c r="LI26">
        <v>0</v>
      </c>
      <c r="LJ26">
        <v>0</v>
      </c>
      <c r="LK26">
        <v>0.240900854477615</v>
      </c>
      <c r="LL26">
        <v>0</v>
      </c>
      <c r="LM26">
        <v>0</v>
      </c>
      <c r="LN26">
        <v>0</v>
      </c>
      <c r="LO26">
        <v>0</v>
      </c>
      <c r="LP26">
        <v>0</v>
      </c>
      <c r="LQ26">
        <v>0</v>
      </c>
      <c r="LR26">
        <v>0</v>
      </c>
      <c r="LS26">
        <v>0</v>
      </c>
      <c r="LT26">
        <v>-999</v>
      </c>
      <c r="LU26">
        <v>0.425587941084418</v>
      </c>
      <c r="LV26">
        <v>25</v>
      </c>
      <c r="LW26">
        <v>95.039999999999907</v>
      </c>
      <c r="LX26">
        <v>0.88799999999999901</v>
      </c>
      <c r="LY26">
        <v>0</v>
      </c>
      <c r="LZ26">
        <v>-999</v>
      </c>
      <c r="MA26">
        <v>0</v>
      </c>
      <c r="MB26">
        <v>0</v>
      </c>
      <c r="MC26">
        <v>495.039999999999</v>
      </c>
      <c r="MD26">
        <v>-23.6999999999999</v>
      </c>
      <c r="ME26">
        <v>-33.6</v>
      </c>
      <c r="MF26">
        <v>0</v>
      </c>
      <c r="MG26">
        <v>8.0706896550000007</v>
      </c>
      <c r="MH26">
        <v>0</v>
      </c>
      <c r="MI26">
        <v>0</v>
      </c>
      <c r="MJ26">
        <v>0</v>
      </c>
      <c r="MK26">
        <v>0</v>
      </c>
      <c r="ML26">
        <v>0</v>
      </c>
      <c r="MM26">
        <v>0</v>
      </c>
      <c r="MN26">
        <v>0</v>
      </c>
      <c r="MO26">
        <v>0</v>
      </c>
      <c r="MP26">
        <v>0</v>
      </c>
      <c r="MQ26">
        <v>0</v>
      </c>
      <c r="MR26">
        <v>0</v>
      </c>
      <c r="MS26">
        <v>0</v>
      </c>
      <c r="MT26">
        <v>0</v>
      </c>
      <c r="MU26">
        <v>0</v>
      </c>
      <c r="MV26">
        <v>0</v>
      </c>
    </row>
    <row r="27" spans="1:360" x14ac:dyDescent="0.25">
      <c r="A27">
        <v>9490</v>
      </c>
      <c r="B27">
        <v>0</v>
      </c>
      <c r="C27">
        <v>-33.6</v>
      </c>
      <c r="D27">
        <v>-23.6999999999999</v>
      </c>
      <c r="E27">
        <v>400</v>
      </c>
      <c r="F27">
        <v>0</v>
      </c>
      <c r="G27">
        <v>0</v>
      </c>
      <c r="H27">
        <v>0</v>
      </c>
      <c r="I27">
        <v>0</v>
      </c>
      <c r="J27">
        <v>0</v>
      </c>
      <c r="K27">
        <v>0</v>
      </c>
      <c r="L27" s="159">
        <v>6.5753399999999896E-6</v>
      </c>
      <c r="M27">
        <v>0</v>
      </c>
      <c r="N27">
        <v>0</v>
      </c>
      <c r="O27">
        <v>0</v>
      </c>
      <c r="P27">
        <v>0</v>
      </c>
      <c r="Q27">
        <v>0</v>
      </c>
      <c r="R27">
        <v>0</v>
      </c>
      <c r="S27">
        <v>0</v>
      </c>
      <c r="T27">
        <v>0</v>
      </c>
      <c r="U27">
        <v>682.894824396584</v>
      </c>
      <c r="V27">
        <v>13.5842810394113</v>
      </c>
      <c r="W27">
        <v>1.3142867541010099</v>
      </c>
      <c r="X27">
        <v>0.357956619423352</v>
      </c>
      <c r="Y27">
        <v>0.28255024235860599</v>
      </c>
      <c r="Z27">
        <v>0.35949313821804002</v>
      </c>
      <c r="AA27">
        <v>0.112719683790442</v>
      </c>
      <c r="AB27">
        <v>0.49477029328362798</v>
      </c>
      <c r="AC27">
        <v>0.39251002292592901</v>
      </c>
      <c r="AD27">
        <v>0.88437720730860303</v>
      </c>
      <c r="AE27">
        <v>4.3546196520712802E-2</v>
      </c>
      <c r="AF27">
        <v>7.2076596170683599E-2</v>
      </c>
      <c r="AG27">
        <v>0</v>
      </c>
      <c r="AH27">
        <v>3403.0006545001302</v>
      </c>
      <c r="AI27">
        <v>80.282314059527195</v>
      </c>
      <c r="AJ27">
        <v>8.1128255351289393</v>
      </c>
      <c r="AK27">
        <v>397.49954816703399</v>
      </c>
      <c r="AL27">
        <v>7.38103295221251</v>
      </c>
      <c r="AM27">
        <v>0.82799625867857296</v>
      </c>
      <c r="AN27">
        <v>8705.4159999807998</v>
      </c>
      <c r="AO27">
        <v>313.114274975917</v>
      </c>
      <c r="AP27">
        <v>31.311427497591499</v>
      </c>
      <c r="AQ27">
        <v>2.9365191380666001E-2</v>
      </c>
      <c r="AR27">
        <v>6.0124793861887002E-3</v>
      </c>
      <c r="AS27">
        <v>2.3717582489961E-2</v>
      </c>
      <c r="AT27">
        <v>9.48</v>
      </c>
      <c r="AU27">
        <v>5.9956234307390002</v>
      </c>
      <c r="AV27">
        <v>0</v>
      </c>
      <c r="AW27">
        <v>84.349787567695898</v>
      </c>
      <c r="AX27">
        <v>66.245527108346806</v>
      </c>
      <c r="AY27">
        <v>361.55561056690198</v>
      </c>
      <c r="AZ27">
        <v>0.54833294000258803</v>
      </c>
      <c r="BA27">
        <v>0.82589008255313801</v>
      </c>
      <c r="BB27">
        <v>1.38836978297249E-2</v>
      </c>
      <c r="BC27">
        <v>1.15866766886134E-3</v>
      </c>
      <c r="BD27">
        <v>0.59329179240295604</v>
      </c>
      <c r="BE27">
        <v>9.1913833633955107E-3</v>
      </c>
      <c r="BF27">
        <v>7.5375577583711205E-4</v>
      </c>
      <c r="BG27">
        <v>766.29999847710098</v>
      </c>
      <c r="BH27">
        <v>-1626.59999865293</v>
      </c>
      <c r="BI27">
        <v>422.03621814075302</v>
      </c>
      <c r="BJ27">
        <v>209.51261437861999</v>
      </c>
      <c r="BK27">
        <v>3.7974829187557901</v>
      </c>
      <c r="BL27">
        <v>4.5898233198250002</v>
      </c>
      <c r="BM27">
        <v>191.37263360691401</v>
      </c>
      <c r="BN27">
        <v>21.6727269573516</v>
      </c>
      <c r="BO27">
        <v>213.045360564265</v>
      </c>
      <c r="BP27">
        <v>3.4347833419505198</v>
      </c>
      <c r="BQ27">
        <v>0.28839860436530101</v>
      </c>
      <c r="BR27">
        <v>205.71513145986401</v>
      </c>
      <c r="BS27">
        <v>2.1857783014535901</v>
      </c>
      <c r="BT27">
        <v>0.28912045392720398</v>
      </c>
      <c r="BU27">
        <v>3.4535371145568501</v>
      </c>
      <c r="BV27">
        <v>1.67120156383017</v>
      </c>
      <c r="BW27">
        <v>0.54184276158478895</v>
      </c>
      <c r="BX27">
        <v>1.24049278914189</v>
      </c>
      <c r="BY27">
        <v>0</v>
      </c>
      <c r="BZ27">
        <v>3.0323498987575399</v>
      </c>
      <c r="CA27">
        <v>0.40243344319298702</v>
      </c>
      <c r="CB27">
        <v>0.290215515747621</v>
      </c>
      <c r="CC27">
        <v>0.24325405786506499</v>
      </c>
      <c r="CD27">
        <v>4.5144546500235597E-2</v>
      </c>
      <c r="CE27">
        <v>21.2898378693436</v>
      </c>
      <c r="CF27">
        <v>163.07436907908701</v>
      </c>
      <c r="CG27">
        <v>42.361165258733898</v>
      </c>
      <c r="CH27">
        <v>0.39532370687086699</v>
      </c>
      <c r="CI27">
        <v>7.1011151277876401</v>
      </c>
      <c r="CJ27">
        <v>1.70192755712875</v>
      </c>
      <c r="CK27">
        <v>9.4551284669881692</v>
      </c>
      <c r="CL27">
        <v>1.52363603843316</v>
      </c>
      <c r="CM27">
        <v>9.4847366501720404E-2</v>
      </c>
      <c r="CN27">
        <v>4.4346984002815601E-2</v>
      </c>
      <c r="CO27">
        <v>0.69243985928396101</v>
      </c>
      <c r="CP27">
        <v>0.82819106127298303</v>
      </c>
      <c r="CQ27">
        <v>0.15236360384331499</v>
      </c>
      <c r="CR27">
        <v>42.640762380777304</v>
      </c>
      <c r="CS27">
        <v>1.53369251938183</v>
      </c>
      <c r="CT27">
        <v>0.15336925193818199</v>
      </c>
      <c r="CU27">
        <v>1.4699999999999601E-2</v>
      </c>
      <c r="CV27">
        <v>1.9679745479530002E-3</v>
      </c>
      <c r="CW27">
        <v>2.2292023062266502</v>
      </c>
      <c r="CX27">
        <v>2.0299999999999499E-2</v>
      </c>
      <c r="CY27">
        <v>5.7225199930256198E-3</v>
      </c>
      <c r="CZ27">
        <v>0</v>
      </c>
      <c r="DA27">
        <v>2.3999991000028401E-3</v>
      </c>
      <c r="DB27">
        <v>1.4989476758030999E-3</v>
      </c>
      <c r="DC27">
        <v>1.9999999999999502E-3</v>
      </c>
      <c r="DD27">
        <v>3.7899290722756798E-3</v>
      </c>
      <c r="DE27">
        <v>1.17962865313548E-3</v>
      </c>
      <c r="DF27">
        <v>2.3999990999999999E-3</v>
      </c>
      <c r="DG27">
        <v>0</v>
      </c>
      <c r="DH27">
        <v>0</v>
      </c>
      <c r="DI27">
        <v>0.23180769399999401</v>
      </c>
      <c r="DJ27">
        <v>1.8846155199999499E-2</v>
      </c>
      <c r="DK27">
        <v>2.2847981997286499</v>
      </c>
      <c r="DL27">
        <v>0.149138263689859</v>
      </c>
      <c r="DM27">
        <v>82.300248054506994</v>
      </c>
      <c r="DN27">
        <v>214.20878949278099</v>
      </c>
      <c r="DO27">
        <v>327.66000000000003</v>
      </c>
      <c r="DP27">
        <v>31.104174171201301</v>
      </c>
      <c r="DQ27">
        <v>157.94999999999899</v>
      </c>
      <c r="DR27">
        <v>169.71</v>
      </c>
      <c r="DS27">
        <v>155.43319447545599</v>
      </c>
      <c r="DT27">
        <v>0</v>
      </c>
      <c r="DU27">
        <v>0</v>
      </c>
      <c r="DV27">
        <v>0</v>
      </c>
      <c r="DW27">
        <v>0</v>
      </c>
      <c r="DX27">
        <v>0</v>
      </c>
      <c r="DY27">
        <v>0</v>
      </c>
      <c r="DZ27">
        <v>0</v>
      </c>
      <c r="EA27">
        <v>0</v>
      </c>
      <c r="EB27">
        <v>0</v>
      </c>
      <c r="EC27">
        <v>0</v>
      </c>
      <c r="ED27">
        <v>0</v>
      </c>
      <c r="EE27">
        <v>0</v>
      </c>
      <c r="EF27">
        <v>1.3052593852896499</v>
      </c>
      <c r="EG27">
        <v>0</v>
      </c>
      <c r="EH27">
        <v>0</v>
      </c>
      <c r="EI27">
        <v>0</v>
      </c>
      <c r="EJ27">
        <v>0</v>
      </c>
      <c r="EK27">
        <v>0</v>
      </c>
      <c r="EL27">
        <v>0</v>
      </c>
      <c r="EM27">
        <v>0</v>
      </c>
      <c r="EN27">
        <v>0</v>
      </c>
      <c r="EO27">
        <v>0</v>
      </c>
      <c r="EP27">
        <v>0</v>
      </c>
      <c r="EQ27">
        <v>0</v>
      </c>
      <c r="ER27">
        <v>0</v>
      </c>
      <c r="ES27">
        <v>0</v>
      </c>
      <c r="ET27">
        <v>0</v>
      </c>
      <c r="EU27">
        <v>0</v>
      </c>
      <c r="EV27">
        <v>798.53361723816499</v>
      </c>
      <c r="EW27">
        <v>-28.649999999999899</v>
      </c>
      <c r="EX27">
        <v>1437.6733145191199</v>
      </c>
      <c r="EY27">
        <v>825.39124318767404</v>
      </c>
      <c r="EZ27">
        <v>98.417812503287905</v>
      </c>
      <c r="FA27">
        <v>645.90574209262104</v>
      </c>
      <c r="FB27">
        <v>693.34973144531205</v>
      </c>
      <c r="FC27">
        <v>0.42447602532668099</v>
      </c>
      <c r="FD27">
        <v>0.774120966222962</v>
      </c>
      <c r="FE27">
        <v>0</v>
      </c>
      <c r="FF27">
        <v>1</v>
      </c>
      <c r="FG27" s="159">
        <v>5.9158732788239604E-13</v>
      </c>
      <c r="FH27">
        <v>0</v>
      </c>
      <c r="FI27">
        <v>5.4512674794765098E-5</v>
      </c>
      <c r="FJ27">
        <v>-5.5677854315445297E-3</v>
      </c>
      <c r="FK27" s="159">
        <v>6.57534000000779E-6</v>
      </c>
      <c r="FL27" s="159">
        <v>2.8544462542578102E-6</v>
      </c>
      <c r="FM27" s="159">
        <v>4.1066025052621803E-6</v>
      </c>
      <c r="FN27">
        <v>0</v>
      </c>
      <c r="FO27">
        <v>0</v>
      </c>
      <c r="FP27">
        <v>0</v>
      </c>
      <c r="FQ27">
        <v>0</v>
      </c>
      <c r="FR27">
        <v>0</v>
      </c>
      <c r="FS27">
        <v>0</v>
      </c>
      <c r="FT27">
        <v>0</v>
      </c>
      <c r="FU27">
        <v>0</v>
      </c>
      <c r="FV27">
        <v>-999</v>
      </c>
      <c r="FW27">
        <v>0.47357984450400997</v>
      </c>
      <c r="FX27">
        <v>3.1765933031197E-3</v>
      </c>
      <c r="FY27">
        <v>1.17153601382025</v>
      </c>
      <c r="FZ27">
        <v>9.6324108140588398E-4</v>
      </c>
      <c r="GA27">
        <v>43.118568943300197</v>
      </c>
      <c r="GB27">
        <v>1.0666069934841101E-2</v>
      </c>
      <c r="GC27">
        <v>2.8827216040111202E-3</v>
      </c>
      <c r="GD27">
        <v>0</v>
      </c>
      <c r="GE27">
        <v>7.0225559885367002E-3</v>
      </c>
      <c r="GF27">
        <v>0.45918568766006201</v>
      </c>
      <c r="GG27">
        <v>5.5872462952492299E-4</v>
      </c>
      <c r="GH27">
        <v>9.4487954267656795E-3</v>
      </c>
      <c r="GI27">
        <v>1.8600620628623301E-2</v>
      </c>
      <c r="GJ27">
        <v>9.1417621849691202E-4</v>
      </c>
      <c r="GK27">
        <v>1.77636692803737E-3</v>
      </c>
      <c r="GL27">
        <v>0.38631949139921101</v>
      </c>
      <c r="GM27">
        <v>6.44643427317878E-3</v>
      </c>
      <c r="GN27">
        <v>5.3411211935783904E-4</v>
      </c>
      <c r="GO27">
        <v>0</v>
      </c>
      <c r="GP27">
        <v>0</v>
      </c>
      <c r="GQ27">
        <v>0</v>
      </c>
      <c r="GR27">
        <v>5.9855534068662897E-2</v>
      </c>
      <c r="GS27">
        <v>1.1114369094764999E-3</v>
      </c>
      <c r="GT27">
        <v>1.24679785168547E-4</v>
      </c>
      <c r="GU27">
        <v>3.75075772135086E-2</v>
      </c>
      <c r="GV27">
        <v>6.9646535360142999E-4</v>
      </c>
      <c r="GW27">
        <v>7.8128726807590303E-5</v>
      </c>
      <c r="GX27">
        <v>0.118283502223358</v>
      </c>
      <c r="GY27">
        <v>0.12895447330634399</v>
      </c>
      <c r="GZ27">
        <v>59.034484008117097</v>
      </c>
      <c r="HA27">
        <v>677.26245936284602</v>
      </c>
      <c r="HB27">
        <v>0</v>
      </c>
      <c r="HC27">
        <v>0.99981309221325299</v>
      </c>
      <c r="HD27">
        <v>0.40836808133022301</v>
      </c>
      <c r="HE27">
        <v>1.0604128452379701E-2</v>
      </c>
      <c r="HF27">
        <v>9.1833182172631101E-4</v>
      </c>
      <c r="HG27">
        <v>1.24575066074161E-2</v>
      </c>
      <c r="HH27" s="159">
        <v>4.7618756414645103E-7</v>
      </c>
      <c r="HI27" s="159">
        <v>3.3333254600195199E-7</v>
      </c>
      <c r="HJ27">
        <v>0</v>
      </c>
      <c r="HK27">
        <v>0</v>
      </c>
      <c r="HL27">
        <v>0</v>
      </c>
      <c r="HM27">
        <v>0</v>
      </c>
      <c r="HN27">
        <v>0</v>
      </c>
      <c r="HO27">
        <v>1.10171796651277E-2</v>
      </c>
      <c r="HP27">
        <v>0.53732255463656697</v>
      </c>
      <c r="HQ27">
        <v>1.0604128452379701E-2</v>
      </c>
      <c r="HR27">
        <v>9.1833182172631101E-4</v>
      </c>
      <c r="HS27">
        <v>0.72810855352045001</v>
      </c>
      <c r="HT27">
        <v>-999</v>
      </c>
      <c r="HU27">
        <v>1</v>
      </c>
      <c r="HV27">
        <v>0.78254494147299503</v>
      </c>
      <c r="HW27">
        <v>0.217455058527004</v>
      </c>
      <c r="HX27">
        <v>12505.916202647901</v>
      </c>
      <c r="HY27">
        <v>400.77762198765703</v>
      </c>
      <c r="HZ27">
        <v>40.252249291399004</v>
      </c>
      <c r="IA27">
        <v>-0.12895447330634399</v>
      </c>
      <c r="IB27">
        <v>0</v>
      </c>
      <c r="IC27">
        <v>0</v>
      </c>
      <c r="ID27">
        <v>0</v>
      </c>
      <c r="IE27">
        <v>0</v>
      </c>
      <c r="IF27">
        <v>0</v>
      </c>
      <c r="IG27">
        <v>0</v>
      </c>
      <c r="IH27">
        <v>0</v>
      </c>
      <c r="II27">
        <v>46.337800049999601</v>
      </c>
      <c r="IJ27">
        <v>463.37800049999902</v>
      </c>
      <c r="IK27">
        <v>1.01398199881403E-2</v>
      </c>
      <c r="IL27">
        <v>2.1972675073260901E-3</v>
      </c>
      <c r="IM27">
        <v>1.2337087495466401E-2</v>
      </c>
      <c r="IN27">
        <v>1.0457863066368699E-3</v>
      </c>
      <c r="IO27">
        <v>0.42175259306981</v>
      </c>
      <c r="IP27">
        <v>1.8274200236689499E-2</v>
      </c>
      <c r="IQ27">
        <v>1.7637965619669699E-3</v>
      </c>
      <c r="IR27">
        <v>0.297901086100815</v>
      </c>
      <c r="IS27">
        <v>0.24728900499466</v>
      </c>
      <c r="IT27">
        <v>0.25620918483731198</v>
      </c>
      <c r="IU27">
        <v>0.29611203752847798</v>
      </c>
      <c r="IV27">
        <v>1.37551914430854E-2</v>
      </c>
      <c r="IW27">
        <v>1.31189568260655E-3</v>
      </c>
      <c r="IX27">
        <v>7.5059505034385202E-2</v>
      </c>
      <c r="IY27">
        <v>2.6997219316049399E-3</v>
      </c>
      <c r="IZ27">
        <v>2.6997219316049199E-4</v>
      </c>
      <c r="JA27">
        <v>7.5120037973787607E-2</v>
      </c>
      <c r="JB27">
        <v>2.70189916557437E-3</v>
      </c>
      <c r="JC27">
        <v>2.7018991655743498E-4</v>
      </c>
      <c r="JD27">
        <v>1.6901733377115699E-4</v>
      </c>
      <c r="JE27">
        <v>3.1584018137570998E-3</v>
      </c>
      <c r="JF27" s="159">
        <v>-2.10064170919066E-19</v>
      </c>
      <c r="JG27">
        <v>0</v>
      </c>
      <c r="JH27">
        <v>4.1200031131933199E-3</v>
      </c>
      <c r="JI27">
        <v>5.3629929252712E-4</v>
      </c>
      <c r="JJ27">
        <v>-0.50018654880861002</v>
      </c>
      <c r="JK27">
        <v>1.6901733377115699E-4</v>
      </c>
      <c r="JL27" s="159">
        <v>6.5753399999999896E-6</v>
      </c>
      <c r="JM27">
        <v>-0.50018654880861002</v>
      </c>
      <c r="JN27">
        <v>0</v>
      </c>
      <c r="JO27">
        <v>1.74449241302712</v>
      </c>
      <c r="JP27">
        <v>-8.1352365291193305E-3</v>
      </c>
      <c r="JQ27">
        <v>6.1007002772426797E-4</v>
      </c>
      <c r="JR27">
        <v>4.6788281510352102E-2</v>
      </c>
      <c r="JS27">
        <v>1518.7410031079</v>
      </c>
      <c r="JT27">
        <v>4.9098749472992198E-2</v>
      </c>
      <c r="JU27">
        <v>0</v>
      </c>
      <c r="JV27">
        <v>365</v>
      </c>
      <c r="JW27">
        <v>0</v>
      </c>
      <c r="JX27">
        <v>-0.40268092994350901</v>
      </c>
      <c r="JY27">
        <v>0</v>
      </c>
      <c r="JZ27">
        <v>1.30972689404889</v>
      </c>
      <c r="KA27">
        <v>1.3991664986197001</v>
      </c>
      <c r="KB27">
        <v>1.4190561833650399</v>
      </c>
      <c r="KC27">
        <v>0</v>
      </c>
      <c r="KD27">
        <v>0</v>
      </c>
      <c r="KE27">
        <v>0</v>
      </c>
      <c r="KF27">
        <v>3.51987151110937E-3</v>
      </c>
      <c r="KG27">
        <v>2.20017133640634E-2</v>
      </c>
      <c r="KH27">
        <v>3.9874439130055901E-2</v>
      </c>
      <c r="KI27">
        <v>0</v>
      </c>
      <c r="KJ27">
        <v>0</v>
      </c>
      <c r="KK27">
        <v>0</v>
      </c>
      <c r="KL27">
        <v>0</v>
      </c>
      <c r="KM27">
        <v>0</v>
      </c>
      <c r="KN27">
        <v>0</v>
      </c>
      <c r="KO27">
        <v>0</v>
      </c>
      <c r="KP27">
        <v>0</v>
      </c>
      <c r="KQ27">
        <v>0</v>
      </c>
      <c r="KR27">
        <v>0</v>
      </c>
      <c r="KS27">
        <v>0</v>
      </c>
      <c r="KT27">
        <v>0</v>
      </c>
      <c r="KU27">
        <v>0.34999999999999898</v>
      </c>
      <c r="KV27">
        <v>-0.117185524081461</v>
      </c>
      <c r="KW27">
        <v>1.8573318703364E-3</v>
      </c>
      <c r="KX27">
        <v>32295.287104630999</v>
      </c>
      <c r="KY27">
        <v>0</v>
      </c>
      <c r="KZ27">
        <v>0.21020535332625601</v>
      </c>
      <c r="LA27">
        <v>1.73602675993533E-5</v>
      </c>
      <c r="LB27">
        <v>0</v>
      </c>
      <c r="LC27">
        <v>-12.1569494446122</v>
      </c>
      <c r="LD27">
        <v>1.5705607025223799E-2</v>
      </c>
      <c r="LE27">
        <v>3.40151606153194E-3</v>
      </c>
      <c r="LF27">
        <v>1.5705607025223799E-2</v>
      </c>
      <c r="LG27">
        <v>0.94262405777813996</v>
      </c>
      <c r="LH27">
        <v>1.2291182474751501</v>
      </c>
      <c r="LI27">
        <v>0</v>
      </c>
      <c r="LJ27">
        <v>0</v>
      </c>
      <c r="LK27">
        <v>0.24099939305055901</v>
      </c>
      <c r="LL27">
        <v>0</v>
      </c>
      <c r="LM27">
        <v>0</v>
      </c>
      <c r="LN27">
        <v>0</v>
      </c>
      <c r="LO27">
        <v>0</v>
      </c>
      <c r="LP27">
        <v>0</v>
      </c>
      <c r="LQ27">
        <v>0</v>
      </c>
      <c r="LR27">
        <v>0</v>
      </c>
      <c r="LS27">
        <v>0</v>
      </c>
      <c r="LT27">
        <v>-999</v>
      </c>
      <c r="LU27">
        <v>0.42559076548193497</v>
      </c>
      <c r="LV27">
        <v>26</v>
      </c>
      <c r="LW27">
        <v>99</v>
      </c>
      <c r="LX27">
        <v>0.92499999999999905</v>
      </c>
      <c r="LY27">
        <v>0</v>
      </c>
      <c r="LZ27">
        <v>-999</v>
      </c>
      <c r="MA27">
        <v>0</v>
      </c>
      <c r="MB27">
        <v>0</v>
      </c>
      <c r="MC27">
        <v>499</v>
      </c>
      <c r="MD27">
        <v>-23.6999999999999</v>
      </c>
      <c r="ME27">
        <v>-33.6</v>
      </c>
      <c r="MF27">
        <v>0</v>
      </c>
      <c r="MG27">
        <v>8.0706896550000007</v>
      </c>
      <c r="MH27">
        <v>0</v>
      </c>
      <c r="MI27">
        <v>0</v>
      </c>
      <c r="MJ27">
        <v>0</v>
      </c>
      <c r="MK27">
        <v>0</v>
      </c>
      <c r="ML27">
        <v>0</v>
      </c>
      <c r="MM27">
        <v>0</v>
      </c>
      <c r="MN27">
        <v>0</v>
      </c>
      <c r="MO27">
        <v>0</v>
      </c>
      <c r="MP27">
        <v>0</v>
      </c>
      <c r="MQ27">
        <v>0</v>
      </c>
      <c r="MR27">
        <v>0</v>
      </c>
      <c r="MS27">
        <v>0</v>
      </c>
      <c r="MT27">
        <v>0</v>
      </c>
      <c r="MU27">
        <v>0</v>
      </c>
      <c r="MV27">
        <v>0</v>
      </c>
    </row>
    <row r="28" spans="1:360" x14ac:dyDescent="0.25">
      <c r="A28">
        <v>9855</v>
      </c>
      <c r="B28">
        <v>0</v>
      </c>
      <c r="C28">
        <v>-33.6</v>
      </c>
      <c r="D28">
        <v>-23.6999999999999</v>
      </c>
      <c r="E28">
        <v>400</v>
      </c>
      <c r="F28">
        <v>0</v>
      </c>
      <c r="G28">
        <v>0</v>
      </c>
      <c r="H28">
        <v>0</v>
      </c>
      <c r="I28">
        <v>0</v>
      </c>
      <c r="J28">
        <v>0</v>
      </c>
      <c r="K28">
        <v>0</v>
      </c>
      <c r="L28" s="159">
        <v>6.5753399999999896E-6</v>
      </c>
      <c r="M28">
        <v>0</v>
      </c>
      <c r="N28">
        <v>0</v>
      </c>
      <c r="O28">
        <v>0</v>
      </c>
      <c r="P28">
        <v>0</v>
      </c>
      <c r="Q28">
        <v>0</v>
      </c>
      <c r="R28">
        <v>0</v>
      </c>
      <c r="S28">
        <v>0</v>
      </c>
      <c r="T28">
        <v>0</v>
      </c>
      <c r="U28">
        <v>683.94852997636497</v>
      </c>
      <c r="V28">
        <v>13.6029242179123</v>
      </c>
      <c r="W28">
        <v>1.31609047005832</v>
      </c>
      <c r="X28">
        <v>0.35620673938321101</v>
      </c>
      <c r="Y28">
        <v>0.28215502864134501</v>
      </c>
      <c r="Z28">
        <v>0.36163823197544298</v>
      </c>
      <c r="AA28">
        <v>0.112695690046119</v>
      </c>
      <c r="AB28">
        <v>0.49548691788487298</v>
      </c>
      <c r="AC28">
        <v>0.39181739206900601</v>
      </c>
      <c r="AD28">
        <v>0.884392744687028</v>
      </c>
      <c r="AE28">
        <v>4.3459955402916299E-2</v>
      </c>
      <c r="AF28">
        <v>7.2147299910055404E-2</v>
      </c>
      <c r="AG28">
        <v>0</v>
      </c>
      <c r="AH28">
        <v>3403.5809586709702</v>
      </c>
      <c r="AI28">
        <v>80.258363058584195</v>
      </c>
      <c r="AJ28">
        <v>8.11236657515445</v>
      </c>
      <c r="AK28">
        <v>397.88236913286499</v>
      </c>
      <c r="AL28">
        <v>7.3881414235972196</v>
      </c>
      <c r="AM28">
        <v>0.82879367927669101</v>
      </c>
      <c r="AN28">
        <v>8705.1307687853205</v>
      </c>
      <c r="AO28">
        <v>313.10401584999198</v>
      </c>
      <c r="AP28">
        <v>31.310401584998999</v>
      </c>
      <c r="AQ28">
        <v>2.9399022732330499E-2</v>
      </c>
      <c r="AR28">
        <v>6.02191618954018E-3</v>
      </c>
      <c r="AS28">
        <v>2.3555588034593601E-2</v>
      </c>
      <c r="AT28">
        <v>9.48</v>
      </c>
      <c r="AU28">
        <v>5.9952957155996502</v>
      </c>
      <c r="AV28">
        <v>0</v>
      </c>
      <c r="AW28">
        <v>84.383700300397706</v>
      </c>
      <c r="AX28">
        <v>66.257592465803199</v>
      </c>
      <c r="AY28">
        <v>361.55198111459299</v>
      </c>
      <c r="AZ28">
        <v>0.54833294000258803</v>
      </c>
      <c r="BA28">
        <v>0.82663581940916397</v>
      </c>
      <c r="BB28">
        <v>1.38927028935552E-2</v>
      </c>
      <c r="BC28">
        <v>1.15953958168941E-3</v>
      </c>
      <c r="BD28">
        <v>0.59355701630754498</v>
      </c>
      <c r="BE28">
        <v>9.1955042164345701E-3</v>
      </c>
      <c r="BF28">
        <v>7.5386045030190305E-4</v>
      </c>
      <c r="BG28">
        <v>766.29999847710098</v>
      </c>
      <c r="BH28">
        <v>-1626.59999865293</v>
      </c>
      <c r="BI28">
        <v>422.37973639075102</v>
      </c>
      <c r="BJ28">
        <v>209.61865630335299</v>
      </c>
      <c r="BK28">
        <v>3.7909563615040698</v>
      </c>
      <c r="BL28">
        <v>4.5934703251962601</v>
      </c>
      <c r="BM28">
        <v>191.46429136143499</v>
      </c>
      <c r="BN28">
        <v>21.694129687332499</v>
      </c>
      <c r="BO28">
        <v>213.15842104876799</v>
      </c>
      <c r="BP28">
        <v>3.4373168332452102</v>
      </c>
      <c r="BQ28">
        <v>0.28863969477332202</v>
      </c>
      <c r="BR28">
        <v>205.827699941849</v>
      </c>
      <c r="BS28">
        <v>2.1872323462531802</v>
      </c>
      <c r="BT28">
        <v>0.28932714674216697</v>
      </c>
      <c r="BU28">
        <v>3.4559600117462002</v>
      </c>
      <c r="BV28">
        <v>1.6731998298064701</v>
      </c>
      <c r="BW28">
        <v>0.54128171567047501</v>
      </c>
      <c r="BX28">
        <v>1.24147846626926</v>
      </c>
      <c r="BY28">
        <v>0</v>
      </c>
      <c r="BZ28">
        <v>3.0344859700904001</v>
      </c>
      <c r="CA28">
        <v>0.40283086315480698</v>
      </c>
      <c r="CB28">
        <v>0.29044341073063101</v>
      </c>
      <c r="CC28">
        <v>0.24345056613348001</v>
      </c>
      <c r="CD28">
        <v>4.5189128639841598E-2</v>
      </c>
      <c r="CE28">
        <v>21.3113087215029</v>
      </c>
      <c r="CF28">
        <v>163.18642972866999</v>
      </c>
      <c r="CG28">
        <v>42.3560390177025</v>
      </c>
      <c r="CH28">
        <v>0.395722391770083</v>
      </c>
      <c r="CI28">
        <v>7.1073962924301002</v>
      </c>
      <c r="CJ28">
        <v>1.70297493610939</v>
      </c>
      <c r="CK28">
        <v>9.4638927898191092</v>
      </c>
      <c r="CL28">
        <v>1.52345165904866</v>
      </c>
      <c r="CM28">
        <v>9.49999893857702E-2</v>
      </c>
      <c r="CN28">
        <v>4.4391708041724598E-2</v>
      </c>
      <c r="CO28">
        <v>0.68785347399548202</v>
      </c>
      <c r="CP28">
        <v>0.82380954224029401</v>
      </c>
      <c r="CQ28">
        <v>0.15234516590486499</v>
      </c>
      <c r="CR28">
        <v>42.641270213179602</v>
      </c>
      <c r="CS28">
        <v>1.5337107849735501</v>
      </c>
      <c r="CT28">
        <v>0.15337107849735401</v>
      </c>
      <c r="CU28">
        <v>1.47000000000001E-2</v>
      </c>
      <c r="CV28">
        <v>1.9730844421989801E-3</v>
      </c>
      <c r="CW28">
        <v>2.22970053676223</v>
      </c>
      <c r="CX28">
        <v>2.0300000000000099E-2</v>
      </c>
      <c r="CY28">
        <v>5.7344481790261104E-3</v>
      </c>
      <c r="CZ28">
        <v>0</v>
      </c>
      <c r="DA28">
        <v>2.39999910000287E-3</v>
      </c>
      <c r="DB28">
        <v>1.49886683623117E-3</v>
      </c>
      <c r="DC28">
        <v>2.00000000000001E-3</v>
      </c>
      <c r="DD28">
        <v>3.7734447062413301E-3</v>
      </c>
      <c r="DE28">
        <v>1.17115169689596E-3</v>
      </c>
      <c r="DF28">
        <v>2.3999991000000298E-3</v>
      </c>
      <c r="DG28">
        <v>0</v>
      </c>
      <c r="DH28">
        <v>0</v>
      </c>
      <c r="DI28">
        <v>0.23180769400000101</v>
      </c>
      <c r="DJ28">
        <v>1.88461552000001E-2</v>
      </c>
      <c r="DK28">
        <v>2.2911645345273399</v>
      </c>
      <c r="DL28">
        <v>0.14955382079160201</v>
      </c>
      <c r="DM28">
        <v>81.733905913298599</v>
      </c>
      <c r="DN28">
        <v>214.826954726819</v>
      </c>
      <c r="DO28">
        <v>327.66000000000003</v>
      </c>
      <c r="DP28">
        <v>31.053165767062801</v>
      </c>
      <c r="DQ28">
        <v>157.94999999999899</v>
      </c>
      <c r="DR28">
        <v>169.71</v>
      </c>
      <c r="DS28">
        <v>155.46680358588799</v>
      </c>
      <c r="DT28">
        <v>0</v>
      </c>
      <c r="DU28">
        <v>0</v>
      </c>
      <c r="DV28">
        <v>0</v>
      </c>
      <c r="DW28">
        <v>0</v>
      </c>
      <c r="DX28">
        <v>0</v>
      </c>
      <c r="DY28">
        <v>0</v>
      </c>
      <c r="DZ28">
        <v>0</v>
      </c>
      <c r="EA28">
        <v>0</v>
      </c>
      <c r="EB28">
        <v>0</v>
      </c>
      <c r="EC28">
        <v>0</v>
      </c>
      <c r="ED28">
        <v>0</v>
      </c>
      <c r="EE28">
        <v>0</v>
      </c>
      <c r="EF28">
        <v>1.3036359348548201</v>
      </c>
      <c r="EG28">
        <v>0</v>
      </c>
      <c r="EH28">
        <v>0</v>
      </c>
      <c r="EI28">
        <v>0</v>
      </c>
      <c r="EJ28">
        <v>0</v>
      </c>
      <c r="EK28">
        <v>0</v>
      </c>
      <c r="EL28">
        <v>0</v>
      </c>
      <c r="EM28">
        <v>0</v>
      </c>
      <c r="EN28">
        <v>0</v>
      </c>
      <c r="EO28">
        <v>0</v>
      </c>
      <c r="EP28">
        <v>0</v>
      </c>
      <c r="EQ28">
        <v>0</v>
      </c>
      <c r="ER28">
        <v>0</v>
      </c>
      <c r="ES28">
        <v>0</v>
      </c>
      <c r="ET28">
        <v>0</v>
      </c>
      <c r="EU28">
        <v>0</v>
      </c>
      <c r="EV28">
        <v>799.62415760224201</v>
      </c>
      <c r="EW28">
        <v>-28.649999999999899</v>
      </c>
      <c r="EX28">
        <v>1439.8916420554999</v>
      </c>
      <c r="EY28">
        <v>826.04279826338097</v>
      </c>
      <c r="EZ28">
        <v>98.125755563617602</v>
      </c>
      <c r="FA28">
        <v>647.08992418808896</v>
      </c>
      <c r="FB28">
        <v>694.67596435546795</v>
      </c>
      <c r="FC28">
        <v>0.423216383745882</v>
      </c>
      <c r="FD28">
        <v>0.77182374588673197</v>
      </c>
      <c r="FE28">
        <v>0</v>
      </c>
      <c r="FF28">
        <v>1</v>
      </c>
      <c r="FG28" s="159">
        <v>5.9158732788239604E-13</v>
      </c>
      <c r="FH28">
        <v>0</v>
      </c>
      <c r="FI28">
        <v>5.4512674794765098E-5</v>
      </c>
      <c r="FJ28">
        <v>-5.5487394573007802E-3</v>
      </c>
      <c r="FK28" s="159">
        <v>6.57534000000779E-6</v>
      </c>
      <c r="FL28" s="159">
        <v>2.8348358519680698E-6</v>
      </c>
      <c r="FM28" s="159">
        <v>4.10637804223047E-6</v>
      </c>
      <c r="FN28">
        <v>0</v>
      </c>
      <c r="FO28">
        <v>0</v>
      </c>
      <c r="FP28">
        <v>0</v>
      </c>
      <c r="FQ28">
        <v>0</v>
      </c>
      <c r="FR28">
        <v>0</v>
      </c>
      <c r="FS28">
        <v>0</v>
      </c>
      <c r="FT28">
        <v>0</v>
      </c>
      <c r="FU28">
        <v>0</v>
      </c>
      <c r="FV28">
        <v>-999</v>
      </c>
      <c r="FW28">
        <v>0.47412214164551703</v>
      </c>
      <c r="FX28">
        <v>3.17870676629535E-3</v>
      </c>
      <c r="FY28">
        <v>1.1732714465307199</v>
      </c>
      <c r="FZ28">
        <v>9.6223050290570396E-4</v>
      </c>
      <c r="GA28">
        <v>43.081035056226803</v>
      </c>
      <c r="GB28">
        <v>1.0661805486499301E-2</v>
      </c>
      <c r="GC28">
        <v>2.88156905040522E-3</v>
      </c>
      <c r="GD28">
        <v>0</v>
      </c>
      <c r="GE28">
        <v>7.0225063196062698E-3</v>
      </c>
      <c r="GF28">
        <v>0.45603102463311901</v>
      </c>
      <c r="GG28">
        <v>5.5871102027913399E-4</v>
      </c>
      <c r="GH28">
        <v>9.44718603859219E-3</v>
      </c>
      <c r="GI28">
        <v>1.85958173566327E-2</v>
      </c>
      <c r="GJ28">
        <v>9.1402049405575299E-4</v>
      </c>
      <c r="GK28">
        <v>1.7759753655327199E-3</v>
      </c>
      <c r="GL28">
        <v>0.38691981223239902</v>
      </c>
      <c r="GM28">
        <v>6.4570631476468304E-3</v>
      </c>
      <c r="GN28">
        <v>5.34991887039951E-4</v>
      </c>
      <c r="GO28">
        <v>0</v>
      </c>
      <c r="GP28">
        <v>0</v>
      </c>
      <c r="GQ28">
        <v>0</v>
      </c>
      <c r="GR28">
        <v>5.99127522742317E-2</v>
      </c>
      <c r="GS28">
        <v>1.1124993747364401E-3</v>
      </c>
      <c r="GT28">
        <v>1.24798971367268E-4</v>
      </c>
      <c r="GU28">
        <v>3.7543937417165302E-2</v>
      </c>
      <c r="GV28">
        <v>6.9714051376846902E-4</v>
      </c>
      <c r="GW28">
        <v>7.8204465541713102E-5</v>
      </c>
      <c r="GX28">
        <v>0.11848846363853301</v>
      </c>
      <c r="GY28">
        <v>0.12915385484585001</v>
      </c>
      <c r="GZ28">
        <v>59.030170262196997</v>
      </c>
      <c r="HA28">
        <v>677.23363974050096</v>
      </c>
      <c r="HB28">
        <v>0</v>
      </c>
      <c r="HC28">
        <v>0.99981309021203202</v>
      </c>
      <c r="HD28">
        <v>0.40898401489049602</v>
      </c>
      <c r="HE28">
        <v>1.06200651892745E-2</v>
      </c>
      <c r="HF28">
        <v>9.1970129057012805E-4</v>
      </c>
      <c r="HG28">
        <v>1.24838714973008E-2</v>
      </c>
      <c r="HH28" s="159">
        <v>4.7618757101308201E-7</v>
      </c>
      <c r="HI28" s="159">
        <v>3.3333254602264601E-7</v>
      </c>
      <c r="HJ28">
        <v>0</v>
      </c>
      <c r="HK28">
        <v>0</v>
      </c>
      <c r="HL28">
        <v>0</v>
      </c>
      <c r="HM28">
        <v>0</v>
      </c>
      <c r="HN28">
        <v>0</v>
      </c>
      <c r="HO28">
        <v>1.10406901219518E-2</v>
      </c>
      <c r="HP28">
        <v>0.53813786973634603</v>
      </c>
      <c r="HQ28">
        <v>1.06200651892745E-2</v>
      </c>
      <c r="HR28">
        <v>9.1970129057012805E-4</v>
      </c>
      <c r="HS28">
        <v>0.727743338434094</v>
      </c>
      <c r="HT28">
        <v>-999</v>
      </c>
      <c r="HU28">
        <v>1</v>
      </c>
      <c r="HV28">
        <v>0.78336125627932196</v>
      </c>
      <c r="HW28">
        <v>0.21663874372067701</v>
      </c>
      <c r="HX28">
        <v>12506.5940965891</v>
      </c>
      <c r="HY28">
        <v>400.75052033217298</v>
      </c>
      <c r="HZ28">
        <v>40.251561839430103</v>
      </c>
      <c r="IA28">
        <v>-0.12915385484585001</v>
      </c>
      <c r="IB28">
        <v>0</v>
      </c>
      <c r="IC28">
        <v>0</v>
      </c>
      <c r="ID28">
        <v>0</v>
      </c>
      <c r="IE28">
        <v>0</v>
      </c>
      <c r="IF28">
        <v>0</v>
      </c>
      <c r="IG28">
        <v>0</v>
      </c>
      <c r="IH28">
        <v>0</v>
      </c>
      <c r="II28">
        <v>46.337800049999601</v>
      </c>
      <c r="IJ28">
        <v>463.37800049999902</v>
      </c>
      <c r="IK28">
        <v>1.0157879230427399E-2</v>
      </c>
      <c r="IL28">
        <v>2.2018691275400202E-3</v>
      </c>
      <c r="IM28">
        <v>1.23597483579675E-2</v>
      </c>
      <c r="IN28">
        <v>1.0391814654756499E-3</v>
      </c>
      <c r="IO28">
        <v>0.42182718382344703</v>
      </c>
      <c r="IP28">
        <v>1.82954370889758E-2</v>
      </c>
      <c r="IQ28">
        <v>1.75715564670824E-3</v>
      </c>
      <c r="IR28">
        <v>0.29767175152230801</v>
      </c>
      <c r="IS28">
        <v>0.24685545878538401</v>
      </c>
      <c r="IT28">
        <v>0.25702495534410102</v>
      </c>
      <c r="IU28">
        <v>0.29626114717499802</v>
      </c>
      <c r="IV28">
        <v>1.3779108572697501E-2</v>
      </c>
      <c r="IW28">
        <v>1.3055227950804201E-3</v>
      </c>
      <c r="IX28">
        <v>7.50461374079259E-2</v>
      </c>
      <c r="IY28">
        <v>2.6992411280836598E-3</v>
      </c>
      <c r="IZ28">
        <v>2.6992411280836502E-4</v>
      </c>
      <c r="JA28">
        <v>7.5118052231456497E-2</v>
      </c>
      <c r="JB28">
        <v>2.70182774287954E-3</v>
      </c>
      <c r="JC28">
        <v>2.70182774287952E-4</v>
      </c>
      <c r="JD28">
        <v>1.6927764116080599E-4</v>
      </c>
      <c r="JE28">
        <v>3.1620141915343499E-3</v>
      </c>
      <c r="JF28" s="159">
        <v>-4.87890977618477E-19</v>
      </c>
      <c r="JG28">
        <v>0</v>
      </c>
      <c r="JH28">
        <v>4.1211879576095898E-3</v>
      </c>
      <c r="JI28">
        <v>5.3652410389271998E-4</v>
      </c>
      <c r="JJ28">
        <v>-0.50053305425230599</v>
      </c>
      <c r="JK28">
        <v>1.6927764116080599E-4</v>
      </c>
      <c r="JL28" s="159">
        <v>6.5753399999999896E-6</v>
      </c>
      <c r="JM28">
        <v>-0.50053305425230599</v>
      </c>
      <c r="JN28">
        <v>0</v>
      </c>
      <c r="JO28">
        <v>1.7315995209766299</v>
      </c>
      <c r="JP28">
        <v>-8.4152088270566094E-3</v>
      </c>
      <c r="JQ28">
        <v>6.2655439375871105E-4</v>
      </c>
      <c r="JR28">
        <v>4.5973592819357999E-2</v>
      </c>
      <c r="JS28">
        <v>1520.7187605643001</v>
      </c>
      <c r="JT28">
        <v>4.8953047895726999E-2</v>
      </c>
      <c r="JU28">
        <v>0</v>
      </c>
      <c r="JV28">
        <v>365</v>
      </c>
      <c r="JW28">
        <v>0</v>
      </c>
      <c r="JX28">
        <v>-0.40268092994350901</v>
      </c>
      <c r="JY28">
        <v>0</v>
      </c>
      <c r="JZ28">
        <v>1.31021078525972</v>
      </c>
      <c r="KA28">
        <v>1.39939242986197</v>
      </c>
      <c r="KB28">
        <v>1.41975761115596</v>
      </c>
      <c r="KC28">
        <v>0</v>
      </c>
      <c r="KD28">
        <v>0</v>
      </c>
      <c r="KE28">
        <v>0</v>
      </c>
      <c r="KF28">
        <v>3.5223871198758099E-3</v>
      </c>
      <c r="KG28">
        <v>2.2022869214901201E-2</v>
      </c>
      <c r="KH28">
        <v>3.9819711834416099E-2</v>
      </c>
      <c r="KI28">
        <v>0</v>
      </c>
      <c r="KJ28">
        <v>0</v>
      </c>
      <c r="KK28">
        <v>0</v>
      </c>
      <c r="KL28">
        <v>0</v>
      </c>
      <c r="KM28">
        <v>0</v>
      </c>
      <c r="KN28">
        <v>0</v>
      </c>
      <c r="KO28">
        <v>0</v>
      </c>
      <c r="KP28">
        <v>0</v>
      </c>
      <c r="KQ28">
        <v>0</v>
      </c>
      <c r="KR28">
        <v>0</v>
      </c>
      <c r="KS28">
        <v>0</v>
      </c>
      <c r="KT28">
        <v>0</v>
      </c>
      <c r="KU28">
        <v>0.34999999999999898</v>
      </c>
      <c r="KV28">
        <v>-0.11707332201508799</v>
      </c>
      <c r="KW28">
        <v>1.8556316226379099E-3</v>
      </c>
      <c r="KX28">
        <v>32354.496209404399</v>
      </c>
      <c r="KY28">
        <v>0</v>
      </c>
      <c r="KZ28">
        <v>0.21021047587206901</v>
      </c>
      <c r="LA28">
        <v>1.73602675993533E-5</v>
      </c>
      <c r="LB28">
        <v>0</v>
      </c>
      <c r="LC28">
        <v>-12.1561947700306</v>
      </c>
      <c r="LD28">
        <v>1.5706096165371199E-2</v>
      </c>
      <c r="LE28">
        <v>3.40197751450116E-3</v>
      </c>
      <c r="LF28">
        <v>1.5706096165371199E-2</v>
      </c>
      <c r="LG28">
        <v>0.94297761933659097</v>
      </c>
      <c r="LH28">
        <v>1.2295200219733899</v>
      </c>
      <c r="LI28">
        <v>0</v>
      </c>
      <c r="LJ28">
        <v>0</v>
      </c>
      <c r="LK28">
        <v>0.24109628657256499</v>
      </c>
      <c r="LL28">
        <v>0</v>
      </c>
      <c r="LM28">
        <v>0</v>
      </c>
      <c r="LN28">
        <v>0</v>
      </c>
      <c r="LO28">
        <v>0</v>
      </c>
      <c r="LP28">
        <v>0</v>
      </c>
      <c r="LQ28">
        <v>0</v>
      </c>
      <c r="LR28">
        <v>0</v>
      </c>
      <c r="LS28">
        <v>0</v>
      </c>
      <c r="LT28">
        <v>-999</v>
      </c>
      <c r="LU28">
        <v>0.42559345979027302</v>
      </c>
      <c r="LV28">
        <v>27</v>
      </c>
      <c r="LW28">
        <v>102.959999999999</v>
      </c>
      <c r="LX28">
        <v>0.96199999999999897</v>
      </c>
      <c r="LY28">
        <v>0</v>
      </c>
      <c r="LZ28">
        <v>-999</v>
      </c>
      <c r="MA28">
        <v>0</v>
      </c>
      <c r="MB28">
        <v>0</v>
      </c>
      <c r="MC28">
        <v>502.95999999999901</v>
      </c>
      <c r="MD28">
        <v>-23.6999999999999</v>
      </c>
      <c r="ME28">
        <v>-33.6</v>
      </c>
      <c r="MF28">
        <v>0</v>
      </c>
      <c r="MG28">
        <v>8.0706896550000007</v>
      </c>
      <c r="MH28">
        <v>0</v>
      </c>
      <c r="MI28">
        <v>0</v>
      </c>
      <c r="MJ28">
        <v>0</v>
      </c>
      <c r="MK28">
        <v>0</v>
      </c>
      <c r="ML28">
        <v>0</v>
      </c>
      <c r="MM28">
        <v>0</v>
      </c>
      <c r="MN28">
        <v>0</v>
      </c>
      <c r="MO28">
        <v>0</v>
      </c>
      <c r="MP28">
        <v>0</v>
      </c>
      <c r="MQ28">
        <v>0</v>
      </c>
      <c r="MR28">
        <v>0</v>
      </c>
      <c r="MS28">
        <v>0</v>
      </c>
      <c r="MT28">
        <v>0</v>
      </c>
      <c r="MU28">
        <v>0</v>
      </c>
      <c r="MV28">
        <v>0</v>
      </c>
    </row>
    <row r="29" spans="1:360" x14ac:dyDescent="0.25">
      <c r="A29">
        <v>10220</v>
      </c>
      <c r="B29">
        <v>0</v>
      </c>
      <c r="C29">
        <v>-33.6</v>
      </c>
      <c r="D29">
        <v>-23.6999999999999</v>
      </c>
      <c r="E29">
        <v>400</v>
      </c>
      <c r="F29">
        <v>0</v>
      </c>
      <c r="G29">
        <v>0</v>
      </c>
      <c r="H29">
        <v>0</v>
      </c>
      <c r="I29">
        <v>0</v>
      </c>
      <c r="J29">
        <v>0</v>
      </c>
      <c r="K29">
        <v>0</v>
      </c>
      <c r="L29" s="159">
        <v>6.5753399999999896E-6</v>
      </c>
      <c r="M29">
        <v>0</v>
      </c>
      <c r="N29">
        <v>0</v>
      </c>
      <c r="O29">
        <v>0</v>
      </c>
      <c r="P29">
        <v>0</v>
      </c>
      <c r="Q29">
        <v>0</v>
      </c>
      <c r="R29">
        <v>0</v>
      </c>
      <c r="S29">
        <v>0</v>
      </c>
      <c r="T29">
        <v>0</v>
      </c>
      <c r="U29">
        <v>684.99932397019904</v>
      </c>
      <c r="V29">
        <v>13.621450565362499</v>
      </c>
      <c r="W29">
        <v>1.3178813653044199</v>
      </c>
      <c r="X29">
        <v>0.35447492916370299</v>
      </c>
      <c r="Y29">
        <v>0.28176168992678102</v>
      </c>
      <c r="Z29">
        <v>0.36376338090951399</v>
      </c>
      <c r="AA29">
        <v>0.11267329979412601</v>
      </c>
      <c r="AB29">
        <v>0.49621443194564002</v>
      </c>
      <c r="AC29">
        <v>0.39111226826023299</v>
      </c>
      <c r="AD29">
        <v>0.88440685319944101</v>
      </c>
      <c r="AE29">
        <v>4.3373784647339098E-2</v>
      </c>
      <c r="AF29">
        <v>7.2219362153219099E-2</v>
      </c>
      <c r="AG29">
        <v>0</v>
      </c>
      <c r="AH29">
        <v>3404.1596760709299</v>
      </c>
      <c r="AI29">
        <v>80.2344502788076</v>
      </c>
      <c r="AJ29">
        <v>8.1119607564867202</v>
      </c>
      <c r="AK29">
        <v>398.26511775731001</v>
      </c>
      <c r="AL29">
        <v>7.3952485516995399</v>
      </c>
      <c r="AM29">
        <v>0.82959094918684495</v>
      </c>
      <c r="AN29">
        <v>8704.8401782795409</v>
      </c>
      <c r="AO29">
        <v>313.09356396170398</v>
      </c>
      <c r="AP29">
        <v>31.309356396170202</v>
      </c>
      <c r="AQ29">
        <v>2.9432524660942899E-2</v>
      </c>
      <c r="AR29">
        <v>6.0312786501725904E-3</v>
      </c>
      <c r="AS29">
        <v>2.3397167337491299E-2</v>
      </c>
      <c r="AT29">
        <v>9.48</v>
      </c>
      <c r="AU29">
        <v>5.9949597894181199</v>
      </c>
      <c r="AV29">
        <v>0</v>
      </c>
      <c r="AW29">
        <v>84.417047170683404</v>
      </c>
      <c r="AX29">
        <v>66.269432370435496</v>
      </c>
      <c r="AY29">
        <v>361.54841132411099</v>
      </c>
      <c r="AZ29">
        <v>0.54833294000258803</v>
      </c>
      <c r="BA29">
        <v>0.82737828454609497</v>
      </c>
      <c r="BB29">
        <v>1.3901709759360699E-2</v>
      </c>
      <c r="BC29">
        <v>1.1604096847377E-3</v>
      </c>
      <c r="BD29">
        <v>0.59382560975648901</v>
      </c>
      <c r="BE29">
        <v>9.1995935694764303E-3</v>
      </c>
      <c r="BF29">
        <v>7.5397008795181995E-4</v>
      </c>
      <c r="BG29">
        <v>766.29999847710098</v>
      </c>
      <c r="BH29">
        <v>-1626.59999865293</v>
      </c>
      <c r="BI29">
        <v>422.723672880707</v>
      </c>
      <c r="BJ29">
        <v>209.72595105921999</v>
      </c>
      <c r="BK29">
        <v>3.7872846117988499</v>
      </c>
      <c r="BL29">
        <v>4.5971822104054203</v>
      </c>
      <c r="BM29">
        <v>191.55684627387399</v>
      </c>
      <c r="BN29">
        <v>21.715493001918801</v>
      </c>
      <c r="BO29">
        <v>213.272339275793</v>
      </c>
      <c r="BP29">
        <v>3.4398340513537198</v>
      </c>
      <c r="BQ29">
        <v>0.28887854880027503</v>
      </c>
      <c r="BR29">
        <v>205.93866644742101</v>
      </c>
      <c r="BS29">
        <v>2.1886458856584698</v>
      </c>
      <c r="BT29">
        <v>0.28953228638662198</v>
      </c>
      <c r="BU29">
        <v>3.45836039880394</v>
      </c>
      <c r="BV29">
        <v>1.67516553276856</v>
      </c>
      <c r="BW29">
        <v>0.54071318754742703</v>
      </c>
      <c r="BX29">
        <v>1.24248167848795</v>
      </c>
      <c r="BY29">
        <v>0</v>
      </c>
      <c r="BZ29">
        <v>3.03660650012805</v>
      </c>
      <c r="CA29">
        <v>0.403227551225667</v>
      </c>
      <c r="CB29">
        <v>0.29066944404637401</v>
      </c>
      <c r="CC29">
        <v>0.24364492012356001</v>
      </c>
      <c r="CD29">
        <v>4.5233628676714502E-2</v>
      </c>
      <c r="CE29">
        <v>21.3327443774748</v>
      </c>
      <c r="CF29">
        <v>163.29698175893699</v>
      </c>
      <c r="CG29">
        <v>42.351094182708998</v>
      </c>
      <c r="CH29">
        <v>0.39612042312335299</v>
      </c>
      <c r="CI29">
        <v>7.11367250003088</v>
      </c>
      <c r="CJ29">
        <v>1.7040322477404799</v>
      </c>
      <c r="CK29">
        <v>9.4726249407098209</v>
      </c>
      <c r="CL29">
        <v>1.5232738044322001</v>
      </c>
      <c r="CM29">
        <v>9.5152140955414397E-2</v>
      </c>
      <c r="CN29">
        <v>4.44363587665592E-2</v>
      </c>
      <c r="CO29">
        <v>0.68335888981416404</v>
      </c>
      <c r="CP29">
        <v>0.81951860692878697</v>
      </c>
      <c r="CQ29">
        <v>0.152327380443218</v>
      </c>
      <c r="CR29">
        <v>42.641684688484197</v>
      </c>
      <c r="CS29">
        <v>1.53372569272</v>
      </c>
      <c r="CT29">
        <v>0.15337256927199899</v>
      </c>
      <c r="CU29">
        <v>1.46999999999993E-2</v>
      </c>
      <c r="CV29">
        <v>1.97811575434261E-3</v>
      </c>
      <c r="CW29">
        <v>2.2302009829474398</v>
      </c>
      <c r="CX29">
        <v>2.02999999999991E-2</v>
      </c>
      <c r="CY29">
        <v>5.7461851988972502E-3</v>
      </c>
      <c r="CZ29">
        <v>0</v>
      </c>
      <c r="DA29">
        <v>2.3999991000028201E-3</v>
      </c>
      <c r="DB29">
        <v>1.4987839196661001E-3</v>
      </c>
      <c r="DC29">
        <v>1.9999999999999098E-3</v>
      </c>
      <c r="DD29">
        <v>3.7571883188813799E-3</v>
      </c>
      <c r="DE29">
        <v>1.16285773813662E-3</v>
      </c>
      <c r="DF29">
        <v>2.39999909999997E-3</v>
      </c>
      <c r="DG29">
        <v>0</v>
      </c>
      <c r="DH29">
        <v>0</v>
      </c>
      <c r="DI29">
        <v>0.23180769399998899</v>
      </c>
      <c r="DJ29">
        <v>1.88461551999991E-2</v>
      </c>
      <c r="DK29">
        <v>2.2974227933353499</v>
      </c>
      <c r="DL29">
        <v>0.149962323324762</v>
      </c>
      <c r="DM29">
        <v>81.176198861059007</v>
      </c>
      <c r="DN29">
        <v>215.435291763762</v>
      </c>
      <c r="DO29">
        <v>327.66000000000003</v>
      </c>
      <c r="DP29">
        <v>31.003325875495001</v>
      </c>
      <c r="DQ29">
        <v>157.94999999999899</v>
      </c>
      <c r="DR29">
        <v>169.71</v>
      </c>
      <c r="DS29">
        <v>155.49971581531099</v>
      </c>
      <c r="DT29">
        <v>0</v>
      </c>
      <c r="DU29">
        <v>0</v>
      </c>
      <c r="DV29">
        <v>0</v>
      </c>
      <c r="DW29">
        <v>0</v>
      </c>
      <c r="DX29">
        <v>0</v>
      </c>
      <c r="DY29">
        <v>0</v>
      </c>
      <c r="DZ29">
        <v>0</v>
      </c>
      <c r="EA29">
        <v>0</v>
      </c>
      <c r="EB29">
        <v>0</v>
      </c>
      <c r="EC29">
        <v>0</v>
      </c>
      <c r="ED29">
        <v>0</v>
      </c>
      <c r="EE29">
        <v>0</v>
      </c>
      <c r="EF29">
        <v>1.30205599527571</v>
      </c>
      <c r="EG29">
        <v>0</v>
      </c>
      <c r="EH29">
        <v>0</v>
      </c>
      <c r="EI29">
        <v>0</v>
      </c>
      <c r="EJ29">
        <v>0</v>
      </c>
      <c r="EK29">
        <v>0</v>
      </c>
      <c r="EL29">
        <v>0</v>
      </c>
      <c r="EM29">
        <v>0</v>
      </c>
      <c r="EN29">
        <v>0</v>
      </c>
      <c r="EO29">
        <v>0</v>
      </c>
      <c r="EP29">
        <v>0</v>
      </c>
      <c r="EQ29">
        <v>0</v>
      </c>
      <c r="ER29">
        <v>0</v>
      </c>
      <c r="ES29">
        <v>0</v>
      </c>
      <c r="ET29">
        <v>0</v>
      </c>
      <c r="EU29">
        <v>0</v>
      </c>
      <c r="EV29">
        <v>800.71318812666402</v>
      </c>
      <c r="EW29">
        <v>-28.649999999999899</v>
      </c>
      <c r="EX29">
        <v>1442.1038399372601</v>
      </c>
      <c r="EY29">
        <v>826.69308545191802</v>
      </c>
      <c r="EZ29">
        <v>97.8388612507175</v>
      </c>
      <c r="FA29">
        <v>648.26342326482495</v>
      </c>
      <c r="FB29">
        <v>696.00152587890602</v>
      </c>
      <c r="FC29">
        <v>0.42197900857434401</v>
      </c>
      <c r="FD29">
        <v>0.769567133012933</v>
      </c>
      <c r="FE29">
        <v>0</v>
      </c>
      <c r="FF29">
        <v>1</v>
      </c>
      <c r="FG29" s="159">
        <v>5.9161270482679697E-13</v>
      </c>
      <c r="FH29">
        <v>0</v>
      </c>
      <c r="FI29">
        <v>5.4512674794765098E-5</v>
      </c>
      <c r="FJ29">
        <v>-5.5300822366922799E-3</v>
      </c>
      <c r="FK29" s="159">
        <v>6.57534000000779E-6</v>
      </c>
      <c r="FL29" s="159">
        <v>2.8156592948084802E-6</v>
      </c>
      <c r="FM29" s="159">
        <v>4.10614795518204E-6</v>
      </c>
      <c r="FN29">
        <v>0</v>
      </c>
      <c r="FO29">
        <v>0</v>
      </c>
      <c r="FP29">
        <v>0</v>
      </c>
      <c r="FQ29">
        <v>0</v>
      </c>
      <c r="FR29">
        <v>0</v>
      </c>
      <c r="FS29">
        <v>0</v>
      </c>
      <c r="FT29">
        <v>0</v>
      </c>
      <c r="FU29">
        <v>0</v>
      </c>
      <c r="FV29">
        <v>-999</v>
      </c>
      <c r="FW29">
        <v>0.47465917612786201</v>
      </c>
      <c r="FX29">
        <v>3.1807797260587599E-3</v>
      </c>
      <c r="FY29">
        <v>1.17499386470082</v>
      </c>
      <c r="FZ29">
        <v>9.6120737553454796E-4</v>
      </c>
      <c r="GA29">
        <v>43.043867308824602</v>
      </c>
      <c r="GB29">
        <v>1.0657826482316699E-2</v>
      </c>
      <c r="GC29">
        <v>2.8804936438693802E-3</v>
      </c>
      <c r="GD29">
        <v>0</v>
      </c>
      <c r="GE29">
        <v>7.0224807454626996E-3</v>
      </c>
      <c r="GF29">
        <v>0.45294615289200801</v>
      </c>
      <c r="GG29">
        <v>5.5870363815831202E-4</v>
      </c>
      <c r="GH29">
        <v>9.4455407357872095E-3</v>
      </c>
      <c r="GI29">
        <v>1.8591097806001499E-2</v>
      </c>
      <c r="GJ29">
        <v>9.1386024279760695E-4</v>
      </c>
      <c r="GK29">
        <v>1.7755925669671201E-3</v>
      </c>
      <c r="GL29">
        <v>0.38751614101536802</v>
      </c>
      <c r="GM29">
        <v>6.4675748835304999E-3</v>
      </c>
      <c r="GN29">
        <v>5.3586112186663397E-4</v>
      </c>
      <c r="GO29">
        <v>0</v>
      </c>
      <c r="GP29">
        <v>0</v>
      </c>
      <c r="GQ29">
        <v>0</v>
      </c>
      <c r="GR29">
        <v>5.9969886962580002E-2</v>
      </c>
      <c r="GS29">
        <v>1.1135602891937299E-3</v>
      </c>
      <c r="GT29">
        <v>1.2491798359863101E-4</v>
      </c>
      <c r="GU29">
        <v>3.7580281732259399E-2</v>
      </c>
      <c r="GV29">
        <v>6.9781537890623198E-4</v>
      </c>
      <c r="GW29">
        <v>7.8280171179771803E-5</v>
      </c>
      <c r="GX29">
        <v>0.118691372785279</v>
      </c>
      <c r="GY29">
        <v>0.12935138920551001</v>
      </c>
      <c r="GZ29">
        <v>59.026256330046003</v>
      </c>
      <c r="HA29">
        <v>677.20971240890799</v>
      </c>
      <c r="HB29">
        <v>0</v>
      </c>
      <c r="HC29">
        <v>0.99981308839373395</v>
      </c>
      <c r="HD29">
        <v>0.40959440272180803</v>
      </c>
      <c r="HE29">
        <v>1.0635877959158701E-2</v>
      </c>
      <c r="HF29">
        <v>9.2106031135200605E-4</v>
      </c>
      <c r="HG29">
        <v>1.25100787333588E-2</v>
      </c>
      <c r="HH29" s="159">
        <v>4.7618757781471401E-7</v>
      </c>
      <c r="HI29" s="159">
        <v>3.3333254604642398E-7</v>
      </c>
      <c r="HJ29">
        <v>0</v>
      </c>
      <c r="HK29">
        <v>0</v>
      </c>
      <c r="HL29">
        <v>0</v>
      </c>
      <c r="HM29">
        <v>0</v>
      </c>
      <c r="HN29">
        <v>0</v>
      </c>
      <c r="HO29">
        <v>1.1064044092968401E-2</v>
      </c>
      <c r="HP29">
        <v>0.53894579192731895</v>
      </c>
      <c r="HQ29">
        <v>1.0635877959158701E-2</v>
      </c>
      <c r="HR29">
        <v>9.2106031135200605E-4</v>
      </c>
      <c r="HS29">
        <v>0.72738232542402204</v>
      </c>
      <c r="HT29">
        <v>-999</v>
      </c>
      <c r="HU29">
        <v>1</v>
      </c>
      <c r="HV29">
        <v>0.78416456442289795</v>
      </c>
      <c r="HW29">
        <v>0.215835435577102</v>
      </c>
      <c r="HX29">
        <v>12507.2649721077</v>
      </c>
      <c r="HY29">
        <v>400.72326279221102</v>
      </c>
      <c r="HZ29">
        <v>40.250908101843699</v>
      </c>
      <c r="IA29">
        <v>-0.12935138920551001</v>
      </c>
      <c r="IB29">
        <v>0</v>
      </c>
      <c r="IC29">
        <v>0</v>
      </c>
      <c r="ID29">
        <v>0</v>
      </c>
      <c r="IE29">
        <v>0</v>
      </c>
      <c r="IF29">
        <v>0</v>
      </c>
      <c r="IG29">
        <v>0</v>
      </c>
      <c r="IH29">
        <v>0</v>
      </c>
      <c r="II29">
        <v>46.337800049999601</v>
      </c>
      <c r="IJ29">
        <v>463.37800049999902</v>
      </c>
      <c r="IK29">
        <v>1.01758289664975E-2</v>
      </c>
      <c r="IL29">
        <v>2.2064480828001402E-3</v>
      </c>
      <c r="IM29">
        <v>1.23822770492976E-2</v>
      </c>
      <c r="IN29">
        <v>1.03271650341462E-3</v>
      </c>
      <c r="IO29">
        <v>0.42190147195234901</v>
      </c>
      <c r="IP29">
        <v>1.8316542668039101E-2</v>
      </c>
      <c r="IQ29">
        <v>1.7506591313972001E-3</v>
      </c>
      <c r="IR29">
        <v>0.29744622610287902</v>
      </c>
      <c r="IS29">
        <v>0.24642759586475499</v>
      </c>
      <c r="IT29">
        <v>0.257828693963779</v>
      </c>
      <c r="IU29">
        <v>0.29640847133287301</v>
      </c>
      <c r="IV29">
        <v>1.38028410938E-2</v>
      </c>
      <c r="IW29">
        <v>1.2992889739733E-3</v>
      </c>
      <c r="IX29">
        <v>7.5033236358252098E-2</v>
      </c>
      <c r="IY29">
        <v>2.69877710628217E-3</v>
      </c>
      <c r="IZ29">
        <v>2.6987771062821498E-4</v>
      </c>
      <c r="JA29">
        <v>7.5116001182967004E-2</v>
      </c>
      <c r="JB29">
        <v>2.7017539712687702E-3</v>
      </c>
      <c r="JC29">
        <v>2.70175397126875E-4</v>
      </c>
      <c r="JD29">
        <v>1.6953758246558299E-4</v>
      </c>
      <c r="JE29">
        <v>3.1655908963292702E-3</v>
      </c>
      <c r="JF29" s="159">
        <v>2.4394548880923802E-19</v>
      </c>
      <c r="JG29">
        <v>0</v>
      </c>
      <c r="JH29">
        <v>4.1223180157711698E-3</v>
      </c>
      <c r="JI29">
        <v>5.3674786768554599E-4</v>
      </c>
      <c r="JJ29">
        <v>-0.50087586172135101</v>
      </c>
      <c r="JK29">
        <v>1.6953758246558299E-4</v>
      </c>
      <c r="JL29" s="159">
        <v>6.5753399999999896E-6</v>
      </c>
      <c r="JM29">
        <v>-0.50087586172135101</v>
      </c>
      <c r="JN29">
        <v>0</v>
      </c>
      <c r="JO29">
        <v>1.7216695124636101</v>
      </c>
      <c r="JP29">
        <v>-8.6883281225899403E-3</v>
      </c>
      <c r="JQ29">
        <v>6.4281078111850804E-4</v>
      </c>
      <c r="JR29">
        <v>4.5183499683261602E-2</v>
      </c>
      <c r="JS29">
        <v>1522.69464087085</v>
      </c>
      <c r="JT29">
        <v>4.8809921853442802E-2</v>
      </c>
      <c r="JU29">
        <v>0</v>
      </c>
      <c r="JV29">
        <v>365</v>
      </c>
      <c r="JW29">
        <v>0</v>
      </c>
      <c r="JX29">
        <v>-0.40268092994350901</v>
      </c>
      <c r="JY29">
        <v>0</v>
      </c>
      <c r="JZ29">
        <v>1.31068395872296</v>
      </c>
      <c r="KA29">
        <v>1.3996221589958899</v>
      </c>
      <c r="KB29">
        <v>1.4204494119996001</v>
      </c>
      <c r="KC29">
        <v>0</v>
      </c>
      <c r="KD29">
        <v>0</v>
      </c>
      <c r="KE29">
        <v>0</v>
      </c>
      <c r="KF29">
        <v>3.52486092502829E-3</v>
      </c>
      <c r="KG29">
        <v>2.2043777635248701E-2</v>
      </c>
      <c r="KH29">
        <v>3.9765402117130699E-2</v>
      </c>
      <c r="KI29">
        <v>0</v>
      </c>
      <c r="KJ29">
        <v>0</v>
      </c>
      <c r="KK29">
        <v>0</v>
      </c>
      <c r="KL29">
        <v>0</v>
      </c>
      <c r="KM29">
        <v>0</v>
      </c>
      <c r="KN29">
        <v>0</v>
      </c>
      <c r="KO29">
        <v>0</v>
      </c>
      <c r="KP29">
        <v>0</v>
      </c>
      <c r="KQ29">
        <v>0</v>
      </c>
      <c r="KR29">
        <v>0</v>
      </c>
      <c r="KS29">
        <v>0</v>
      </c>
      <c r="KT29">
        <v>0</v>
      </c>
      <c r="KU29">
        <v>0.34999999999999898</v>
      </c>
      <c r="KV29">
        <v>-0.116962368139191</v>
      </c>
      <c r="KW29">
        <v>1.85395131160535E-3</v>
      </c>
      <c r="KX29">
        <v>32413.171163241201</v>
      </c>
      <c r="KY29">
        <v>0</v>
      </c>
      <c r="KZ29">
        <v>0.21021547783205499</v>
      </c>
      <c r="LA29">
        <v>1.73602675993533E-5</v>
      </c>
      <c r="LB29">
        <v>0</v>
      </c>
      <c r="LC29">
        <v>-12.155453727885099</v>
      </c>
      <c r="LD29">
        <v>1.5706577331757499E-2</v>
      </c>
      <c r="LE29">
        <v>3.4024314450542699E-3</v>
      </c>
      <c r="LF29">
        <v>1.5706577331757499E-2</v>
      </c>
      <c r="LG29">
        <v>0.94332531653180196</v>
      </c>
      <c r="LH29">
        <v>1.2299151324224999</v>
      </c>
      <c r="LI29">
        <v>0</v>
      </c>
      <c r="LJ29">
        <v>0</v>
      </c>
      <c r="LK29">
        <v>0.24119156334480901</v>
      </c>
      <c r="LL29">
        <v>0</v>
      </c>
      <c r="LM29">
        <v>0</v>
      </c>
      <c r="LN29">
        <v>0</v>
      </c>
      <c r="LO29">
        <v>0</v>
      </c>
      <c r="LP29">
        <v>0</v>
      </c>
      <c r="LQ29">
        <v>0</v>
      </c>
      <c r="LR29">
        <v>0</v>
      </c>
      <c r="LS29">
        <v>0</v>
      </c>
      <c r="LT29">
        <v>-999</v>
      </c>
      <c r="LU29">
        <v>0.42559604628708803</v>
      </c>
      <c r="LV29">
        <v>28</v>
      </c>
      <c r="LW29">
        <v>106.92</v>
      </c>
      <c r="LX29">
        <v>0.999</v>
      </c>
      <c r="LY29">
        <v>0</v>
      </c>
      <c r="LZ29">
        <v>-999</v>
      </c>
      <c r="MA29">
        <v>0</v>
      </c>
      <c r="MB29">
        <v>0</v>
      </c>
      <c r="MC29">
        <v>506.92</v>
      </c>
      <c r="MD29">
        <v>-23.6999999999999</v>
      </c>
      <c r="ME29">
        <v>-33.6</v>
      </c>
      <c r="MF29">
        <v>0</v>
      </c>
      <c r="MG29">
        <v>8.0706896550000007</v>
      </c>
      <c r="MH29">
        <v>0</v>
      </c>
      <c r="MI29">
        <v>0</v>
      </c>
      <c r="MJ29">
        <v>0</v>
      </c>
      <c r="MK29">
        <v>0</v>
      </c>
      <c r="ML29">
        <v>0</v>
      </c>
      <c r="MM29">
        <v>0</v>
      </c>
      <c r="MN29">
        <v>0</v>
      </c>
      <c r="MO29">
        <v>0</v>
      </c>
      <c r="MP29">
        <v>0</v>
      </c>
      <c r="MQ29">
        <v>0</v>
      </c>
      <c r="MR29">
        <v>0</v>
      </c>
      <c r="MS29">
        <v>0</v>
      </c>
      <c r="MT29">
        <v>0</v>
      </c>
      <c r="MU29">
        <v>0</v>
      </c>
      <c r="MV29">
        <v>0</v>
      </c>
    </row>
    <row r="30" spans="1:360" x14ac:dyDescent="0.25">
      <c r="A30">
        <v>10585</v>
      </c>
      <c r="B30">
        <v>0</v>
      </c>
      <c r="C30">
        <v>-33.6</v>
      </c>
      <c r="D30">
        <v>-23.6999999999999</v>
      </c>
      <c r="E30">
        <v>400</v>
      </c>
      <c r="F30">
        <v>0</v>
      </c>
      <c r="G30">
        <v>0</v>
      </c>
      <c r="H30">
        <v>0</v>
      </c>
      <c r="I30">
        <v>0</v>
      </c>
      <c r="J30">
        <v>0</v>
      </c>
      <c r="K30">
        <v>0</v>
      </c>
      <c r="L30" s="159">
        <v>6.5753399999999896E-6</v>
      </c>
      <c r="M30">
        <v>0</v>
      </c>
      <c r="N30">
        <v>0</v>
      </c>
      <c r="O30">
        <v>0</v>
      </c>
      <c r="P30">
        <v>0</v>
      </c>
      <c r="Q30">
        <v>0</v>
      </c>
      <c r="R30">
        <v>0</v>
      </c>
      <c r="S30">
        <v>0</v>
      </c>
      <c r="T30">
        <v>0</v>
      </c>
      <c r="U30">
        <v>686.04156101548801</v>
      </c>
      <c r="V30">
        <v>13.6398527620682</v>
      </c>
      <c r="W30">
        <v>1.3196593843371101</v>
      </c>
      <c r="X30">
        <v>0.35276415007460299</v>
      </c>
      <c r="Y30">
        <v>0.28136939210049</v>
      </c>
      <c r="Z30">
        <v>0.36586645782490501</v>
      </c>
      <c r="AA30">
        <v>0.112652645715645</v>
      </c>
      <c r="AB30">
        <v>0.49695204702812501</v>
      </c>
      <c r="AC30">
        <v>0.39039530725622801</v>
      </c>
      <c r="AD30">
        <v>0.88441976314376203</v>
      </c>
      <c r="AE30">
        <v>4.3287556709278002E-2</v>
      </c>
      <c r="AF30">
        <v>7.2292680146958901E-2</v>
      </c>
      <c r="AG30">
        <v>0</v>
      </c>
      <c r="AH30">
        <v>3404.7380776997502</v>
      </c>
      <c r="AI30">
        <v>80.210579002309302</v>
      </c>
      <c r="AJ30">
        <v>8.1116067459943899</v>
      </c>
      <c r="AK30">
        <v>398.64772430556201</v>
      </c>
      <c r="AL30">
        <v>7.4023530416376904</v>
      </c>
      <c r="AM30">
        <v>0.83038792315061305</v>
      </c>
      <c r="AN30">
        <v>8704.5445186926099</v>
      </c>
      <c r="AO30">
        <v>313.08292974994401</v>
      </c>
      <c r="AP30">
        <v>31.308292974994199</v>
      </c>
      <c r="AQ30">
        <v>2.9465842826591301E-2</v>
      </c>
      <c r="AR30">
        <v>6.0406133940863801E-3</v>
      </c>
      <c r="AS30">
        <v>2.3242382460474598E-2</v>
      </c>
      <c r="AT30">
        <v>9.48</v>
      </c>
      <c r="AU30">
        <v>5.9946158311367599</v>
      </c>
      <c r="AV30">
        <v>0</v>
      </c>
      <c r="AW30">
        <v>84.449873774489504</v>
      </c>
      <c r="AX30">
        <v>66.281062313771002</v>
      </c>
      <c r="AY30">
        <v>361.544896368259</v>
      </c>
      <c r="AZ30">
        <v>0.54833294000258803</v>
      </c>
      <c r="BA30">
        <v>0.82811615718257003</v>
      </c>
      <c r="BB30">
        <v>1.3910673456247399E-2</v>
      </c>
      <c r="BC30">
        <v>1.1612741549577299E-3</v>
      </c>
      <c r="BD30">
        <v>0.59408557887987501</v>
      </c>
      <c r="BE30">
        <v>9.2036261376679997E-3</v>
      </c>
      <c r="BF30">
        <v>7.5408266560384103E-4</v>
      </c>
      <c r="BG30">
        <v>766.29999847710098</v>
      </c>
      <c r="BH30">
        <v>-1626.59999865293</v>
      </c>
      <c r="BI30">
        <v>423.059237285275</v>
      </c>
      <c r="BJ30">
        <v>209.82766549779799</v>
      </c>
      <c r="BK30">
        <v>3.77937825481703</v>
      </c>
      <c r="BL30">
        <v>4.6009592514314299</v>
      </c>
      <c r="BM30">
        <v>191.64962863496999</v>
      </c>
      <c r="BN30">
        <v>21.736759068971601</v>
      </c>
      <c r="BO30">
        <v>213.38638770394101</v>
      </c>
      <c r="BP30">
        <v>3.4423380701648099</v>
      </c>
      <c r="BQ30">
        <v>0.28911557293258699</v>
      </c>
      <c r="BR30">
        <v>206.04828724298099</v>
      </c>
      <c r="BS30">
        <v>2.19002124072356</v>
      </c>
      <c r="BT30">
        <v>0.28973603063715903</v>
      </c>
      <c r="BU30">
        <v>3.4607402668704599</v>
      </c>
      <c r="BV30">
        <v>1.67710180808133</v>
      </c>
      <c r="BW30">
        <v>0.54013595840225803</v>
      </c>
      <c r="BX30">
        <v>1.24350250038687</v>
      </c>
      <c r="BY30">
        <v>0</v>
      </c>
      <c r="BZ30">
        <v>3.0387156366244201</v>
      </c>
      <c r="CA30">
        <v>0.40362243354038602</v>
      </c>
      <c r="CB30">
        <v>0.29089359196527598</v>
      </c>
      <c r="CC30">
        <v>0.24383764678676201</v>
      </c>
      <c r="CD30">
        <v>4.5277926145825202E-2</v>
      </c>
      <c r="CE30">
        <v>21.354152520719801</v>
      </c>
      <c r="CF30">
        <v>163.406262452894</v>
      </c>
      <c r="CG30">
        <v>42.346365203154598</v>
      </c>
      <c r="CH30">
        <v>0.39651794360221898</v>
      </c>
      <c r="CI30">
        <v>7.1199233121769803</v>
      </c>
      <c r="CJ30">
        <v>1.7050915365996</v>
      </c>
      <c r="CK30">
        <v>9.4812981640888303</v>
      </c>
      <c r="CL30">
        <v>1.5231037136514001</v>
      </c>
      <c r="CM30">
        <v>9.5304073130283606E-2</v>
      </c>
      <c r="CN30">
        <v>4.4480952182058102E-2</v>
      </c>
      <c r="CO30">
        <v>0.67895377259796097</v>
      </c>
      <c r="CP30">
        <v>0.81531601069398796</v>
      </c>
      <c r="CQ30">
        <v>0.15231037136514</v>
      </c>
      <c r="CR30">
        <v>42.642024790086701</v>
      </c>
      <c r="CS30">
        <v>1.5337379254113199</v>
      </c>
      <c r="CT30">
        <v>0.15337379254113101</v>
      </c>
      <c r="CU30">
        <v>1.47000000000007E-2</v>
      </c>
      <c r="CV30">
        <v>1.9830774781243298E-3</v>
      </c>
      <c r="CW30">
        <v>2.2306945735980501</v>
      </c>
      <c r="CX30">
        <v>2.0300000000000901E-2</v>
      </c>
      <c r="CY30">
        <v>5.7577438522787502E-3</v>
      </c>
      <c r="CZ30">
        <v>0</v>
      </c>
      <c r="DA30">
        <v>2.39999910000288E-3</v>
      </c>
      <c r="DB30">
        <v>1.49869897147757E-3</v>
      </c>
      <c r="DC30">
        <v>2.0000000000000898E-3</v>
      </c>
      <c r="DD30">
        <v>3.7411809302530701E-3</v>
      </c>
      <c r="DE30">
        <v>1.1547406901269699E-3</v>
      </c>
      <c r="DF30">
        <v>2.3999991000000298E-3</v>
      </c>
      <c r="DG30">
        <v>0</v>
      </c>
      <c r="DH30">
        <v>0</v>
      </c>
      <c r="DI30">
        <v>0.231807694000011</v>
      </c>
      <c r="DJ30">
        <v>1.88461552000008E-2</v>
      </c>
      <c r="DK30">
        <v>2.3036003133977698</v>
      </c>
      <c r="DL30">
        <v>0.150365555704815</v>
      </c>
      <c r="DM30">
        <v>80.624893344266496</v>
      </c>
      <c r="DN30">
        <v>216.036227370901</v>
      </c>
      <c r="DO30">
        <v>327.66000000000003</v>
      </c>
      <c r="DP30">
        <v>30.954429131279301</v>
      </c>
      <c r="DQ30">
        <v>157.94999999999899</v>
      </c>
      <c r="DR30">
        <v>169.71</v>
      </c>
      <c r="DS30">
        <v>155.53203219336501</v>
      </c>
      <c r="DT30">
        <v>0</v>
      </c>
      <c r="DU30">
        <v>0</v>
      </c>
      <c r="DV30">
        <v>0</v>
      </c>
      <c r="DW30">
        <v>0</v>
      </c>
      <c r="DX30">
        <v>0</v>
      </c>
      <c r="DY30">
        <v>0</v>
      </c>
      <c r="DZ30">
        <v>0</v>
      </c>
      <c r="EA30">
        <v>0</v>
      </c>
      <c r="EB30">
        <v>0</v>
      </c>
      <c r="EC30">
        <v>0</v>
      </c>
      <c r="ED30">
        <v>0</v>
      </c>
      <c r="EE30">
        <v>0</v>
      </c>
      <c r="EF30">
        <v>1.3005063147956999</v>
      </c>
      <c r="EG30">
        <v>0</v>
      </c>
      <c r="EH30">
        <v>0</v>
      </c>
      <c r="EI30">
        <v>0</v>
      </c>
      <c r="EJ30">
        <v>0</v>
      </c>
      <c r="EK30">
        <v>0</v>
      </c>
      <c r="EL30">
        <v>0</v>
      </c>
      <c r="EM30">
        <v>0</v>
      </c>
      <c r="EN30">
        <v>0</v>
      </c>
      <c r="EO30">
        <v>0</v>
      </c>
      <c r="EP30">
        <v>0</v>
      </c>
      <c r="EQ30">
        <v>0</v>
      </c>
      <c r="ER30">
        <v>0</v>
      </c>
      <c r="ES30">
        <v>0</v>
      </c>
      <c r="ET30">
        <v>0</v>
      </c>
      <c r="EU30">
        <v>0</v>
      </c>
      <c r="EV30">
        <v>801.79447721657903</v>
      </c>
      <c r="EW30">
        <v>-28.649999999999899</v>
      </c>
      <c r="EX30">
        <v>1444.2980231905001</v>
      </c>
      <c r="EY30">
        <v>827.33827388436305</v>
      </c>
      <c r="EZ30">
        <v>97.557395338884405</v>
      </c>
      <c r="FA30">
        <v>649.42192375879097</v>
      </c>
      <c r="FB30">
        <v>697.31872558593705</v>
      </c>
      <c r="FC30">
        <v>0.42076504609660798</v>
      </c>
      <c r="FD30">
        <v>0.76735321809158896</v>
      </c>
      <c r="FE30">
        <v>0</v>
      </c>
      <c r="FF30">
        <v>1</v>
      </c>
      <c r="FG30" s="159">
        <v>5.9166345871559902E-13</v>
      </c>
      <c r="FH30">
        <v>0</v>
      </c>
      <c r="FI30">
        <v>5.4512674794765098E-5</v>
      </c>
      <c r="FJ30">
        <v>-5.5117845349701997E-3</v>
      </c>
      <c r="FK30" s="159">
        <v>6.57534000000779E-6</v>
      </c>
      <c r="FL30" s="159">
        <v>2.7969238993189399E-6</v>
      </c>
      <c r="FM30" s="159">
        <v>4.1059123666804903E-6</v>
      </c>
      <c r="FN30">
        <v>0</v>
      </c>
      <c r="FO30">
        <v>0</v>
      </c>
      <c r="FP30">
        <v>0</v>
      </c>
      <c r="FQ30">
        <v>0</v>
      </c>
      <c r="FR30">
        <v>0</v>
      </c>
      <c r="FS30">
        <v>0</v>
      </c>
      <c r="FT30">
        <v>0</v>
      </c>
      <c r="FU30">
        <v>0</v>
      </c>
      <c r="FV30">
        <v>-999</v>
      </c>
      <c r="FW30">
        <v>0.475193293801699</v>
      </c>
      <c r="FX30">
        <v>3.18280466503491E-3</v>
      </c>
      <c r="FY30">
        <v>1.1767122429296599</v>
      </c>
      <c r="FZ30">
        <v>9.6016899907485904E-4</v>
      </c>
      <c r="GA30">
        <v>43.007026952744397</v>
      </c>
      <c r="GB30">
        <v>1.06540279970625E-2</v>
      </c>
      <c r="GC30">
        <v>2.87946702623312E-3</v>
      </c>
      <c r="GD30">
        <v>0</v>
      </c>
      <c r="GE30">
        <v>7.0224406903428996E-3</v>
      </c>
      <c r="GF30">
        <v>0.44993224942522703</v>
      </c>
      <c r="GG30">
        <v>5.5870028746713199E-4</v>
      </c>
      <c r="GH30">
        <v>9.4439323069468208E-3</v>
      </c>
      <c r="GI30">
        <v>1.8586472420662001E-2</v>
      </c>
      <c r="GJ30">
        <v>9.1370296375670797E-4</v>
      </c>
      <c r="GK30">
        <v>1.7752189052219101E-3</v>
      </c>
      <c r="GL30">
        <v>0.38810589208945301</v>
      </c>
      <c r="GM30">
        <v>6.4779717653282798E-3</v>
      </c>
      <c r="GN30">
        <v>5.3672033421700701E-4</v>
      </c>
      <c r="GO30">
        <v>0</v>
      </c>
      <c r="GP30">
        <v>0</v>
      </c>
      <c r="GQ30">
        <v>0</v>
      </c>
      <c r="GR30">
        <v>6.0026607369222898E-2</v>
      </c>
      <c r="GS30">
        <v>1.11461351099593E-3</v>
      </c>
      <c r="GT30">
        <v>1.2503613287630301E-4</v>
      </c>
      <c r="GU30">
        <v>3.7616603777933001E-2</v>
      </c>
      <c r="GV30">
        <v>6.9848983053075197E-4</v>
      </c>
      <c r="GW30">
        <v>7.8355830430364506E-5</v>
      </c>
      <c r="GX30">
        <v>0.118892204163719</v>
      </c>
      <c r="GY30">
        <v>0.12954696014047501</v>
      </c>
      <c r="GZ30">
        <v>59.022386071326402</v>
      </c>
      <c r="HA30">
        <v>677.18642996727499</v>
      </c>
      <c r="HB30">
        <v>0</v>
      </c>
      <c r="HC30">
        <v>0.99981308672889002</v>
      </c>
      <c r="HD30">
        <v>0.41019811839175002</v>
      </c>
      <c r="HE30">
        <v>1.0651523539748501E-2</v>
      </c>
      <c r="HF30">
        <v>9.2240497043102497E-4</v>
      </c>
      <c r="HG30">
        <v>1.2536130825035199E-2</v>
      </c>
      <c r="HH30" s="159">
        <v>4.76187584560532E-7</v>
      </c>
      <c r="HI30" s="159">
        <v>3.3333254606903499E-7</v>
      </c>
      <c r="HJ30">
        <v>0</v>
      </c>
      <c r="HK30">
        <v>0</v>
      </c>
      <c r="HL30">
        <v>0</v>
      </c>
      <c r="HM30">
        <v>0</v>
      </c>
      <c r="HN30">
        <v>0</v>
      </c>
      <c r="HO30">
        <v>1.10872465655171E-2</v>
      </c>
      <c r="HP30">
        <v>0.53974507853222597</v>
      </c>
      <c r="HQ30">
        <v>1.0651523539748501E-2</v>
      </c>
      <c r="HR30">
        <v>9.2240497043102497E-4</v>
      </c>
      <c r="HS30">
        <v>0.72702202174146802</v>
      </c>
      <c r="HT30">
        <v>-999</v>
      </c>
      <c r="HU30">
        <v>1</v>
      </c>
      <c r="HV30">
        <v>0.78495331868275298</v>
      </c>
      <c r="HW30">
        <v>0.215046681317246</v>
      </c>
      <c r="HX30">
        <v>12507.9303206979</v>
      </c>
      <c r="HY30">
        <v>400.69586179389103</v>
      </c>
      <c r="HZ30">
        <v>40.250287644139199</v>
      </c>
      <c r="IA30">
        <v>-0.12954696014047501</v>
      </c>
      <c r="IB30">
        <v>0</v>
      </c>
      <c r="IC30">
        <v>0</v>
      </c>
      <c r="ID30">
        <v>0</v>
      </c>
      <c r="IE30">
        <v>0</v>
      </c>
      <c r="IF30">
        <v>0</v>
      </c>
      <c r="IG30">
        <v>0</v>
      </c>
      <c r="IH30">
        <v>0</v>
      </c>
      <c r="II30">
        <v>46.337800049999601</v>
      </c>
      <c r="IJ30">
        <v>463.37800049999902</v>
      </c>
      <c r="IK30">
        <v>1.01937260213865E-2</v>
      </c>
      <c r="IL30">
        <v>2.2110223628116002E-3</v>
      </c>
      <c r="IM30">
        <v>1.2404748384198101E-2</v>
      </c>
      <c r="IN30">
        <v>1.02639545718875E-3</v>
      </c>
      <c r="IO30">
        <v>0.42197561746889001</v>
      </c>
      <c r="IP30">
        <v>1.8337592287241501E-2</v>
      </c>
      <c r="IQ30">
        <v>1.74431093922433E-3</v>
      </c>
      <c r="IR30">
        <v>0.29722503274809597</v>
      </c>
      <c r="IS30">
        <v>0.246004905210115</v>
      </c>
      <c r="IT30">
        <v>0.25862004020972201</v>
      </c>
      <c r="IU30">
        <v>0.29655390074780102</v>
      </c>
      <c r="IV30">
        <v>1.38264546348369E-2</v>
      </c>
      <c r="IW30">
        <v>1.2931971739838699E-3</v>
      </c>
      <c r="IX30">
        <v>7.5020820964447704E-2</v>
      </c>
      <c r="IY30">
        <v>2.6983305524322901E-3</v>
      </c>
      <c r="IZ30">
        <v>2.6983305524322702E-4</v>
      </c>
      <c r="JA30">
        <v>7.5113887786978903E-2</v>
      </c>
      <c r="JB30">
        <v>2.7016779571584098E-3</v>
      </c>
      <c r="JC30">
        <v>2.7016779571583901E-4</v>
      </c>
      <c r="JD30">
        <v>1.6979738436796301E-4</v>
      </c>
      <c r="JE30">
        <v>3.1691474849164102E-3</v>
      </c>
      <c r="JF30" s="159">
        <v>7.6571778431788703E-19</v>
      </c>
      <c r="JG30">
        <v>0</v>
      </c>
      <c r="JH30">
        <v>4.1233842077971501E-3</v>
      </c>
      <c r="JI30">
        <v>5.3696951251095695E-4</v>
      </c>
      <c r="JJ30">
        <v>-0.50121474867525595</v>
      </c>
      <c r="JK30">
        <v>1.6979738436796301E-4</v>
      </c>
      <c r="JL30" s="159">
        <v>6.5753399999999896E-6</v>
      </c>
      <c r="JM30">
        <v>-0.50121474867525595</v>
      </c>
      <c r="JN30">
        <v>0</v>
      </c>
      <c r="JO30">
        <v>1.7075856354194301</v>
      </c>
      <c r="JP30">
        <v>-8.9561487049322208E-3</v>
      </c>
      <c r="JQ30">
        <v>6.5881816974705596E-4</v>
      </c>
      <c r="JR30">
        <v>4.4450153552705901E-2</v>
      </c>
      <c r="JS30">
        <v>1524.6569779745</v>
      </c>
      <c r="JT30">
        <v>4.8669503935812999E-2</v>
      </c>
      <c r="JU30">
        <v>0</v>
      </c>
      <c r="JV30">
        <v>365</v>
      </c>
      <c r="JW30">
        <v>0</v>
      </c>
      <c r="JX30">
        <v>-0.40268092994350901</v>
      </c>
      <c r="JY30">
        <v>0</v>
      </c>
      <c r="JZ30">
        <v>1.31116618912488</v>
      </c>
      <c r="KA30">
        <v>1.3998551344030801</v>
      </c>
      <c r="KB30">
        <v>1.4211308836544601</v>
      </c>
      <c r="KC30">
        <v>0</v>
      </c>
      <c r="KD30">
        <v>0</v>
      </c>
      <c r="KE30">
        <v>0</v>
      </c>
      <c r="KF30">
        <v>3.5272835095323798E-3</v>
      </c>
      <c r="KG30">
        <v>2.2064440141436499E-2</v>
      </c>
      <c r="KH30">
        <v>3.9711177078459503E-2</v>
      </c>
      <c r="KI30">
        <v>0</v>
      </c>
      <c r="KJ30">
        <v>0</v>
      </c>
      <c r="KK30">
        <v>0</v>
      </c>
      <c r="KL30">
        <v>0</v>
      </c>
      <c r="KM30">
        <v>0</v>
      </c>
      <c r="KN30">
        <v>0</v>
      </c>
      <c r="KO30">
        <v>0</v>
      </c>
      <c r="KP30">
        <v>0</v>
      </c>
      <c r="KQ30">
        <v>0</v>
      </c>
      <c r="KR30">
        <v>0</v>
      </c>
      <c r="KS30">
        <v>0</v>
      </c>
      <c r="KT30">
        <v>0</v>
      </c>
      <c r="KU30">
        <v>0.34999999999999898</v>
      </c>
      <c r="KV30">
        <v>-0.116853061917413</v>
      </c>
      <c r="KW30">
        <v>1.85229694627601E-3</v>
      </c>
      <c r="KX30">
        <v>32471.0961879395</v>
      </c>
      <c r="KY30">
        <v>0</v>
      </c>
      <c r="KZ30">
        <v>0.210220386309563</v>
      </c>
      <c r="LA30">
        <v>1.73602675993533E-5</v>
      </c>
      <c r="LB30">
        <v>0</v>
      </c>
      <c r="LC30">
        <v>-12.1547253914778</v>
      </c>
      <c r="LD30">
        <v>1.5707051115666702E-2</v>
      </c>
      <c r="LE30">
        <v>3.4028784110063698E-3</v>
      </c>
      <c r="LF30">
        <v>1.5707051115666702E-2</v>
      </c>
      <c r="LG30">
        <v>0.94366761233288599</v>
      </c>
      <c r="LH30">
        <v>1.23030410492373</v>
      </c>
      <c r="LI30">
        <v>0</v>
      </c>
      <c r="LJ30">
        <v>0</v>
      </c>
      <c r="LK30">
        <v>0.241285353641398</v>
      </c>
      <c r="LL30">
        <v>0</v>
      </c>
      <c r="LM30">
        <v>0</v>
      </c>
      <c r="LN30">
        <v>0</v>
      </c>
      <c r="LO30">
        <v>0</v>
      </c>
      <c r="LP30">
        <v>0</v>
      </c>
      <c r="LQ30">
        <v>0</v>
      </c>
      <c r="LR30">
        <v>0</v>
      </c>
      <c r="LS30">
        <v>0</v>
      </c>
      <c r="LT30">
        <v>-999</v>
      </c>
      <c r="LU30">
        <v>0.42559852753983901</v>
      </c>
      <c r="LV30">
        <v>29</v>
      </c>
      <c r="LW30">
        <v>110.88</v>
      </c>
      <c r="LX30">
        <v>1.036</v>
      </c>
      <c r="LY30">
        <v>0</v>
      </c>
      <c r="LZ30">
        <v>-999</v>
      </c>
      <c r="MA30">
        <v>0</v>
      </c>
      <c r="MB30">
        <v>0</v>
      </c>
      <c r="MC30">
        <v>510.88</v>
      </c>
      <c r="MD30">
        <v>-23.6999999999999</v>
      </c>
      <c r="ME30">
        <v>-33.6</v>
      </c>
      <c r="MF30">
        <v>0</v>
      </c>
      <c r="MG30">
        <v>8.0706896550000007</v>
      </c>
      <c r="MH30">
        <v>0</v>
      </c>
      <c r="MI30">
        <v>0</v>
      </c>
      <c r="MJ30">
        <v>0</v>
      </c>
      <c r="MK30">
        <v>0</v>
      </c>
      <c r="ML30">
        <v>0</v>
      </c>
      <c r="MM30">
        <v>0</v>
      </c>
      <c r="MN30">
        <v>0</v>
      </c>
      <c r="MO30">
        <v>0</v>
      </c>
      <c r="MP30">
        <v>0</v>
      </c>
      <c r="MQ30">
        <v>0</v>
      </c>
      <c r="MR30">
        <v>0</v>
      </c>
      <c r="MS30">
        <v>0</v>
      </c>
      <c r="MT30">
        <v>0</v>
      </c>
      <c r="MU30">
        <v>0</v>
      </c>
      <c r="MV30">
        <v>0</v>
      </c>
    </row>
    <row r="31" spans="1:360" x14ac:dyDescent="0.25">
      <c r="A31">
        <v>10950</v>
      </c>
      <c r="B31">
        <v>0</v>
      </c>
      <c r="C31">
        <v>-33.6</v>
      </c>
      <c r="D31">
        <v>-23.6999999999999</v>
      </c>
      <c r="E31">
        <v>400</v>
      </c>
      <c r="F31">
        <v>0</v>
      </c>
      <c r="G31">
        <v>0</v>
      </c>
      <c r="H31">
        <v>0</v>
      </c>
      <c r="I31">
        <v>0</v>
      </c>
      <c r="J31">
        <v>0</v>
      </c>
      <c r="K31">
        <v>0</v>
      </c>
      <c r="L31" s="159">
        <v>6.5753399999999896E-6</v>
      </c>
      <c r="M31">
        <v>0</v>
      </c>
      <c r="N31">
        <v>0</v>
      </c>
      <c r="O31">
        <v>0</v>
      </c>
      <c r="P31">
        <v>0</v>
      </c>
      <c r="Q31">
        <v>0</v>
      </c>
      <c r="R31">
        <v>0</v>
      </c>
      <c r="S31">
        <v>0</v>
      </c>
      <c r="T31">
        <v>0</v>
      </c>
      <c r="U31">
        <v>687.07521149607896</v>
      </c>
      <c r="V31">
        <v>13.6581040600497</v>
      </c>
      <c r="W31">
        <v>1.3214235071461</v>
      </c>
      <c r="X31">
        <v>0.35107456709069501</v>
      </c>
      <c r="Y31">
        <v>0.28097965696861099</v>
      </c>
      <c r="Z31">
        <v>0.367945775940693</v>
      </c>
      <c r="AA31">
        <v>0.112633602562336</v>
      </c>
      <c r="AB31">
        <v>0.49769928456579199</v>
      </c>
      <c r="AC31">
        <v>0.389667112871871</v>
      </c>
      <c r="AD31">
        <v>0.88443175875282898</v>
      </c>
      <c r="AE31">
        <v>4.3201353056315499E-2</v>
      </c>
      <c r="AF31">
        <v>7.23668881908546E-2</v>
      </c>
      <c r="AG31">
        <v>0</v>
      </c>
      <c r="AH31">
        <v>3405.3175396033998</v>
      </c>
      <c r="AI31">
        <v>80.186773388168305</v>
      </c>
      <c r="AJ31">
        <v>8.1113041938786097</v>
      </c>
      <c r="AK31">
        <v>399.03007470978002</v>
      </c>
      <c r="AL31">
        <v>7.4094527753250103</v>
      </c>
      <c r="AM31">
        <v>0.83118436356332803</v>
      </c>
      <c r="AN31">
        <v>8704.2440970171792</v>
      </c>
      <c r="AO31">
        <v>313.07212425654899</v>
      </c>
      <c r="AP31">
        <v>31.307212425654701</v>
      </c>
      <c r="AQ31">
        <v>2.9498841074803699E-2</v>
      </c>
      <c r="AR31">
        <v>6.0498709052605902E-3</v>
      </c>
      <c r="AS31">
        <v>2.3091276230463899E-2</v>
      </c>
      <c r="AT31">
        <v>9.48</v>
      </c>
      <c r="AU31">
        <v>5.9942640283300301</v>
      </c>
      <c r="AV31">
        <v>0</v>
      </c>
      <c r="AW31">
        <v>84.481700561623896</v>
      </c>
      <c r="AX31">
        <v>66.292462133374997</v>
      </c>
      <c r="AY31">
        <v>361.54149349320602</v>
      </c>
      <c r="AZ31">
        <v>0.54833294000258803</v>
      </c>
      <c r="BA31">
        <v>0.82884918786517703</v>
      </c>
      <c r="BB31">
        <v>1.39195996222838E-2</v>
      </c>
      <c r="BC31">
        <v>1.16213372476184E-3</v>
      </c>
      <c r="BD31">
        <v>0.59434507880329401</v>
      </c>
      <c r="BE31">
        <v>9.2075889553208494E-3</v>
      </c>
      <c r="BF31">
        <v>7.5419812820292395E-4</v>
      </c>
      <c r="BG31">
        <v>766.29999847710098</v>
      </c>
      <c r="BH31">
        <v>-1626.59999865293</v>
      </c>
      <c r="BI31">
        <v>423.39312111124701</v>
      </c>
      <c r="BJ31">
        <v>209.92924042285401</v>
      </c>
      <c r="BK31">
        <v>3.7729172527516801</v>
      </c>
      <c r="BL31">
        <v>4.6047509364302801</v>
      </c>
      <c r="BM31">
        <v>191.74247246525599</v>
      </c>
      <c r="BN31">
        <v>21.757868413438199</v>
      </c>
      <c r="BO31">
        <v>213.500340878694</v>
      </c>
      <c r="BP31">
        <v>3.44482655951558</v>
      </c>
      <c r="BQ31">
        <v>0.28935073016491603</v>
      </c>
      <c r="BR31">
        <v>206.15632317010201</v>
      </c>
      <c r="BS31">
        <v>2.19134996666115</v>
      </c>
      <c r="BT31">
        <v>0.28993739120739298</v>
      </c>
      <c r="BU31">
        <v>3.4630778574971601</v>
      </c>
      <c r="BV31">
        <v>1.6790021128749699</v>
      </c>
      <c r="BW31">
        <v>0.53954846450590999</v>
      </c>
      <c r="BX31">
        <v>1.2445272801162901</v>
      </c>
      <c r="BY31">
        <v>0</v>
      </c>
      <c r="BZ31">
        <v>3.0408121537884898</v>
      </c>
      <c r="CA31">
        <v>0.40401440572708702</v>
      </c>
      <c r="CB31">
        <v>0.291114852973899</v>
      </c>
      <c r="CC31">
        <v>0.24402883300497999</v>
      </c>
      <c r="CD31">
        <v>4.5321897159936002E-2</v>
      </c>
      <c r="CE31">
        <v>21.375518009221</v>
      </c>
      <c r="CF31">
        <v>163.51404948581799</v>
      </c>
      <c r="CG31">
        <v>42.341852008884103</v>
      </c>
      <c r="CH31">
        <v>0.396914672039758</v>
      </c>
      <c r="CI31">
        <v>7.1261947962263301</v>
      </c>
      <c r="CJ31">
        <v>1.7061679569766901</v>
      </c>
      <c r="CK31">
        <v>9.4899658422871802</v>
      </c>
      <c r="CL31">
        <v>1.52294138418296</v>
      </c>
      <c r="CM31">
        <v>9.5455810543774E-2</v>
      </c>
      <c r="CN31">
        <v>4.4525456747221401E-2</v>
      </c>
      <c r="CO31">
        <v>0.67464426737018901</v>
      </c>
      <c r="CP31">
        <v>0.81120697081988502</v>
      </c>
      <c r="CQ31">
        <v>0.15229413841829501</v>
      </c>
      <c r="CR31">
        <v>42.6422736842839</v>
      </c>
      <c r="CS31">
        <v>1.53374687757698</v>
      </c>
      <c r="CT31">
        <v>0.153374687757696</v>
      </c>
      <c r="CU31">
        <v>1.47E-2</v>
      </c>
      <c r="CV31">
        <v>1.9879750363536999E-3</v>
      </c>
      <c r="CW31">
        <v>2.2311948374783102</v>
      </c>
      <c r="CX31">
        <v>2.0299999999999999E-2</v>
      </c>
      <c r="CY31">
        <v>5.7691584845408596E-3</v>
      </c>
      <c r="CZ31">
        <v>0</v>
      </c>
      <c r="DA31">
        <v>2.3999991000028201E-3</v>
      </c>
      <c r="DB31">
        <v>1.4986120375019101E-3</v>
      </c>
      <c r="DC31">
        <v>2E-3</v>
      </c>
      <c r="DD31">
        <v>3.72544637022168E-3</v>
      </c>
      <c r="DE31">
        <v>1.1468092307879701E-3</v>
      </c>
      <c r="DF31">
        <v>2.39999909999997E-3</v>
      </c>
      <c r="DG31">
        <v>0</v>
      </c>
      <c r="DH31">
        <v>0</v>
      </c>
      <c r="DI31">
        <v>0.23180769400000001</v>
      </c>
      <c r="DJ31">
        <v>1.8846155199999999E-2</v>
      </c>
      <c r="DK31">
        <v>2.30968383368874</v>
      </c>
      <c r="DL31">
        <v>0.15076265232955199</v>
      </c>
      <c r="DM31">
        <v>80.081666451150397</v>
      </c>
      <c r="DN31">
        <v>216.628431298386</v>
      </c>
      <c r="DO31">
        <v>327.66000000000003</v>
      </c>
      <c r="DP31">
        <v>30.906682171045802</v>
      </c>
      <c r="DQ31">
        <v>157.94999999999899</v>
      </c>
      <c r="DR31">
        <v>169.71</v>
      </c>
      <c r="DS31">
        <v>155.56368985786</v>
      </c>
      <c r="DT31">
        <v>0</v>
      </c>
      <c r="DU31">
        <v>0</v>
      </c>
      <c r="DV31">
        <v>0</v>
      </c>
      <c r="DW31">
        <v>0</v>
      </c>
      <c r="DX31">
        <v>0</v>
      </c>
      <c r="DY31">
        <v>0</v>
      </c>
      <c r="DZ31">
        <v>0</v>
      </c>
      <c r="EA31">
        <v>0</v>
      </c>
      <c r="EB31">
        <v>0</v>
      </c>
      <c r="EC31">
        <v>0</v>
      </c>
      <c r="ED31">
        <v>0</v>
      </c>
      <c r="EE31">
        <v>0</v>
      </c>
      <c r="EF31">
        <v>1.2990001371946001</v>
      </c>
      <c r="EG31">
        <v>0</v>
      </c>
      <c r="EH31">
        <v>0</v>
      </c>
      <c r="EI31">
        <v>0</v>
      </c>
      <c r="EJ31">
        <v>0</v>
      </c>
      <c r="EK31">
        <v>0</v>
      </c>
      <c r="EL31">
        <v>0</v>
      </c>
      <c r="EM31">
        <v>0</v>
      </c>
      <c r="EN31">
        <v>0</v>
      </c>
      <c r="EO31">
        <v>0</v>
      </c>
      <c r="EP31">
        <v>0</v>
      </c>
      <c r="EQ31">
        <v>0</v>
      </c>
      <c r="ER31">
        <v>0</v>
      </c>
      <c r="ES31">
        <v>0</v>
      </c>
      <c r="ET31">
        <v>0</v>
      </c>
      <c r="EU31">
        <v>0</v>
      </c>
      <c r="EV31">
        <v>802.86800401209996</v>
      </c>
      <c r="EW31">
        <v>-28.649999999999899</v>
      </c>
      <c r="EX31">
        <v>1446.47412946543</v>
      </c>
      <c r="EY31">
        <v>827.97834717599096</v>
      </c>
      <c r="EZ31">
        <v>97.281320391843806</v>
      </c>
      <c r="FA31">
        <v>650.56547755815495</v>
      </c>
      <c r="FB31">
        <v>698.62731933593705</v>
      </c>
      <c r="FC31">
        <v>0.41957433485002199</v>
      </c>
      <c r="FD31">
        <v>0.76518170666172602</v>
      </c>
      <c r="FE31">
        <v>0</v>
      </c>
      <c r="FF31">
        <v>1</v>
      </c>
      <c r="FG31" s="159">
        <v>5.9168883566000005E-13</v>
      </c>
      <c r="FH31">
        <v>0</v>
      </c>
      <c r="FI31">
        <v>5.4512674794765098E-5</v>
      </c>
      <c r="FJ31">
        <v>-5.4941086990521098E-3</v>
      </c>
      <c r="FK31" s="159">
        <v>6.57534000000779E-6</v>
      </c>
      <c r="FL31" s="159">
        <v>2.7786355413974499E-6</v>
      </c>
      <c r="FM31" s="159">
        <v>4.1056714052018097E-6</v>
      </c>
      <c r="FN31">
        <v>0</v>
      </c>
      <c r="FO31">
        <v>0</v>
      </c>
      <c r="FP31">
        <v>0</v>
      </c>
      <c r="FQ31">
        <v>0</v>
      </c>
      <c r="FR31">
        <v>0</v>
      </c>
      <c r="FS31">
        <v>0</v>
      </c>
      <c r="FT31">
        <v>0</v>
      </c>
      <c r="FU31">
        <v>0</v>
      </c>
      <c r="FV31">
        <v>-999</v>
      </c>
      <c r="FW31">
        <v>0.47572234940460201</v>
      </c>
      <c r="FX31">
        <v>3.1847839609244499E-3</v>
      </c>
      <c r="FY31">
        <v>1.1784184611805899</v>
      </c>
      <c r="FZ31">
        <v>9.5911547732717298E-4</v>
      </c>
      <c r="GA31">
        <v>42.970752402724997</v>
      </c>
      <c r="GB31">
        <v>1.06504653444496E-2</v>
      </c>
      <c r="GC31">
        <v>2.8785041471485399E-3</v>
      </c>
      <c r="GD31">
        <v>0</v>
      </c>
      <c r="GE31">
        <v>7.0224035854001597E-3</v>
      </c>
      <c r="GF31">
        <v>0.44699025946979298</v>
      </c>
      <c r="GG31">
        <v>5.58701580368455E-4</v>
      </c>
      <c r="GH31">
        <v>9.4423424393337493E-3</v>
      </c>
      <c r="GI31">
        <v>1.8581937965247802E-2</v>
      </c>
      <c r="GJ31">
        <v>9.1354797173901403E-4</v>
      </c>
      <c r="GK31">
        <v>1.77485402875262E-3</v>
      </c>
      <c r="GL31">
        <v>0.38868906384861801</v>
      </c>
      <c r="GM31">
        <v>6.4882421978544403E-3</v>
      </c>
      <c r="GN31">
        <v>5.3756920695806202E-4</v>
      </c>
      <c r="GO31">
        <v>0</v>
      </c>
      <c r="GP31">
        <v>0</v>
      </c>
      <c r="GQ31">
        <v>0</v>
      </c>
      <c r="GR31">
        <v>6.00829041692377E-2</v>
      </c>
      <c r="GS31">
        <v>1.1156588669917499E-3</v>
      </c>
      <c r="GT31">
        <v>1.2515339977635999E-4</v>
      </c>
      <c r="GU31">
        <v>3.7652902109169897E-2</v>
      </c>
      <c r="GV31">
        <v>6.9916384181002201E-4</v>
      </c>
      <c r="GW31">
        <v>7.8431440283505097E-5</v>
      </c>
      <c r="GX31">
        <v>0.11909070531010101</v>
      </c>
      <c r="GY31">
        <v>0.12974036025393401</v>
      </c>
      <c r="GZ31">
        <v>59.018649005388298</v>
      </c>
      <c r="HA31">
        <v>677.16411581187401</v>
      </c>
      <c r="HB31">
        <v>0</v>
      </c>
      <c r="HC31">
        <v>0.99981308518117895</v>
      </c>
      <c r="HD31">
        <v>0.41079491165054499</v>
      </c>
      <c r="HE31">
        <v>1.06669948935516E-2</v>
      </c>
      <c r="HF31">
        <v>9.2373505901693898E-4</v>
      </c>
      <c r="HG31">
        <v>1.2561962945453101E-2</v>
      </c>
      <c r="HH31" s="159">
        <v>4.76187591229889E-7</v>
      </c>
      <c r="HI31" s="159">
        <v>3.3333254609432898E-7</v>
      </c>
      <c r="HJ31">
        <v>0</v>
      </c>
      <c r="HK31">
        <v>0</v>
      </c>
      <c r="HL31">
        <v>0</v>
      </c>
      <c r="HM31">
        <v>0</v>
      </c>
      <c r="HN31">
        <v>0</v>
      </c>
      <c r="HO31">
        <v>1.11102436754223E-2</v>
      </c>
      <c r="HP31">
        <v>0.54053527190448003</v>
      </c>
      <c r="HQ31">
        <v>1.06669948935516E-2</v>
      </c>
      <c r="HR31">
        <v>9.2373505901693898E-4</v>
      </c>
      <c r="HS31">
        <v>0.72666496859773899</v>
      </c>
      <c r="HT31">
        <v>-999</v>
      </c>
      <c r="HU31">
        <v>1</v>
      </c>
      <c r="HV31">
        <v>0.78572764587027699</v>
      </c>
      <c r="HW31">
        <v>0.21427235412972201</v>
      </c>
      <c r="HX31">
        <v>12508.5917113303</v>
      </c>
      <c r="HY31">
        <v>400.66835042004197</v>
      </c>
      <c r="HZ31">
        <v>40.249700983096602</v>
      </c>
      <c r="IA31">
        <v>-0.12974036025393401</v>
      </c>
      <c r="IB31">
        <v>0</v>
      </c>
      <c r="IC31">
        <v>0</v>
      </c>
      <c r="ID31">
        <v>0</v>
      </c>
      <c r="IE31">
        <v>0</v>
      </c>
      <c r="IF31">
        <v>0</v>
      </c>
      <c r="IG31">
        <v>0</v>
      </c>
      <c r="IH31">
        <v>0</v>
      </c>
      <c r="II31">
        <v>46.337800049999601</v>
      </c>
      <c r="IJ31">
        <v>463.37800049999902</v>
      </c>
      <c r="IK31">
        <v>1.02115323394268E-2</v>
      </c>
      <c r="IL31">
        <v>2.2155787034090399E-3</v>
      </c>
      <c r="IM31">
        <v>1.24271110428358E-2</v>
      </c>
      <c r="IN31">
        <v>1.02022200704155E-3</v>
      </c>
      <c r="IO31">
        <v>0.42204989561824902</v>
      </c>
      <c r="IP31">
        <v>1.8358537954587299E-2</v>
      </c>
      <c r="IQ31">
        <v>1.73811489776069E-3</v>
      </c>
      <c r="IR31">
        <v>0.29700815828980498</v>
      </c>
      <c r="IS31">
        <v>0.24558815851575899</v>
      </c>
      <c r="IT31">
        <v>0.25939824433456399</v>
      </c>
      <c r="IU31">
        <v>0.29669763341426802</v>
      </c>
      <c r="IV31">
        <v>1.3849898425278499E-2</v>
      </c>
      <c r="IW31">
        <v>1.2872509448298101E-3</v>
      </c>
      <c r="IX31">
        <v>7.5008959376091894E-2</v>
      </c>
      <c r="IY31">
        <v>2.6979039177214299E-3</v>
      </c>
      <c r="IZ31">
        <v>2.6979039177214099E-4</v>
      </c>
      <c r="JA31">
        <v>7.5111733336712394E-2</v>
      </c>
      <c r="JB31">
        <v>2.7016004664178E-3</v>
      </c>
      <c r="JC31">
        <v>2.7016004664177798E-4</v>
      </c>
      <c r="JD31">
        <v>1.70057207577785E-4</v>
      </c>
      <c r="JE31">
        <v>3.1726705321496601E-3</v>
      </c>
      <c r="JF31" s="159">
        <v>-3.3203691532368501E-19</v>
      </c>
      <c r="JG31">
        <v>0</v>
      </c>
      <c r="JH31">
        <v>4.1243878488605203E-3</v>
      </c>
      <c r="JI31">
        <v>5.3718898443003995E-4</v>
      </c>
      <c r="JJ31">
        <v>-0.50154972700491496</v>
      </c>
      <c r="JK31">
        <v>1.70057207577785E-4</v>
      </c>
      <c r="JL31" s="159">
        <v>6.5753399999999896E-6</v>
      </c>
      <c r="JM31">
        <v>-0.50154972700491496</v>
      </c>
      <c r="JN31">
        <v>0</v>
      </c>
      <c r="JO31">
        <v>1.6950411130627501</v>
      </c>
      <c r="JP31">
        <v>-9.2178201066728006E-3</v>
      </c>
      <c r="JQ31">
        <v>6.7455272977829598E-4</v>
      </c>
      <c r="JR31">
        <v>4.3220079416961703E-2</v>
      </c>
      <c r="JS31">
        <v>1526.60567868883</v>
      </c>
      <c r="JT31">
        <v>4.8531775466592798E-2</v>
      </c>
      <c r="JU31">
        <v>0</v>
      </c>
      <c r="JV31">
        <v>365</v>
      </c>
      <c r="JW31">
        <v>0</v>
      </c>
      <c r="JX31">
        <v>-0.40268092994350901</v>
      </c>
      <c r="JY31">
        <v>0</v>
      </c>
      <c r="JZ31">
        <v>1.3116425718098801</v>
      </c>
      <c r="KA31">
        <v>1.4000934033376899</v>
      </c>
      <c r="KB31">
        <v>1.4218028330468599</v>
      </c>
      <c r="KC31">
        <v>0</v>
      </c>
      <c r="KD31">
        <v>0</v>
      </c>
      <c r="KE31">
        <v>0</v>
      </c>
      <c r="KF31">
        <v>3.5296560392658201E-3</v>
      </c>
      <c r="KG31">
        <v>2.20848153732894E-2</v>
      </c>
      <c r="KH31">
        <v>3.9657445812004297E-2</v>
      </c>
      <c r="KI31">
        <v>0</v>
      </c>
      <c r="KJ31">
        <v>0</v>
      </c>
      <c r="KK31">
        <v>0</v>
      </c>
      <c r="KL31">
        <v>0</v>
      </c>
      <c r="KM31">
        <v>0</v>
      </c>
      <c r="KN31">
        <v>0</v>
      </c>
      <c r="KO31">
        <v>0</v>
      </c>
      <c r="KP31">
        <v>0</v>
      </c>
      <c r="KQ31">
        <v>0</v>
      </c>
      <c r="KR31">
        <v>0</v>
      </c>
      <c r="KS31">
        <v>0</v>
      </c>
      <c r="KT31">
        <v>0</v>
      </c>
      <c r="KU31">
        <v>0.34999999999999898</v>
      </c>
      <c r="KV31">
        <v>-0.116745388778073</v>
      </c>
      <c r="KW31">
        <v>1.85066826097238E-3</v>
      </c>
      <c r="KX31">
        <v>32528.273877907701</v>
      </c>
      <c r="KY31">
        <v>0</v>
      </c>
      <c r="KZ31">
        <v>0.21022523052259601</v>
      </c>
      <c r="LA31">
        <v>1.73602675993533E-5</v>
      </c>
      <c r="LB31">
        <v>0</v>
      </c>
      <c r="LC31">
        <v>-12.1540156643955</v>
      </c>
      <c r="LD31">
        <v>1.57075100570012E-2</v>
      </c>
      <c r="LE31">
        <v>3.4033113745294999E-3</v>
      </c>
      <c r="LF31">
        <v>1.57075100570012E-2</v>
      </c>
      <c r="LG31">
        <v>0.94399940564185403</v>
      </c>
      <c r="LH31">
        <v>1.2306811427748301</v>
      </c>
      <c r="LI31">
        <v>0</v>
      </c>
      <c r="LJ31">
        <v>0</v>
      </c>
      <c r="LK31">
        <v>0.24137628731892499</v>
      </c>
      <c r="LL31">
        <v>0</v>
      </c>
      <c r="LM31">
        <v>0</v>
      </c>
      <c r="LN31">
        <v>0</v>
      </c>
      <c r="LO31">
        <v>0</v>
      </c>
      <c r="LP31">
        <v>0</v>
      </c>
      <c r="LQ31">
        <v>0</v>
      </c>
      <c r="LR31">
        <v>0</v>
      </c>
      <c r="LS31">
        <v>0</v>
      </c>
      <c r="LT31">
        <v>-999</v>
      </c>
      <c r="LU31">
        <v>0.42560100918395599</v>
      </c>
      <c r="LV31">
        <v>30</v>
      </c>
      <c r="LW31">
        <v>114.84</v>
      </c>
      <c r="LX31">
        <v>1.073</v>
      </c>
      <c r="LY31">
        <v>0</v>
      </c>
      <c r="LZ31">
        <v>-999</v>
      </c>
      <c r="MA31">
        <v>0</v>
      </c>
      <c r="MB31">
        <v>0</v>
      </c>
      <c r="MC31">
        <v>514.84</v>
      </c>
      <c r="MD31">
        <v>-23.6999999999999</v>
      </c>
      <c r="ME31">
        <v>-33.6</v>
      </c>
      <c r="MF31">
        <v>0</v>
      </c>
      <c r="MG31">
        <v>8.0706896550000007</v>
      </c>
      <c r="MH31">
        <v>0</v>
      </c>
      <c r="MI31">
        <v>0</v>
      </c>
      <c r="MJ31">
        <v>0</v>
      </c>
      <c r="MK31">
        <v>0</v>
      </c>
      <c r="ML31">
        <v>0</v>
      </c>
      <c r="MM31">
        <v>0</v>
      </c>
      <c r="MN31">
        <v>0</v>
      </c>
      <c r="MO31">
        <v>0</v>
      </c>
      <c r="MP31">
        <v>0</v>
      </c>
      <c r="MQ31">
        <v>0</v>
      </c>
      <c r="MR31">
        <v>0</v>
      </c>
      <c r="MS31">
        <v>0</v>
      </c>
      <c r="MT31">
        <v>0</v>
      </c>
      <c r="MU31">
        <v>0</v>
      </c>
      <c r="MV31">
        <v>0</v>
      </c>
    </row>
    <row r="32" spans="1:360" x14ac:dyDescent="0.25">
      <c r="A32">
        <v>11315</v>
      </c>
      <c r="B32">
        <v>0</v>
      </c>
      <c r="C32">
        <v>-33.6</v>
      </c>
      <c r="D32">
        <v>-23.6999999999999</v>
      </c>
      <c r="E32">
        <v>400</v>
      </c>
      <c r="F32">
        <v>0</v>
      </c>
      <c r="G32">
        <v>0</v>
      </c>
      <c r="H32">
        <v>0</v>
      </c>
      <c r="I32">
        <v>0</v>
      </c>
      <c r="J32">
        <v>0</v>
      </c>
      <c r="K32">
        <v>0</v>
      </c>
      <c r="L32" s="159">
        <v>6.5753399999999896E-6</v>
      </c>
      <c r="M32">
        <v>0</v>
      </c>
      <c r="N32">
        <v>0</v>
      </c>
      <c r="O32">
        <v>0</v>
      </c>
      <c r="P32">
        <v>0</v>
      </c>
      <c r="Q32">
        <v>0</v>
      </c>
      <c r="R32">
        <v>0</v>
      </c>
      <c r="S32">
        <v>0</v>
      </c>
      <c r="T32">
        <v>0</v>
      </c>
      <c r="U32">
        <v>688.09717477381105</v>
      </c>
      <c r="V32">
        <v>13.6761890086559</v>
      </c>
      <c r="W32">
        <v>1.3231729441142701</v>
      </c>
      <c r="X32">
        <v>0.34940732327879098</v>
      </c>
      <c r="Y32">
        <v>0.280592953809154</v>
      </c>
      <c r="Z32">
        <v>0.36999972291205402</v>
      </c>
      <c r="AA32">
        <v>0.11261617324203201</v>
      </c>
      <c r="AB32">
        <v>0.49845548008315699</v>
      </c>
      <c r="AC32">
        <v>0.38892834667480902</v>
      </c>
      <c r="AD32">
        <v>0.88444300993485603</v>
      </c>
      <c r="AE32">
        <v>4.31151795386455E-2</v>
      </c>
      <c r="AF32">
        <v>7.2441810526497702E-2</v>
      </c>
      <c r="AG32">
        <v>0</v>
      </c>
      <c r="AH32">
        <v>3405.89869021001</v>
      </c>
      <c r="AI32">
        <v>80.1630453836855</v>
      </c>
      <c r="AJ32">
        <v>8.1110525397445308</v>
      </c>
      <c r="AK32">
        <v>399.41200325996499</v>
      </c>
      <c r="AL32">
        <v>7.4165446757493001</v>
      </c>
      <c r="AM32">
        <v>0.83197992524910203</v>
      </c>
      <c r="AN32">
        <v>8703.9392385572191</v>
      </c>
      <c r="AO32">
        <v>313.06115918197202</v>
      </c>
      <c r="AP32">
        <v>31.306115918197001</v>
      </c>
      <c r="AQ32">
        <v>2.95315220378458E-2</v>
      </c>
      <c r="AR32">
        <v>6.0590476485125897E-3</v>
      </c>
      <c r="AS32">
        <v>2.2943884311834299E-2</v>
      </c>
      <c r="AT32">
        <v>9.48</v>
      </c>
      <c r="AU32">
        <v>5.9939045674037397</v>
      </c>
      <c r="AV32">
        <v>0</v>
      </c>
      <c r="AW32">
        <v>84.512211900678395</v>
      </c>
      <c r="AX32">
        <v>66.303644310037996</v>
      </c>
      <c r="AY32">
        <v>361.53824116646501</v>
      </c>
      <c r="AZ32">
        <v>0.54833294000258803</v>
      </c>
      <c r="BA32">
        <v>0.82957622376014095</v>
      </c>
      <c r="BB32">
        <v>1.39284583712236E-2</v>
      </c>
      <c r="BC32">
        <v>1.1629860523820999E-3</v>
      </c>
      <c r="BD32">
        <v>0.59459966194603497</v>
      </c>
      <c r="BE32">
        <v>9.2114925128856193E-3</v>
      </c>
      <c r="BF32">
        <v>7.5431604425768605E-4</v>
      </c>
      <c r="BG32">
        <v>766.29999847710098</v>
      </c>
      <c r="BH32">
        <v>-1626.59999865293</v>
      </c>
      <c r="BI32">
        <v>423.72058732645399</v>
      </c>
      <c r="BJ32">
        <v>210.02712808308499</v>
      </c>
      <c r="BK32">
        <v>3.7640678170005799</v>
      </c>
      <c r="BL32">
        <v>4.6085796957774798</v>
      </c>
      <c r="BM32">
        <v>191.83496291699399</v>
      </c>
      <c r="BN32">
        <v>21.778781584138802</v>
      </c>
      <c r="BO32">
        <v>213.613744501133</v>
      </c>
      <c r="BP32">
        <v>3.4472976259358701</v>
      </c>
      <c r="BQ32">
        <v>0.28958408316862</v>
      </c>
      <c r="BR32">
        <v>206.26306026608501</v>
      </c>
      <c r="BS32">
        <v>2.19263558182036</v>
      </c>
      <c r="BT32">
        <v>0.29013668307465501</v>
      </c>
      <c r="BU32">
        <v>3.4653825745419802</v>
      </c>
      <c r="BV32">
        <v>1.6808693469867899</v>
      </c>
      <c r="BW32">
        <v>0.53895114761533203</v>
      </c>
      <c r="BX32">
        <v>1.2455620799398599</v>
      </c>
      <c r="BY32">
        <v>0</v>
      </c>
      <c r="BZ32">
        <v>3.04289489070554</v>
      </c>
      <c r="CA32">
        <v>0.404402735230324</v>
      </c>
      <c r="CB32">
        <v>0.29133352013679997</v>
      </c>
      <c r="CC32">
        <v>0.24421862362684699</v>
      </c>
      <c r="CD32">
        <v>4.5365459541772998E-2</v>
      </c>
      <c r="CE32">
        <v>21.396853033954301</v>
      </c>
      <c r="CF32">
        <v>163.62058879444899</v>
      </c>
      <c r="CG32">
        <v>42.337613011655201</v>
      </c>
      <c r="CH32">
        <v>0.39731083480602802</v>
      </c>
      <c r="CI32">
        <v>7.1324576595708997</v>
      </c>
      <c r="CJ32">
        <v>1.70725079131482</v>
      </c>
      <c r="CK32">
        <v>9.4985900411620001</v>
      </c>
      <c r="CL32">
        <v>1.5227889169666999</v>
      </c>
      <c r="CM32">
        <v>9.5607502018167201E-2</v>
      </c>
      <c r="CN32">
        <v>4.4569897855996098E-2</v>
      </c>
      <c r="CO32">
        <v>0.67043084428774602</v>
      </c>
      <c r="CP32">
        <v>0.80719212820799202</v>
      </c>
      <c r="CQ32">
        <v>0.152278891696669</v>
      </c>
      <c r="CR32">
        <v>42.642471471635801</v>
      </c>
      <c r="CS32">
        <v>1.5337539915441101</v>
      </c>
      <c r="CT32">
        <v>0.15337539915440901</v>
      </c>
      <c r="CU32">
        <v>1.4699999999999E-2</v>
      </c>
      <c r="CV32">
        <v>1.99281038523209E-3</v>
      </c>
      <c r="CW32">
        <v>2.2316915348001198</v>
      </c>
      <c r="CX32">
        <v>2.0299999999998701E-2</v>
      </c>
      <c r="CY32">
        <v>5.7804191267118599E-3</v>
      </c>
      <c r="CZ32">
        <v>0</v>
      </c>
      <c r="DA32">
        <v>2.3999991000028301E-3</v>
      </c>
      <c r="DB32">
        <v>1.4985231644953801E-3</v>
      </c>
      <c r="DC32">
        <v>1.9999999999998699E-3</v>
      </c>
      <c r="DD32">
        <v>3.7100148827865801E-3</v>
      </c>
      <c r="DE32">
        <v>1.13906223819574E-3</v>
      </c>
      <c r="DF32">
        <v>2.39999909999998E-3</v>
      </c>
      <c r="DG32">
        <v>0</v>
      </c>
      <c r="DH32">
        <v>0</v>
      </c>
      <c r="DI32">
        <v>0.23180769399998499</v>
      </c>
      <c r="DJ32">
        <v>1.8846155199998701E-2</v>
      </c>
      <c r="DK32">
        <v>2.31569153645574</v>
      </c>
      <c r="DL32">
        <v>0.15115480002974799</v>
      </c>
      <c r="DM32">
        <v>79.544889378293206</v>
      </c>
      <c r="DN32">
        <v>217.21348761381799</v>
      </c>
      <c r="DO32">
        <v>327.66000000000003</v>
      </c>
      <c r="DP32">
        <v>30.859933811095999</v>
      </c>
      <c r="DQ32">
        <v>157.94999999999899</v>
      </c>
      <c r="DR32">
        <v>169.71</v>
      </c>
      <c r="DS32">
        <v>155.594719447128</v>
      </c>
      <c r="DT32">
        <v>0</v>
      </c>
      <c r="DU32">
        <v>0</v>
      </c>
      <c r="DV32">
        <v>0</v>
      </c>
      <c r="DW32">
        <v>0</v>
      </c>
      <c r="DX32">
        <v>0</v>
      </c>
      <c r="DY32">
        <v>0</v>
      </c>
      <c r="DZ32">
        <v>0</v>
      </c>
      <c r="EA32">
        <v>0</v>
      </c>
      <c r="EB32">
        <v>0</v>
      </c>
      <c r="EC32">
        <v>0</v>
      </c>
      <c r="ED32">
        <v>0</v>
      </c>
      <c r="EE32">
        <v>0</v>
      </c>
      <c r="EF32">
        <v>1.2975264509629001</v>
      </c>
      <c r="EG32">
        <v>0</v>
      </c>
      <c r="EH32">
        <v>0</v>
      </c>
      <c r="EI32">
        <v>0</v>
      </c>
      <c r="EJ32">
        <v>0</v>
      </c>
      <c r="EK32">
        <v>0</v>
      </c>
      <c r="EL32">
        <v>0</v>
      </c>
      <c r="EM32">
        <v>0</v>
      </c>
      <c r="EN32">
        <v>0</v>
      </c>
      <c r="EO32">
        <v>0</v>
      </c>
      <c r="EP32">
        <v>0</v>
      </c>
      <c r="EQ32">
        <v>0</v>
      </c>
      <c r="ER32">
        <v>0</v>
      </c>
      <c r="ES32">
        <v>0</v>
      </c>
      <c r="ET32">
        <v>0</v>
      </c>
      <c r="EU32">
        <v>0</v>
      </c>
      <c r="EV32">
        <v>803.93029736296</v>
      </c>
      <c r="EW32">
        <v>-28.649999999999899</v>
      </c>
      <c r="EX32">
        <v>1448.6256311027601</v>
      </c>
      <c r="EY32">
        <v>828.611173025619</v>
      </c>
      <c r="EZ32">
        <v>97.010615980818301</v>
      </c>
      <c r="FA32">
        <v>651.691989617888</v>
      </c>
      <c r="FB32">
        <v>699.92303466796795</v>
      </c>
      <c r="FC32">
        <v>0.41840678672526899</v>
      </c>
      <c r="FD32">
        <v>0.76305243803754297</v>
      </c>
      <c r="FE32">
        <v>0</v>
      </c>
      <c r="FF32">
        <v>1</v>
      </c>
      <c r="FG32" s="159">
        <v>5.9171421260440098E-13</v>
      </c>
      <c r="FH32">
        <v>0</v>
      </c>
      <c r="FI32">
        <v>5.4512674794765098E-5</v>
      </c>
      <c r="FJ32">
        <v>-5.4772228744535204E-3</v>
      </c>
      <c r="FK32" s="159">
        <v>6.57534000000779E-6</v>
      </c>
      <c r="FL32" s="159">
        <v>2.76079894046365E-6</v>
      </c>
      <c r="FM32" s="159">
        <v>4.1054251984215597E-6</v>
      </c>
      <c r="FN32">
        <v>0</v>
      </c>
      <c r="FO32">
        <v>0</v>
      </c>
      <c r="FP32">
        <v>0</v>
      </c>
      <c r="FQ32">
        <v>0</v>
      </c>
      <c r="FR32">
        <v>0</v>
      </c>
      <c r="FS32">
        <v>0</v>
      </c>
      <c r="FT32">
        <v>0</v>
      </c>
      <c r="FU32">
        <v>0</v>
      </c>
      <c r="FV32">
        <v>-999</v>
      </c>
      <c r="FW32">
        <v>0.47624641981735999</v>
      </c>
      <c r="FX32">
        <v>3.1867151810402402E-3</v>
      </c>
      <c r="FY32">
        <v>1.1801128644202901</v>
      </c>
      <c r="FZ32">
        <v>9.5804627671679395E-4</v>
      </c>
      <c r="GA32">
        <v>42.935200564496498</v>
      </c>
      <c r="GB32">
        <v>1.06471381647431E-2</v>
      </c>
      <c r="GC32">
        <v>2.87760490939003E-3</v>
      </c>
      <c r="GD32">
        <v>0</v>
      </c>
      <c r="GE32">
        <v>7.0223663671470701E-3</v>
      </c>
      <c r="GF32">
        <v>0.444120942223729</v>
      </c>
      <c r="GG32">
        <v>5.5870675081463796E-4</v>
      </c>
      <c r="GH32">
        <v>9.4408028651577595E-3</v>
      </c>
      <c r="GI32">
        <v>1.8577498423255401E-2</v>
      </c>
      <c r="GJ32">
        <v>9.13398821410482E-4</v>
      </c>
      <c r="GK32">
        <v>1.7744979482734E-3</v>
      </c>
      <c r="GL32">
        <v>0.38926432627298901</v>
      </c>
      <c r="GM32">
        <v>6.4983839652734098E-3</v>
      </c>
      <c r="GN32">
        <v>5.3840788115091501E-4</v>
      </c>
      <c r="GO32">
        <v>0</v>
      </c>
      <c r="GP32">
        <v>0</v>
      </c>
      <c r="GQ32">
        <v>0</v>
      </c>
      <c r="GR32">
        <v>6.01385950039292E-2</v>
      </c>
      <c r="GS32">
        <v>1.1166929710250499E-3</v>
      </c>
      <c r="GT32">
        <v>1.2526940444348501E-4</v>
      </c>
      <c r="GU32">
        <v>3.7689169817467102E-2</v>
      </c>
      <c r="GV32">
        <v>6.9983728446241502E-4</v>
      </c>
      <c r="GW32">
        <v>7.8506986348700101E-5</v>
      </c>
      <c r="GX32">
        <v>0.11928677343319399</v>
      </c>
      <c r="GY32">
        <v>0.12993148534246901</v>
      </c>
      <c r="GZ32">
        <v>59.014889151647097</v>
      </c>
      <c r="HA32">
        <v>677.14072943512804</v>
      </c>
      <c r="HB32">
        <v>0</v>
      </c>
      <c r="HC32">
        <v>0.999813083728885</v>
      </c>
      <c r="HD32">
        <v>0.41138411795719598</v>
      </c>
      <c r="HE32">
        <v>1.0682267457285699E-2</v>
      </c>
      <c r="HF32">
        <v>9.25048453572908E-4</v>
      </c>
      <c r="HG32">
        <v>1.25875395041885E-2</v>
      </c>
      <c r="HH32" s="159">
        <v>4.7618759781617299E-7</v>
      </c>
      <c r="HI32" s="159">
        <v>3.3333254612289099E-7</v>
      </c>
      <c r="HJ32">
        <v>0</v>
      </c>
      <c r="HK32">
        <v>0</v>
      </c>
      <c r="HL32">
        <v>0</v>
      </c>
      <c r="HM32">
        <v>0</v>
      </c>
      <c r="HN32">
        <v>0</v>
      </c>
      <c r="HO32">
        <v>1.11330060048853E-2</v>
      </c>
      <c r="HP32">
        <v>0.54131560329966599</v>
      </c>
      <c r="HQ32">
        <v>1.0682267457285699E-2</v>
      </c>
      <c r="HR32">
        <v>9.25048453572908E-4</v>
      </c>
      <c r="HS32">
        <v>0.72631085178936905</v>
      </c>
      <c r="HT32">
        <v>-999</v>
      </c>
      <c r="HU32">
        <v>1</v>
      </c>
      <c r="HV32">
        <v>0.78648708928009903</v>
      </c>
      <c r="HW32">
        <v>0.2135129107199</v>
      </c>
      <c r="HX32">
        <v>12509.2499320272</v>
      </c>
      <c r="HY32">
        <v>400.64074924140698</v>
      </c>
      <c r="HZ32">
        <v>40.2491483831907</v>
      </c>
      <c r="IA32">
        <v>-0.12993148534246901</v>
      </c>
      <c r="IB32">
        <v>0</v>
      </c>
      <c r="IC32">
        <v>0</v>
      </c>
      <c r="ID32">
        <v>0</v>
      </c>
      <c r="IE32">
        <v>0</v>
      </c>
      <c r="IF32">
        <v>0</v>
      </c>
      <c r="IG32">
        <v>0</v>
      </c>
      <c r="IH32">
        <v>0</v>
      </c>
      <c r="II32">
        <v>46.337800049999601</v>
      </c>
      <c r="IJ32">
        <v>463.37800049999902</v>
      </c>
      <c r="IK32">
        <v>1.02292539723048E-2</v>
      </c>
      <c r="IL32">
        <v>2.2201187022329099E-3</v>
      </c>
      <c r="IM32">
        <v>1.2449372674537801E-2</v>
      </c>
      <c r="IN32">
        <v>1.0141989515492101E-3</v>
      </c>
      <c r="IO32">
        <v>0.42212448205015402</v>
      </c>
      <c r="IP32">
        <v>1.8379389599631899E-2</v>
      </c>
      <c r="IQ32">
        <v>1.7320739223174899E-3</v>
      </c>
      <c r="IR32">
        <v>0.29679581940306499</v>
      </c>
      <c r="IS32">
        <v>0.24517747865664599</v>
      </c>
      <c r="IT32">
        <v>0.260162822338244</v>
      </c>
      <c r="IU32">
        <v>0.29683970050998398</v>
      </c>
      <c r="IV32">
        <v>1.3873177198346E-2</v>
      </c>
      <c r="IW32">
        <v>1.2814526821889E-3</v>
      </c>
      <c r="IX32">
        <v>7.4997688626548903E-2</v>
      </c>
      <c r="IY32">
        <v>2.6974985341565801E-3</v>
      </c>
      <c r="IZ32">
        <v>2.6974985341565602E-4</v>
      </c>
      <c r="JA32">
        <v>7.5109558033329499E-2</v>
      </c>
      <c r="JB32">
        <v>2.7015222256373999E-3</v>
      </c>
      <c r="JC32">
        <v>2.7015222256373801E-4</v>
      </c>
      <c r="JD32">
        <v>1.7031713993802199E-4</v>
      </c>
      <c r="JE32">
        <v>3.1761612837990102E-3</v>
      </c>
      <c r="JF32" s="159">
        <v>-9.1479558303464398E-19</v>
      </c>
      <c r="JG32">
        <v>0</v>
      </c>
      <c r="JH32">
        <v>4.1253267494456101E-3</v>
      </c>
      <c r="JI32">
        <v>5.37405953203419E-4</v>
      </c>
      <c r="JJ32">
        <v>-0.50188074388578297</v>
      </c>
      <c r="JK32">
        <v>1.7031713993802199E-4</v>
      </c>
      <c r="JL32" s="159">
        <v>6.5753399999999896E-6</v>
      </c>
      <c r="JM32">
        <v>-0.50188074388578297</v>
      </c>
      <c r="JN32">
        <v>0</v>
      </c>
      <c r="JO32">
        <v>1.6801839745445799</v>
      </c>
      <c r="JP32">
        <v>-9.4743723235288096E-3</v>
      </c>
      <c r="JQ32">
        <v>6.8998421721327204E-4</v>
      </c>
      <c r="JR32">
        <v>4.1689196792532301E-2</v>
      </c>
      <c r="JS32">
        <v>1528.53419852717</v>
      </c>
      <c r="JT32">
        <v>4.83967262542635E-2</v>
      </c>
      <c r="JU32">
        <v>0</v>
      </c>
      <c r="JV32">
        <v>365</v>
      </c>
      <c r="JW32">
        <v>0</v>
      </c>
      <c r="JX32">
        <v>-0.40268092994350901</v>
      </c>
      <c r="JY32">
        <v>0</v>
      </c>
      <c r="JZ32">
        <v>1.31211959568008</v>
      </c>
      <c r="KA32">
        <v>1.40033325346517</v>
      </c>
      <c r="KB32">
        <v>1.4224636095027099</v>
      </c>
      <c r="KC32">
        <v>0</v>
      </c>
      <c r="KD32">
        <v>0</v>
      </c>
      <c r="KE32">
        <v>0</v>
      </c>
      <c r="KF32">
        <v>3.5319748906696802E-3</v>
      </c>
      <c r="KG32">
        <v>2.21048859025747E-2</v>
      </c>
      <c r="KH32">
        <v>3.9604303486751202E-2</v>
      </c>
      <c r="KI32">
        <v>0</v>
      </c>
      <c r="KJ32">
        <v>0</v>
      </c>
      <c r="KK32">
        <v>0</v>
      </c>
      <c r="KL32">
        <v>0</v>
      </c>
      <c r="KM32">
        <v>0</v>
      </c>
      <c r="KN32">
        <v>0</v>
      </c>
      <c r="KO32">
        <v>0</v>
      </c>
      <c r="KP32">
        <v>0</v>
      </c>
      <c r="KQ32">
        <v>0</v>
      </c>
      <c r="KR32">
        <v>0</v>
      </c>
      <c r="KS32">
        <v>0</v>
      </c>
      <c r="KT32">
        <v>0</v>
      </c>
      <c r="KU32">
        <v>0.34999999999999898</v>
      </c>
      <c r="KV32">
        <v>-0.116639535905673</v>
      </c>
      <c r="KW32">
        <v>1.84906804041458E-3</v>
      </c>
      <c r="KX32">
        <v>32584.599480894401</v>
      </c>
      <c r="KY32">
        <v>0</v>
      </c>
      <c r="KZ32">
        <v>0.21023002702819801</v>
      </c>
      <c r="LA32">
        <v>1.73602675993533E-5</v>
      </c>
      <c r="LB32">
        <v>0</v>
      </c>
      <c r="LC32">
        <v>-12.1533275174452</v>
      </c>
      <c r="LD32">
        <v>1.5707949277030901E-2</v>
      </c>
      <c r="LE32">
        <v>3.4037257330480999E-3</v>
      </c>
      <c r="LF32">
        <v>1.5707949277030901E-2</v>
      </c>
      <c r="LG32">
        <v>0.94431734486705599</v>
      </c>
      <c r="LH32">
        <v>1.2310424373489199</v>
      </c>
      <c r="LI32">
        <v>0</v>
      </c>
      <c r="LJ32">
        <v>0</v>
      </c>
      <c r="LK32">
        <v>0.24146346257336601</v>
      </c>
      <c r="LL32">
        <v>0</v>
      </c>
      <c r="LM32">
        <v>0</v>
      </c>
      <c r="LN32">
        <v>0</v>
      </c>
      <c r="LO32">
        <v>0</v>
      </c>
      <c r="LP32">
        <v>0</v>
      </c>
      <c r="LQ32">
        <v>0</v>
      </c>
      <c r="LR32">
        <v>0</v>
      </c>
      <c r="LS32">
        <v>0</v>
      </c>
      <c r="LT32">
        <v>-999</v>
      </c>
      <c r="LU32">
        <v>0.42560358978551899</v>
      </c>
      <c r="LV32">
        <v>31</v>
      </c>
      <c r="LW32">
        <v>118.8</v>
      </c>
      <c r="LX32">
        <v>1.1099999999999901</v>
      </c>
      <c r="LY32">
        <v>0</v>
      </c>
      <c r="LZ32">
        <v>-999</v>
      </c>
      <c r="MA32">
        <v>0</v>
      </c>
      <c r="MB32">
        <v>0</v>
      </c>
      <c r="MC32">
        <v>518.79999999999905</v>
      </c>
      <c r="MD32">
        <v>-23.6999999999999</v>
      </c>
      <c r="ME32">
        <v>-33.6</v>
      </c>
      <c r="MF32">
        <v>0</v>
      </c>
      <c r="MG32">
        <v>8.0706896550000007</v>
      </c>
      <c r="MH32">
        <v>0</v>
      </c>
      <c r="MI32">
        <v>0</v>
      </c>
      <c r="MJ32">
        <v>0</v>
      </c>
      <c r="MK32">
        <v>0</v>
      </c>
      <c r="ML32">
        <v>0</v>
      </c>
      <c r="MM32">
        <v>0</v>
      </c>
      <c r="MN32">
        <v>0</v>
      </c>
      <c r="MO32">
        <v>0</v>
      </c>
      <c r="MP32">
        <v>0</v>
      </c>
      <c r="MQ32">
        <v>0</v>
      </c>
      <c r="MR32">
        <v>0</v>
      </c>
      <c r="MS32">
        <v>0</v>
      </c>
      <c r="MT32">
        <v>0</v>
      </c>
      <c r="MU32">
        <v>0</v>
      </c>
      <c r="MV32">
        <v>0</v>
      </c>
    </row>
    <row r="33" spans="1:360" x14ac:dyDescent="0.25">
      <c r="A33">
        <v>11680</v>
      </c>
      <c r="B33">
        <v>0</v>
      </c>
      <c r="C33">
        <v>-33.6</v>
      </c>
      <c r="D33">
        <v>-23.6999999999999</v>
      </c>
      <c r="E33">
        <v>400</v>
      </c>
      <c r="F33">
        <v>0</v>
      </c>
      <c r="G33">
        <v>0</v>
      </c>
      <c r="H33">
        <v>0</v>
      </c>
      <c r="I33">
        <v>0</v>
      </c>
      <c r="J33">
        <v>0</v>
      </c>
      <c r="K33">
        <v>0</v>
      </c>
      <c r="L33" s="159">
        <v>6.5753399999999896E-6</v>
      </c>
      <c r="M33">
        <v>0</v>
      </c>
      <c r="N33">
        <v>0</v>
      </c>
      <c r="O33">
        <v>0</v>
      </c>
      <c r="P33">
        <v>0</v>
      </c>
      <c r="Q33">
        <v>0</v>
      </c>
      <c r="R33">
        <v>0</v>
      </c>
      <c r="S33">
        <v>0</v>
      </c>
      <c r="T33">
        <v>0</v>
      </c>
      <c r="U33">
        <v>689.10978477401397</v>
      </c>
      <c r="V33">
        <v>13.6940985062819</v>
      </c>
      <c r="W33">
        <v>1.3249071528960701</v>
      </c>
      <c r="X33">
        <v>0.34776052010083103</v>
      </c>
      <c r="Y33">
        <v>0.28021068640122299</v>
      </c>
      <c r="Z33">
        <v>0.37202879349794399</v>
      </c>
      <c r="AA33">
        <v>0.11260016557190899</v>
      </c>
      <c r="AB33">
        <v>0.499219552091895</v>
      </c>
      <c r="AC33">
        <v>0.388180282336195</v>
      </c>
      <c r="AD33">
        <v>0.88445356669732</v>
      </c>
      <c r="AE33">
        <v>4.3029004281732799E-2</v>
      </c>
      <c r="AF33">
        <v>7.2517429020946794E-2</v>
      </c>
      <c r="AG33">
        <v>0</v>
      </c>
      <c r="AH33">
        <v>3406.48215532925</v>
      </c>
      <c r="AI33">
        <v>80.139401970064199</v>
      </c>
      <c r="AJ33">
        <v>8.1108511278309106</v>
      </c>
      <c r="AK33">
        <v>399.79334630467503</v>
      </c>
      <c r="AL33">
        <v>7.42362570412301</v>
      </c>
      <c r="AM33">
        <v>0.83277426732005499</v>
      </c>
      <c r="AN33">
        <v>8703.6302764608499</v>
      </c>
      <c r="AO33">
        <v>313.05004650880397</v>
      </c>
      <c r="AP33">
        <v>31.3050046508802</v>
      </c>
      <c r="AQ33">
        <v>2.9563741545556601E-2</v>
      </c>
      <c r="AR33">
        <v>6.0681019908367896E-3</v>
      </c>
      <c r="AS33">
        <v>2.2800073122525799E-2</v>
      </c>
      <c r="AT33">
        <v>9.48</v>
      </c>
      <c r="AU33">
        <v>5.9935376358703003</v>
      </c>
      <c r="AV33">
        <v>0</v>
      </c>
      <c r="AW33">
        <v>84.541471827707497</v>
      </c>
      <c r="AX33">
        <v>66.314616769496098</v>
      </c>
      <c r="AY33">
        <v>361.535131966851</v>
      </c>
      <c r="AZ33">
        <v>0.54833294000258803</v>
      </c>
      <c r="BA33">
        <v>0.83029726598029496</v>
      </c>
      <c r="BB33">
        <v>1.3937259476999E-2</v>
      </c>
      <c r="BC33">
        <v>1.1638322979632E-3</v>
      </c>
      <c r="BD33">
        <v>0.59485627341422598</v>
      </c>
      <c r="BE33">
        <v>9.2153560119714508E-3</v>
      </c>
      <c r="BF33">
        <v>7.5443716368181002E-4</v>
      </c>
      <c r="BG33">
        <v>766.29999847710098</v>
      </c>
      <c r="BH33">
        <v>-1626.59999865293</v>
      </c>
      <c r="BI33">
        <v>424.04838097550697</v>
      </c>
      <c r="BJ33">
        <v>210.12671848277799</v>
      </c>
      <c r="BK33">
        <v>3.7582493859014598</v>
      </c>
      <c r="BL33">
        <v>4.6124555655116799</v>
      </c>
      <c r="BM33">
        <v>191.92707330072699</v>
      </c>
      <c r="BN33">
        <v>21.799490747360899</v>
      </c>
      <c r="BO33">
        <v>213.726564048087</v>
      </c>
      <c r="BP33">
        <v>3.4497460789010699</v>
      </c>
      <c r="BQ33">
        <v>0.28981531558132201</v>
      </c>
      <c r="BR33">
        <v>206.36846909687699</v>
      </c>
      <c r="BS33">
        <v>2.1938763034853301</v>
      </c>
      <c r="BT33">
        <v>0.29033365274097001</v>
      </c>
      <c r="BU33">
        <v>3.4676555765270898</v>
      </c>
      <c r="BV33">
        <v>1.68270236711513</v>
      </c>
      <c r="BW33">
        <v>0.53834359711150004</v>
      </c>
      <c r="BX33">
        <v>1.24660961230045</v>
      </c>
      <c r="BY33">
        <v>0</v>
      </c>
      <c r="BZ33">
        <v>3.0449588023124998</v>
      </c>
      <c r="CA33">
        <v>0.404787276588572</v>
      </c>
      <c r="CB33">
        <v>0.29154952436312398</v>
      </c>
      <c r="CC33">
        <v>0.24440671860770199</v>
      </c>
      <c r="CD33">
        <v>4.540859697362E-2</v>
      </c>
      <c r="CE33">
        <v>21.418147702650302</v>
      </c>
      <c r="CF33">
        <v>163.725849333399</v>
      </c>
      <c r="CG33">
        <v>42.333657667060798</v>
      </c>
      <c r="CH33">
        <v>0.397706248214863</v>
      </c>
      <c r="CI33">
        <v>7.1387167770880797</v>
      </c>
      <c r="CJ33">
        <v>1.70834177534534</v>
      </c>
      <c r="CK33">
        <v>9.5071755306499206</v>
      </c>
      <c r="CL33">
        <v>1.52264665209907</v>
      </c>
      <c r="CM33">
        <v>9.5759159309522099E-2</v>
      </c>
      <c r="CN33">
        <v>4.4614254902667898E-2</v>
      </c>
      <c r="CO33">
        <v>0.66631501342727395</v>
      </c>
      <c r="CP33">
        <v>0.80327273364136298</v>
      </c>
      <c r="CQ33">
        <v>0.152264665209905</v>
      </c>
      <c r="CR33">
        <v>42.6426197634772</v>
      </c>
      <c r="CS33">
        <v>1.53375932526881</v>
      </c>
      <c r="CT33">
        <v>0.15337593252688</v>
      </c>
      <c r="CU33">
        <v>1.4699999999999901E-2</v>
      </c>
      <c r="CV33">
        <v>1.9975700381953802E-3</v>
      </c>
      <c r="CW33">
        <v>2.2321859221696201</v>
      </c>
      <c r="CX33">
        <v>2.0299999999999801E-2</v>
      </c>
      <c r="CY33">
        <v>5.7914953704654003E-3</v>
      </c>
      <c r="CZ33">
        <v>0</v>
      </c>
      <c r="DA33">
        <v>2.39999910000289E-3</v>
      </c>
      <c r="DB33">
        <v>1.498432399424E-3</v>
      </c>
      <c r="DC33">
        <v>1.9999999999999801E-3</v>
      </c>
      <c r="DD33">
        <v>3.6948702005878999E-3</v>
      </c>
      <c r="DE33">
        <v>1.1315008659932399E-3</v>
      </c>
      <c r="DF33">
        <v>2.3999991000000398E-3</v>
      </c>
      <c r="DG33">
        <v>0</v>
      </c>
      <c r="DH33">
        <v>0</v>
      </c>
      <c r="DI33">
        <v>0.23180769399999801</v>
      </c>
      <c r="DJ33">
        <v>1.8846155199999801E-2</v>
      </c>
      <c r="DK33">
        <v>2.3216010121653499</v>
      </c>
      <c r="DL33">
        <v>0.151540536042124</v>
      </c>
      <c r="DM33">
        <v>79.016326544555696</v>
      </c>
      <c r="DN33">
        <v>217.78921178486701</v>
      </c>
      <c r="DO33">
        <v>327.66000000000003</v>
      </c>
      <c r="DP33">
        <v>30.8142329068192</v>
      </c>
      <c r="DQ33">
        <v>157.94999999999899</v>
      </c>
      <c r="DR33">
        <v>169.71</v>
      </c>
      <c r="DS33">
        <v>155.62511338603801</v>
      </c>
      <c r="DT33">
        <v>0</v>
      </c>
      <c r="DU33">
        <v>0</v>
      </c>
      <c r="DV33">
        <v>0</v>
      </c>
      <c r="DW33">
        <v>0</v>
      </c>
      <c r="DX33">
        <v>0</v>
      </c>
      <c r="DY33">
        <v>0</v>
      </c>
      <c r="DZ33">
        <v>0</v>
      </c>
      <c r="EA33">
        <v>0</v>
      </c>
      <c r="EB33">
        <v>0</v>
      </c>
      <c r="EC33">
        <v>0</v>
      </c>
      <c r="ED33">
        <v>0</v>
      </c>
      <c r="EE33">
        <v>0</v>
      </c>
      <c r="EF33">
        <v>1.2960918712309599</v>
      </c>
      <c r="EG33">
        <v>0</v>
      </c>
      <c r="EH33">
        <v>0</v>
      </c>
      <c r="EI33">
        <v>0</v>
      </c>
      <c r="EJ33">
        <v>0</v>
      </c>
      <c r="EK33">
        <v>0</v>
      </c>
      <c r="EL33">
        <v>0</v>
      </c>
      <c r="EM33">
        <v>0</v>
      </c>
      <c r="EN33">
        <v>0</v>
      </c>
      <c r="EO33">
        <v>0</v>
      </c>
      <c r="EP33">
        <v>0</v>
      </c>
      <c r="EQ33">
        <v>0</v>
      </c>
      <c r="ER33">
        <v>0</v>
      </c>
      <c r="ES33">
        <v>0</v>
      </c>
      <c r="ET33">
        <v>0</v>
      </c>
      <c r="EU33">
        <v>0</v>
      </c>
      <c r="EV33">
        <v>804.98379294557606</v>
      </c>
      <c r="EW33">
        <v>-28.649999999999899</v>
      </c>
      <c r="EX33">
        <v>1450.7574416294999</v>
      </c>
      <c r="EY33">
        <v>829.23823777162795</v>
      </c>
      <c r="EZ33">
        <v>96.744748967804497</v>
      </c>
      <c r="FA33">
        <v>652.80391856521999</v>
      </c>
      <c r="FB33">
        <v>701.20880126953102</v>
      </c>
      <c r="FC33">
        <v>0.41726010229814098</v>
      </c>
      <c r="FD33">
        <v>0.76096121873723399</v>
      </c>
      <c r="FE33">
        <v>0</v>
      </c>
      <c r="FF33">
        <v>1</v>
      </c>
      <c r="FG33" s="159">
        <v>5.9176496649320404E-13</v>
      </c>
      <c r="FH33">
        <v>0</v>
      </c>
      <c r="FI33">
        <v>5.4512674794765098E-5</v>
      </c>
      <c r="FJ33">
        <v>-5.4610840662853702E-3</v>
      </c>
      <c r="FK33" s="159">
        <v>6.57534000000779E-6</v>
      </c>
      <c r="FL33" s="159">
        <v>2.7433977565249501E-6</v>
      </c>
      <c r="FM33" s="159">
        <v>4.1051738747732597E-6</v>
      </c>
      <c r="FN33">
        <v>0</v>
      </c>
      <c r="FO33">
        <v>0</v>
      </c>
      <c r="FP33">
        <v>0</v>
      </c>
      <c r="FQ33">
        <v>0</v>
      </c>
      <c r="FR33">
        <v>0</v>
      </c>
      <c r="FS33">
        <v>0</v>
      </c>
      <c r="FT33">
        <v>0</v>
      </c>
      <c r="FU33">
        <v>0</v>
      </c>
      <c r="FV33">
        <v>-999</v>
      </c>
      <c r="FW33">
        <v>0.47676317233326998</v>
      </c>
      <c r="FX33">
        <v>3.1886050724335199E-3</v>
      </c>
      <c r="FY33">
        <v>1.1817871338722501</v>
      </c>
      <c r="FZ33">
        <v>9.5696075787677498E-4</v>
      </c>
      <c r="GA33">
        <v>42.9003323729141</v>
      </c>
      <c r="GB33">
        <v>1.06441082579314E-2</v>
      </c>
      <c r="GC33">
        <v>2.8767860156571302E-3</v>
      </c>
      <c r="GD33">
        <v>0</v>
      </c>
      <c r="GE33">
        <v>7.0223518459674302E-3</v>
      </c>
      <c r="GF33">
        <v>0.44132166912441201</v>
      </c>
      <c r="GG33">
        <v>5.5871661717508904E-4</v>
      </c>
      <c r="GH33">
        <v>9.4392750389069996E-3</v>
      </c>
      <c r="GI33">
        <v>1.8573143345206902E-2</v>
      </c>
      <c r="GJ33">
        <v>9.1325201227844695E-4</v>
      </c>
      <c r="GK33">
        <v>1.77414982787515E-3</v>
      </c>
      <c r="GL33">
        <v>0.38983295598003198</v>
      </c>
      <c r="GM33">
        <v>6.5083955481611304E-3</v>
      </c>
      <c r="GN33">
        <v>5.3923636435585301E-4</v>
      </c>
      <c r="GO33">
        <v>0</v>
      </c>
      <c r="GP33">
        <v>0</v>
      </c>
      <c r="GQ33">
        <v>0</v>
      </c>
      <c r="GR33">
        <v>6.0193807301792503E-2</v>
      </c>
      <c r="GS33">
        <v>1.1177181892719E-3</v>
      </c>
      <c r="GT33">
        <v>1.2538441231273799E-4</v>
      </c>
      <c r="GU33">
        <v>3.7725391144614602E-2</v>
      </c>
      <c r="GV33">
        <v>7.0050986587912804E-4</v>
      </c>
      <c r="GW33">
        <v>7.8582435801412197E-5</v>
      </c>
      <c r="GX33">
        <v>0.119480400094154</v>
      </c>
      <c r="GY33">
        <v>0.13012037573266599</v>
      </c>
      <c r="GZ33">
        <v>59.011283961430202</v>
      </c>
      <c r="HA33">
        <v>677.11810867180805</v>
      </c>
      <c r="HB33">
        <v>0</v>
      </c>
      <c r="HC33">
        <v>0.99981308236562605</v>
      </c>
      <c r="HD33">
        <v>0.41196631375071002</v>
      </c>
      <c r="HE33">
        <v>1.06973612731305E-2</v>
      </c>
      <c r="HF33">
        <v>9.2634708967140799E-4</v>
      </c>
      <c r="HG33">
        <v>1.26128212001931E-2</v>
      </c>
      <c r="HH33" s="159">
        <v>4.7618760430546599E-7</v>
      </c>
      <c r="HI33" s="159">
        <v>3.3333254615555199E-7</v>
      </c>
      <c r="HJ33">
        <v>0</v>
      </c>
      <c r="HK33">
        <v>0</v>
      </c>
      <c r="HL33">
        <v>0</v>
      </c>
      <c r="HM33">
        <v>0</v>
      </c>
      <c r="HN33">
        <v>0</v>
      </c>
      <c r="HO33">
        <v>1.11554993589241E-2</v>
      </c>
      <c r="HP33">
        <v>0.54208668948337702</v>
      </c>
      <c r="HQ33">
        <v>1.06973612731305E-2</v>
      </c>
      <c r="HR33">
        <v>9.2634708967140799E-4</v>
      </c>
      <c r="HS33">
        <v>0.72596222674178001</v>
      </c>
      <c r="HT33">
        <v>-999</v>
      </c>
      <c r="HU33">
        <v>1</v>
      </c>
      <c r="HV33">
        <v>0.78723325677729095</v>
      </c>
      <c r="HW33">
        <v>0.212766743222708</v>
      </c>
      <c r="HX33">
        <v>12509.905778094701</v>
      </c>
      <c r="HY33">
        <v>400.613074182991</v>
      </c>
      <c r="HZ33">
        <v>40.248630046031202</v>
      </c>
      <c r="IA33">
        <v>-0.13012037573266599</v>
      </c>
      <c r="IB33">
        <v>0</v>
      </c>
      <c r="IC33">
        <v>0</v>
      </c>
      <c r="ID33">
        <v>0</v>
      </c>
      <c r="IE33">
        <v>0</v>
      </c>
      <c r="IF33">
        <v>0</v>
      </c>
      <c r="IG33">
        <v>0</v>
      </c>
      <c r="IH33">
        <v>0</v>
      </c>
      <c r="II33">
        <v>46.337800049999601</v>
      </c>
      <c r="IJ33">
        <v>463.37800049999902</v>
      </c>
      <c r="IK33">
        <v>1.0246843857721399E-2</v>
      </c>
      <c r="IL33">
        <v>2.2246276324103999E-3</v>
      </c>
      <c r="IM33">
        <v>1.2471471490131799E-2</v>
      </c>
      <c r="IN33">
        <v>1.0083212642064E-3</v>
      </c>
      <c r="IO33">
        <v>0.42219945057521602</v>
      </c>
      <c r="IP33">
        <v>1.8400085958958701E-2</v>
      </c>
      <c r="IQ33">
        <v>1.72618292194496E-3</v>
      </c>
      <c r="IR33">
        <v>0.29658763047696302</v>
      </c>
      <c r="IS33">
        <v>0.244773379835483</v>
      </c>
      <c r="IT33">
        <v>0.26091390270290998</v>
      </c>
      <c r="IU33">
        <v>0.296980315940436</v>
      </c>
      <c r="IV33">
        <v>1.3896234729521E-2</v>
      </c>
      <c r="IW33">
        <v>1.2757977990011801E-3</v>
      </c>
      <c r="IX33">
        <v>7.4987022105383105E-2</v>
      </c>
      <c r="IY33">
        <v>2.6971148833303199E-3</v>
      </c>
      <c r="IZ33">
        <v>2.6971148833303E-4</v>
      </c>
      <c r="JA33">
        <v>7.5107364072053595E-2</v>
      </c>
      <c r="JB33">
        <v>2.70144331377445E-3</v>
      </c>
      <c r="JC33">
        <v>2.70144331377443E-4</v>
      </c>
      <c r="JD33">
        <v>1.7057725860175101E-4</v>
      </c>
      <c r="JE33">
        <v>3.1796042625685701E-3</v>
      </c>
      <c r="JF33" s="159">
        <v>1.8973538018496301E-19</v>
      </c>
      <c r="JG33">
        <v>0</v>
      </c>
      <c r="JH33">
        <v>4.1262065531636003E-3</v>
      </c>
      <c r="JI33">
        <v>5.3762086617222796E-4</v>
      </c>
      <c r="JJ33">
        <v>-0.50220805574515703</v>
      </c>
      <c r="JK33">
        <v>1.7057725860175101E-4</v>
      </c>
      <c r="JL33" s="159">
        <v>6.5753399999999896E-6</v>
      </c>
      <c r="JM33">
        <v>-0.50220805574515703</v>
      </c>
      <c r="JN33">
        <v>0</v>
      </c>
      <c r="JO33">
        <v>1.6684560677360201</v>
      </c>
      <c r="JP33">
        <v>-9.7242869412638502E-3</v>
      </c>
      <c r="JQ33">
        <v>7.0512889941212699E-4</v>
      </c>
      <c r="JR33">
        <v>4.0228763757511297E-2</v>
      </c>
      <c r="JS33">
        <v>1530.44701186568</v>
      </c>
      <c r="JT33">
        <v>4.8264090326556999E-2</v>
      </c>
      <c r="JU33">
        <v>0</v>
      </c>
      <c r="JV33">
        <v>365</v>
      </c>
      <c r="JW33">
        <v>0</v>
      </c>
      <c r="JX33">
        <v>-0.40268092994350901</v>
      </c>
      <c r="JY33">
        <v>0</v>
      </c>
      <c r="JZ33">
        <v>1.3125848495257699</v>
      </c>
      <c r="KA33">
        <v>1.4005731254296401</v>
      </c>
      <c r="KB33">
        <v>1.4231132201459</v>
      </c>
      <c r="KC33">
        <v>0</v>
      </c>
      <c r="KD33">
        <v>0</v>
      </c>
      <c r="KE33">
        <v>0</v>
      </c>
      <c r="KF33">
        <v>3.53424728596202E-3</v>
      </c>
      <c r="KG33">
        <v>2.2124651496602699E-2</v>
      </c>
      <c r="KH33">
        <v>3.9551989342220602E-2</v>
      </c>
      <c r="KI33">
        <v>0</v>
      </c>
      <c r="KJ33">
        <v>0</v>
      </c>
      <c r="KK33">
        <v>0</v>
      </c>
      <c r="KL33">
        <v>0</v>
      </c>
      <c r="KM33">
        <v>0</v>
      </c>
      <c r="KN33">
        <v>0</v>
      </c>
      <c r="KO33">
        <v>0</v>
      </c>
      <c r="KP33">
        <v>0</v>
      </c>
      <c r="KQ33">
        <v>0</v>
      </c>
      <c r="KR33">
        <v>0</v>
      </c>
      <c r="KS33">
        <v>0</v>
      </c>
      <c r="KT33">
        <v>0</v>
      </c>
      <c r="KU33">
        <v>0.34999999999999898</v>
      </c>
      <c r="KV33">
        <v>-0.116535262496279</v>
      </c>
      <c r="KW33">
        <v>1.8474925990883801E-3</v>
      </c>
      <c r="KX33">
        <v>32640.195928261001</v>
      </c>
      <c r="KY33">
        <v>0</v>
      </c>
      <c r="KZ33">
        <v>0.21023479247413199</v>
      </c>
      <c r="LA33">
        <v>1.73602675993533E-5</v>
      </c>
      <c r="LB33">
        <v>0</v>
      </c>
      <c r="LC33">
        <v>-12.152659934838301</v>
      </c>
      <c r="LD33">
        <v>1.5708369745444699E-2</v>
      </c>
      <c r="LE33">
        <v>3.4041224013629601E-3</v>
      </c>
      <c r="LF33">
        <v>1.5708369745444699E-2</v>
      </c>
      <c r="LG33">
        <v>0.94462210622922904</v>
      </c>
      <c r="LH33">
        <v>1.2313887570786599</v>
      </c>
      <c r="LI33">
        <v>0</v>
      </c>
      <c r="LJ33">
        <v>0</v>
      </c>
      <c r="LK33">
        <v>0.241547062364878</v>
      </c>
      <c r="LL33">
        <v>0</v>
      </c>
      <c r="LM33">
        <v>0</v>
      </c>
      <c r="LN33">
        <v>0</v>
      </c>
      <c r="LO33">
        <v>0</v>
      </c>
      <c r="LP33">
        <v>0</v>
      </c>
      <c r="LQ33">
        <v>0</v>
      </c>
      <c r="LR33">
        <v>0</v>
      </c>
      <c r="LS33">
        <v>0</v>
      </c>
      <c r="LT33">
        <v>-999</v>
      </c>
      <c r="LU33">
        <v>0.42560626550751302</v>
      </c>
      <c r="LV33">
        <v>32</v>
      </c>
      <c r="LW33">
        <v>122.76</v>
      </c>
      <c r="LX33">
        <v>1.147</v>
      </c>
      <c r="LY33">
        <v>0</v>
      </c>
      <c r="LZ33">
        <v>-999</v>
      </c>
      <c r="MA33">
        <v>0</v>
      </c>
      <c r="MB33">
        <v>0</v>
      </c>
      <c r="MC33">
        <v>522.75999999999897</v>
      </c>
      <c r="MD33">
        <v>-23.6999999999999</v>
      </c>
      <c r="ME33">
        <v>-33.6</v>
      </c>
      <c r="MF33">
        <v>0</v>
      </c>
      <c r="MG33">
        <v>8.0706896550000007</v>
      </c>
      <c r="MH33">
        <v>0</v>
      </c>
      <c r="MI33">
        <v>0</v>
      </c>
      <c r="MJ33">
        <v>0</v>
      </c>
      <c r="MK33">
        <v>0</v>
      </c>
      <c r="ML33">
        <v>0</v>
      </c>
      <c r="MM33">
        <v>0</v>
      </c>
      <c r="MN33">
        <v>0</v>
      </c>
      <c r="MO33">
        <v>0</v>
      </c>
      <c r="MP33">
        <v>0</v>
      </c>
      <c r="MQ33">
        <v>0</v>
      </c>
      <c r="MR33">
        <v>0</v>
      </c>
      <c r="MS33">
        <v>0</v>
      </c>
      <c r="MT33">
        <v>0</v>
      </c>
      <c r="MU33">
        <v>0</v>
      </c>
      <c r="MV33">
        <v>0</v>
      </c>
    </row>
    <row r="34" spans="1:360" x14ac:dyDescent="0.25">
      <c r="A34">
        <v>12045</v>
      </c>
      <c r="B34">
        <v>0</v>
      </c>
      <c r="C34">
        <v>-33.6</v>
      </c>
      <c r="D34">
        <v>-23.6999999999999</v>
      </c>
      <c r="E34">
        <v>400</v>
      </c>
      <c r="F34">
        <v>0</v>
      </c>
      <c r="G34">
        <v>0</v>
      </c>
      <c r="H34">
        <v>0</v>
      </c>
      <c r="I34">
        <v>0</v>
      </c>
      <c r="J34">
        <v>0</v>
      </c>
      <c r="K34">
        <v>0</v>
      </c>
      <c r="L34" s="159">
        <v>6.5753399999999896E-6</v>
      </c>
      <c r="M34">
        <v>0</v>
      </c>
      <c r="N34">
        <v>0</v>
      </c>
      <c r="O34">
        <v>0</v>
      </c>
      <c r="P34">
        <v>0</v>
      </c>
      <c r="Q34">
        <v>0</v>
      </c>
      <c r="R34">
        <v>0</v>
      </c>
      <c r="S34">
        <v>0</v>
      </c>
      <c r="T34">
        <v>0</v>
      </c>
      <c r="U34">
        <v>690.11099198812701</v>
      </c>
      <c r="V34">
        <v>13.711827767042699</v>
      </c>
      <c r="W34">
        <v>1.3266259370332001</v>
      </c>
      <c r="X34">
        <v>0.34613479364365501</v>
      </c>
      <c r="Y34">
        <v>0.27983288160443098</v>
      </c>
      <c r="Z34">
        <v>0.374032324751913</v>
      </c>
      <c r="AA34">
        <v>0.112585521788237</v>
      </c>
      <c r="AB34">
        <v>0.49999040595289201</v>
      </c>
      <c r="AC34">
        <v>0.38742407225886999</v>
      </c>
      <c r="AD34">
        <v>0.884463517984724</v>
      </c>
      <c r="AE34">
        <v>4.2942785617939003E-2</v>
      </c>
      <c r="AF34">
        <v>7.2593696397336399E-2</v>
      </c>
      <c r="AG34">
        <v>0</v>
      </c>
      <c r="AH34">
        <v>3407.0681025672602</v>
      </c>
      <c r="AI34">
        <v>80.115844857262502</v>
      </c>
      <c r="AJ34">
        <v>8.1106989012521993</v>
      </c>
      <c r="AK34">
        <v>400.173941351736</v>
      </c>
      <c r="AL34">
        <v>7.43069284318456</v>
      </c>
      <c r="AM34">
        <v>0.83356705130305697</v>
      </c>
      <c r="AN34">
        <v>8703.3175455721994</v>
      </c>
      <c r="AO34">
        <v>313.03879828063702</v>
      </c>
      <c r="AP34">
        <v>31.303879828063401</v>
      </c>
      <c r="AQ34">
        <v>2.9595516574077399E-2</v>
      </c>
      <c r="AR34">
        <v>6.0770515152382496E-3</v>
      </c>
      <c r="AS34">
        <v>2.2659778428919801E-2</v>
      </c>
      <c r="AT34">
        <v>9.48</v>
      </c>
      <c r="AU34">
        <v>5.9931634119002997</v>
      </c>
      <c r="AV34">
        <v>0</v>
      </c>
      <c r="AW34">
        <v>84.570280611947098</v>
      </c>
      <c r="AX34">
        <v>66.325402077297895</v>
      </c>
      <c r="AY34">
        <v>361.532070854567</v>
      </c>
      <c r="AZ34">
        <v>0.54833294000258903</v>
      </c>
      <c r="BA34">
        <v>0.83101145239999497</v>
      </c>
      <c r="BB34">
        <v>1.3945978069495201E-2</v>
      </c>
      <c r="BC34">
        <v>1.16467049737405E-3</v>
      </c>
      <c r="BD34">
        <v>0.59510773995942301</v>
      </c>
      <c r="BE34">
        <v>9.2191544710751201E-3</v>
      </c>
      <c r="BF34">
        <v>7.5456052513980896E-4</v>
      </c>
      <c r="BG34">
        <v>766.29999847710098</v>
      </c>
      <c r="BH34">
        <v>-1626.59999865293</v>
      </c>
      <c r="BI34">
        <v>424.370565023648</v>
      </c>
      <c r="BJ34">
        <v>210.22339583849799</v>
      </c>
      <c r="BK34">
        <v>3.7506350014177001</v>
      </c>
      <c r="BL34">
        <v>4.616375957552</v>
      </c>
      <c r="BM34">
        <v>192.018569733807</v>
      </c>
      <c r="BN34">
        <v>21.819994848129198</v>
      </c>
      <c r="BO34">
        <v>213.838564581936</v>
      </c>
      <c r="BP34">
        <v>3.4521715672514501</v>
      </c>
      <c r="BQ34">
        <v>0.29004448303371499</v>
      </c>
      <c r="BR34">
        <v>206.47276083707999</v>
      </c>
      <c r="BS34">
        <v>2.19507697963203</v>
      </c>
      <c r="BT34">
        <v>0.290528748446159</v>
      </c>
      <c r="BU34">
        <v>3.4699008280122801</v>
      </c>
      <c r="BV34">
        <v>1.68450579805441</v>
      </c>
      <c r="BW34">
        <v>0.53772585224111602</v>
      </c>
      <c r="BX34">
        <v>1.2476691777167499</v>
      </c>
      <c r="BY34">
        <v>0</v>
      </c>
      <c r="BZ34">
        <v>3.0470035570390901</v>
      </c>
      <c r="CA34">
        <v>0.40516801021235599</v>
      </c>
      <c r="CB34">
        <v>0.291763267170838</v>
      </c>
      <c r="CC34">
        <v>0.244593175775764</v>
      </c>
      <c r="CD34">
        <v>4.5451307257951101E-2</v>
      </c>
      <c r="CE34">
        <v>21.439399801068902</v>
      </c>
      <c r="CF34">
        <v>163.830028957926</v>
      </c>
      <c r="CG34">
        <v>42.3300009905115</v>
      </c>
      <c r="CH34">
        <v>0.39810087115080001</v>
      </c>
      <c r="CI34">
        <v>7.1449388552853197</v>
      </c>
      <c r="CJ34">
        <v>1.70942965210703</v>
      </c>
      <c r="CK34">
        <v>9.5156821292063292</v>
      </c>
      <c r="CL34">
        <v>1.52251512965068</v>
      </c>
      <c r="CM34">
        <v>9.5910865161367501E-2</v>
      </c>
      <c r="CN34">
        <v>4.4658523274948403E-2</v>
      </c>
      <c r="CO34">
        <v>0.66229186946034702</v>
      </c>
      <c r="CP34">
        <v>0.79944428212470098</v>
      </c>
      <c r="CQ34">
        <v>0.152251512965067</v>
      </c>
      <c r="CR34">
        <v>42.642731879153899</v>
      </c>
      <c r="CS34">
        <v>1.53376335781807</v>
      </c>
      <c r="CT34">
        <v>0.15337633578180601</v>
      </c>
      <c r="CU34">
        <v>1.46999999999992E-2</v>
      </c>
      <c r="CV34">
        <v>2.0022484328794201E-3</v>
      </c>
      <c r="CW34">
        <v>2.2326668102232499</v>
      </c>
      <c r="CX34">
        <v>2.0299999999998899E-2</v>
      </c>
      <c r="CY34">
        <v>5.8023563507041999E-3</v>
      </c>
      <c r="CZ34">
        <v>0</v>
      </c>
      <c r="DA34">
        <v>2.3999991000028301E-3</v>
      </c>
      <c r="DB34">
        <v>1.4983397879792201E-3</v>
      </c>
      <c r="DC34">
        <v>1.9999999999998899E-3</v>
      </c>
      <c r="DD34">
        <v>3.6799990389152501E-3</v>
      </c>
      <c r="DE34">
        <v>1.12411581799426E-3</v>
      </c>
      <c r="DF34">
        <v>2.3999990999999899E-3</v>
      </c>
      <c r="DG34">
        <v>0</v>
      </c>
      <c r="DH34">
        <v>0</v>
      </c>
      <c r="DI34">
        <v>0.23180769399998799</v>
      </c>
      <c r="DJ34">
        <v>1.8846155199999E-2</v>
      </c>
      <c r="DK34">
        <v>2.32742408487286</v>
      </c>
      <c r="DL34">
        <v>0.151920632171858</v>
      </c>
      <c r="DM34">
        <v>78.494374997177999</v>
      </c>
      <c r="DN34">
        <v>218.356673154502</v>
      </c>
      <c r="DO34">
        <v>327.66000000000003</v>
      </c>
      <c r="DP34">
        <v>30.769365143518801</v>
      </c>
      <c r="DQ34">
        <v>157.94999999999899</v>
      </c>
      <c r="DR34">
        <v>169.71</v>
      </c>
      <c r="DS34">
        <v>155.654958957839</v>
      </c>
      <c r="DT34">
        <v>0</v>
      </c>
      <c r="DU34">
        <v>0</v>
      </c>
      <c r="DV34">
        <v>0</v>
      </c>
      <c r="DW34">
        <v>0</v>
      </c>
      <c r="DX34">
        <v>0</v>
      </c>
      <c r="DY34">
        <v>0</v>
      </c>
      <c r="DZ34">
        <v>0</v>
      </c>
      <c r="EA34">
        <v>0</v>
      </c>
      <c r="EB34">
        <v>0</v>
      </c>
      <c r="EC34">
        <v>0</v>
      </c>
      <c r="ED34">
        <v>0</v>
      </c>
      <c r="EE34">
        <v>0</v>
      </c>
      <c r="EF34">
        <v>1.2946844312330501</v>
      </c>
      <c r="EG34">
        <v>0</v>
      </c>
      <c r="EH34">
        <v>0</v>
      </c>
      <c r="EI34">
        <v>0</v>
      </c>
      <c r="EJ34">
        <v>0</v>
      </c>
      <c r="EK34">
        <v>0</v>
      </c>
      <c r="EL34">
        <v>0</v>
      </c>
      <c r="EM34">
        <v>0</v>
      </c>
      <c r="EN34">
        <v>0</v>
      </c>
      <c r="EO34">
        <v>0</v>
      </c>
      <c r="EP34">
        <v>0</v>
      </c>
      <c r="EQ34">
        <v>0</v>
      </c>
      <c r="ER34">
        <v>0</v>
      </c>
      <c r="ES34">
        <v>0</v>
      </c>
      <c r="ET34">
        <v>0</v>
      </c>
      <c r="EU34">
        <v>0</v>
      </c>
      <c r="EV34">
        <v>806.02614050755801</v>
      </c>
      <c r="EW34">
        <v>-28.649999999999899</v>
      </c>
      <c r="EX34">
        <v>1452.8652462907901</v>
      </c>
      <c r="EY34">
        <v>829.858104154535</v>
      </c>
      <c r="EZ34">
        <v>96.483568784305305</v>
      </c>
      <c r="FA34">
        <v>653.900101733871</v>
      </c>
      <c r="FB34">
        <v>702.48156738281205</v>
      </c>
      <c r="FC34">
        <v>0.41613363216670801</v>
      </c>
      <c r="FD34">
        <v>0.75890686444032296</v>
      </c>
      <c r="FE34">
        <v>0</v>
      </c>
      <c r="FF34">
        <v>1</v>
      </c>
      <c r="FG34" s="159">
        <v>5.9179034343760496E-13</v>
      </c>
      <c r="FH34">
        <v>0</v>
      </c>
      <c r="FI34">
        <v>5.4512674794765098E-5</v>
      </c>
      <c r="FJ34">
        <v>-5.4452459859889602E-3</v>
      </c>
      <c r="FK34" s="159">
        <v>6.57534000000779E-6</v>
      </c>
      <c r="FL34" s="159">
        <v>2.7264228183405498E-6</v>
      </c>
      <c r="FM34" s="159">
        <v>4.1049175562918698E-6</v>
      </c>
      <c r="FN34">
        <v>0</v>
      </c>
      <c r="FO34">
        <v>0</v>
      </c>
      <c r="FP34">
        <v>0</v>
      </c>
      <c r="FQ34">
        <v>0</v>
      </c>
      <c r="FR34">
        <v>0</v>
      </c>
      <c r="FS34">
        <v>0</v>
      </c>
      <c r="FT34">
        <v>0</v>
      </c>
      <c r="FU34">
        <v>0</v>
      </c>
      <c r="FV34">
        <v>-999</v>
      </c>
      <c r="FW34">
        <v>0.47727279515265197</v>
      </c>
      <c r="FX34">
        <v>3.19045225940103E-3</v>
      </c>
      <c r="FY34">
        <v>1.1834421356493801</v>
      </c>
      <c r="FZ34">
        <v>9.5585791573107501E-4</v>
      </c>
      <c r="GA34">
        <v>42.865738773112398</v>
      </c>
      <c r="GB34">
        <v>1.06412619510492E-2</v>
      </c>
      <c r="GC34">
        <v>2.8760167435268199E-3</v>
      </c>
      <c r="GD34">
        <v>0</v>
      </c>
      <c r="GE34">
        <v>7.0223269186589403E-3</v>
      </c>
      <c r="GF34">
        <v>0.43859096482351001</v>
      </c>
      <c r="GG34">
        <v>5.5872992144661497E-4</v>
      </c>
      <c r="GH34">
        <v>9.4377835811335301E-3</v>
      </c>
      <c r="GI34">
        <v>1.85688715805905E-2</v>
      </c>
      <c r="GJ34">
        <v>9.1311010461576903E-4</v>
      </c>
      <c r="GK34">
        <v>1.77380925964194E-3</v>
      </c>
      <c r="GL34">
        <v>0.390394132159333</v>
      </c>
      <c r="GM34">
        <v>6.5182802340140403E-3</v>
      </c>
      <c r="GN34">
        <v>5.4005507141087201E-4</v>
      </c>
      <c r="GO34">
        <v>0</v>
      </c>
      <c r="GP34">
        <v>0</v>
      </c>
      <c r="GQ34">
        <v>0</v>
      </c>
      <c r="GR34">
        <v>6.0248411511397898E-2</v>
      </c>
      <c r="GS34">
        <v>1.11873211613618E-3</v>
      </c>
      <c r="GT34">
        <v>1.2549815352696101E-4</v>
      </c>
      <c r="GU34">
        <v>3.7761533528673001E-2</v>
      </c>
      <c r="GV34">
        <v>7.0118098142865799E-4</v>
      </c>
      <c r="GW34">
        <v>7.8657720814736298E-5</v>
      </c>
      <c r="GX34">
        <v>0.119671658923312</v>
      </c>
      <c r="GY34">
        <v>0.130307010776927</v>
      </c>
      <c r="GZ34">
        <v>59.007701311608699</v>
      </c>
      <c r="HA34">
        <v>677.09467370220295</v>
      </c>
      <c r="HB34">
        <v>0</v>
      </c>
      <c r="HC34">
        <v>0.99981308108002798</v>
      </c>
      <c r="HD34">
        <v>0.412541214164449</v>
      </c>
      <c r="HE34">
        <v>1.07122633827647E-2</v>
      </c>
      <c r="HF34">
        <v>9.2762976742471895E-4</v>
      </c>
      <c r="HG34">
        <v>1.26377973389066E-2</v>
      </c>
      <c r="HH34" s="159">
        <v>4.76187610697551E-7</v>
      </c>
      <c r="HI34" s="159">
        <v>3.3333254618432999E-7</v>
      </c>
      <c r="HJ34">
        <v>0</v>
      </c>
      <c r="HK34">
        <v>0</v>
      </c>
      <c r="HL34">
        <v>0</v>
      </c>
      <c r="HM34">
        <v>0</v>
      </c>
      <c r="HN34">
        <v>0</v>
      </c>
      <c r="HO34">
        <v>1.11777153406115E-2</v>
      </c>
      <c r="HP34">
        <v>0.54284822494137697</v>
      </c>
      <c r="HQ34">
        <v>1.07122633827647E-2</v>
      </c>
      <c r="HR34">
        <v>9.2762976742471895E-4</v>
      </c>
      <c r="HS34">
        <v>0.72561682021696905</v>
      </c>
      <c r="HT34">
        <v>-999</v>
      </c>
      <c r="HU34">
        <v>1</v>
      </c>
      <c r="HV34">
        <v>0.78796615766025302</v>
      </c>
      <c r="HW34">
        <v>0.21203384233974601</v>
      </c>
      <c r="HX34">
        <v>12510.5595894912</v>
      </c>
      <c r="HY34">
        <v>400.58533598108397</v>
      </c>
      <c r="HZ34">
        <v>40.2481457806187</v>
      </c>
      <c r="IA34">
        <v>-0.130307010776927</v>
      </c>
      <c r="IB34">
        <v>0</v>
      </c>
      <c r="IC34">
        <v>0</v>
      </c>
      <c r="ID34">
        <v>0</v>
      </c>
      <c r="IE34">
        <v>0</v>
      </c>
      <c r="IF34">
        <v>0</v>
      </c>
      <c r="IG34">
        <v>0</v>
      </c>
      <c r="IH34">
        <v>0</v>
      </c>
      <c r="II34">
        <v>46.337800049999601</v>
      </c>
      <c r="IJ34">
        <v>463.37800049999902</v>
      </c>
      <c r="IK34">
        <v>1.0264301844303599E-2</v>
      </c>
      <c r="IL34">
        <v>2.2291061848136E-3</v>
      </c>
      <c r="IM34">
        <v>1.2493408029117199E-2</v>
      </c>
      <c r="IN34">
        <v>1.00258579617897E-3</v>
      </c>
      <c r="IO34">
        <v>0.42227462909944402</v>
      </c>
      <c r="IP34">
        <v>1.84206250079792E-2</v>
      </c>
      <c r="IQ34">
        <v>1.72043832637983E-3</v>
      </c>
      <c r="IR34">
        <v>0.29638359182381602</v>
      </c>
      <c r="IS34">
        <v>0.24437575853042201</v>
      </c>
      <c r="IT34">
        <v>0.26165158842988401</v>
      </c>
      <c r="IU34">
        <v>0.297119357790881</v>
      </c>
      <c r="IV34">
        <v>1.3919070799049801E-2</v>
      </c>
      <c r="IW34">
        <v>1.2702829054869001E-3</v>
      </c>
      <c r="IX34">
        <v>7.4976920894798002E-2</v>
      </c>
      <c r="IY34">
        <v>2.69675156545685E-3</v>
      </c>
      <c r="IZ34">
        <v>2.6967515654568297E-4</v>
      </c>
      <c r="JA34">
        <v>7.5105120027304698E-2</v>
      </c>
      <c r="JB34">
        <v>2.7013626005214001E-3</v>
      </c>
      <c r="JC34">
        <v>2.70136260052138E-4</v>
      </c>
      <c r="JD34">
        <v>1.7083750751350699E-4</v>
      </c>
      <c r="JE34">
        <v>3.18299926441637E-3</v>
      </c>
      <c r="JF34" s="159">
        <v>1.1180834903756701E-18</v>
      </c>
      <c r="JG34">
        <v>0</v>
      </c>
      <c r="JH34">
        <v>4.1270253704539898E-3</v>
      </c>
      <c r="JI34">
        <v>5.3783336936006796E-4</v>
      </c>
      <c r="JJ34">
        <v>-0.50253148859511299</v>
      </c>
      <c r="JK34">
        <v>1.7083750751350699E-4</v>
      </c>
      <c r="JL34" s="159">
        <v>6.5753399999999896E-6</v>
      </c>
      <c r="JM34">
        <v>-0.50253148859511299</v>
      </c>
      <c r="JN34">
        <v>0</v>
      </c>
      <c r="JO34">
        <v>1.6550186105448501</v>
      </c>
      <c r="JP34">
        <v>-9.9682165940769094E-3</v>
      </c>
      <c r="JQ34">
        <v>7.2000006108463598E-4</v>
      </c>
      <c r="JR34">
        <v>3.9586704800363699E-2</v>
      </c>
      <c r="JS34">
        <v>1532.3396799248101</v>
      </c>
      <c r="JT34">
        <v>4.8133792567743403E-2</v>
      </c>
      <c r="JU34">
        <v>0</v>
      </c>
      <c r="JV34">
        <v>365</v>
      </c>
      <c r="JW34">
        <v>0</v>
      </c>
      <c r="JX34">
        <v>-0.40268092994350901</v>
      </c>
      <c r="JY34">
        <v>0</v>
      </c>
      <c r="JZ34">
        <v>1.3130500732588899</v>
      </c>
      <c r="KA34">
        <v>1.40081406906266</v>
      </c>
      <c r="KB34">
        <v>1.4237511941718399</v>
      </c>
      <c r="KC34">
        <v>0</v>
      </c>
      <c r="KD34">
        <v>0</v>
      </c>
      <c r="KE34">
        <v>0</v>
      </c>
      <c r="KF34">
        <v>3.5364712464790601E-3</v>
      </c>
      <c r="KG34">
        <v>2.2144108531855899E-2</v>
      </c>
      <c r="KH34">
        <v>3.9500105912879703E-2</v>
      </c>
      <c r="KI34">
        <v>0</v>
      </c>
      <c r="KJ34">
        <v>0</v>
      </c>
      <c r="KK34">
        <v>0</v>
      </c>
      <c r="KL34">
        <v>0</v>
      </c>
      <c r="KM34">
        <v>0</v>
      </c>
      <c r="KN34">
        <v>0</v>
      </c>
      <c r="KO34">
        <v>0</v>
      </c>
      <c r="KP34">
        <v>0</v>
      </c>
      <c r="KQ34">
        <v>0</v>
      </c>
      <c r="KR34">
        <v>0</v>
      </c>
      <c r="KS34">
        <v>0</v>
      </c>
      <c r="KT34">
        <v>0</v>
      </c>
      <c r="KU34">
        <v>0.34999999999999898</v>
      </c>
      <c r="KV34">
        <v>-0.116432668359264</v>
      </c>
      <c r="KW34">
        <v>1.84594340239628E-3</v>
      </c>
      <c r="KX34">
        <v>32695.005086693502</v>
      </c>
      <c r="KY34">
        <v>0</v>
      </c>
      <c r="KZ34">
        <v>0.21023953558306899</v>
      </c>
      <c r="LA34">
        <v>1.73602675993533E-5</v>
      </c>
      <c r="LB34">
        <v>0</v>
      </c>
      <c r="LC34">
        <v>-12.152003803554001</v>
      </c>
      <c r="LD34">
        <v>1.57087833822676E-2</v>
      </c>
      <c r="LE34">
        <v>3.4045126247808301E-3</v>
      </c>
      <c r="LF34">
        <v>1.57087833822676E-2</v>
      </c>
      <c r="LG34">
        <v>0.944922103523544</v>
      </c>
      <c r="LH34">
        <v>1.2317296630949299</v>
      </c>
      <c r="LI34">
        <v>0</v>
      </c>
      <c r="LJ34">
        <v>0</v>
      </c>
      <c r="LK34">
        <v>0.24162937317699101</v>
      </c>
      <c r="LL34">
        <v>0</v>
      </c>
      <c r="LM34">
        <v>0</v>
      </c>
      <c r="LN34">
        <v>0</v>
      </c>
      <c r="LO34">
        <v>0</v>
      </c>
      <c r="LP34">
        <v>0</v>
      </c>
      <c r="LQ34">
        <v>0</v>
      </c>
      <c r="LR34">
        <v>0</v>
      </c>
      <c r="LS34">
        <v>0</v>
      </c>
      <c r="LT34">
        <v>-999</v>
      </c>
      <c r="LU34">
        <v>0.42560884190553699</v>
      </c>
      <c r="LV34">
        <v>33</v>
      </c>
      <c r="LW34">
        <v>126.72</v>
      </c>
      <c r="LX34">
        <v>1.1839999999999899</v>
      </c>
      <c r="LY34">
        <v>0</v>
      </c>
      <c r="LZ34">
        <v>-999</v>
      </c>
      <c r="MA34">
        <v>0</v>
      </c>
      <c r="MB34">
        <v>0</v>
      </c>
      <c r="MC34">
        <v>526.72</v>
      </c>
      <c r="MD34">
        <v>-23.6999999999999</v>
      </c>
      <c r="ME34">
        <v>-33.6</v>
      </c>
      <c r="MF34">
        <v>0</v>
      </c>
      <c r="MG34">
        <v>8.0706896550000007</v>
      </c>
      <c r="MH34">
        <v>0</v>
      </c>
      <c r="MI34">
        <v>0</v>
      </c>
      <c r="MJ34">
        <v>0</v>
      </c>
      <c r="MK34">
        <v>0</v>
      </c>
      <c r="ML34">
        <v>0</v>
      </c>
      <c r="MM34">
        <v>0</v>
      </c>
      <c r="MN34">
        <v>0</v>
      </c>
      <c r="MO34">
        <v>0</v>
      </c>
      <c r="MP34">
        <v>0</v>
      </c>
      <c r="MQ34">
        <v>0</v>
      </c>
      <c r="MR34">
        <v>0</v>
      </c>
      <c r="MS34">
        <v>0</v>
      </c>
      <c r="MT34">
        <v>0</v>
      </c>
      <c r="MU34">
        <v>0</v>
      </c>
      <c r="MV34">
        <v>0</v>
      </c>
    </row>
    <row r="35" spans="1:360" x14ac:dyDescent="0.25">
      <c r="A35">
        <v>12410</v>
      </c>
      <c r="B35">
        <v>0</v>
      </c>
      <c r="C35">
        <v>-33.6</v>
      </c>
      <c r="D35">
        <v>-23.6999999999999</v>
      </c>
      <c r="E35">
        <v>400</v>
      </c>
      <c r="F35">
        <v>0</v>
      </c>
      <c r="G35">
        <v>0</v>
      </c>
      <c r="H35">
        <v>0</v>
      </c>
      <c r="I35">
        <v>0</v>
      </c>
      <c r="J35">
        <v>0</v>
      </c>
      <c r="K35">
        <v>0</v>
      </c>
      <c r="L35" s="159">
        <v>6.5753399999999896E-6</v>
      </c>
      <c r="M35">
        <v>0</v>
      </c>
      <c r="N35">
        <v>0</v>
      </c>
      <c r="O35">
        <v>0</v>
      </c>
      <c r="P35">
        <v>0</v>
      </c>
      <c r="Q35">
        <v>0</v>
      </c>
      <c r="R35">
        <v>0</v>
      </c>
      <c r="S35">
        <v>0</v>
      </c>
      <c r="T35">
        <v>0</v>
      </c>
      <c r="U35">
        <v>691.10768340558695</v>
      </c>
      <c r="V35">
        <v>13.7285491232204</v>
      </c>
      <c r="W35">
        <v>1.3282623088565899</v>
      </c>
      <c r="X35">
        <v>0.34440963186934798</v>
      </c>
      <c r="Y35">
        <v>0.27951560163112099</v>
      </c>
      <c r="Z35">
        <v>0.37607476649952898</v>
      </c>
      <c r="AA35">
        <v>0.112572029840523</v>
      </c>
      <c r="AB35">
        <v>0.50076662729406696</v>
      </c>
      <c r="AC35">
        <v>0.38666134286540899</v>
      </c>
      <c r="AD35">
        <v>0.88447192244093797</v>
      </c>
      <c r="AE35">
        <v>4.2856177225541803E-2</v>
      </c>
      <c r="AF35">
        <v>7.2671900333519196E-2</v>
      </c>
      <c r="AG35">
        <v>0</v>
      </c>
      <c r="AH35">
        <v>3407.70356879068</v>
      </c>
      <c r="AI35">
        <v>80.093066357809306</v>
      </c>
      <c r="AJ35">
        <v>8.1106514636366391</v>
      </c>
      <c r="AK35">
        <v>400.55885189978602</v>
      </c>
      <c r="AL35">
        <v>7.4378401153057601</v>
      </c>
      <c r="AM35">
        <v>0.83436882452564398</v>
      </c>
      <c r="AN35">
        <v>8703.0018457223505</v>
      </c>
      <c r="AO35">
        <v>313.02744326559798</v>
      </c>
      <c r="AP35">
        <v>31.302744326559601</v>
      </c>
      <c r="AQ35">
        <v>2.9622924375844999E-2</v>
      </c>
      <c r="AR35">
        <v>6.0846595814191898E-3</v>
      </c>
      <c r="AS35">
        <v>2.25204799599385E-2</v>
      </c>
      <c r="AT35">
        <v>9.48</v>
      </c>
      <c r="AU35">
        <v>5.9927820689535496</v>
      </c>
      <c r="AV35">
        <v>0</v>
      </c>
      <c r="AW35">
        <v>84.598682204898793</v>
      </c>
      <c r="AX35">
        <v>66.336833125253406</v>
      </c>
      <c r="AY35">
        <v>361.52908755224001</v>
      </c>
      <c r="AZ35">
        <v>0.54833294000258903</v>
      </c>
      <c r="BA35">
        <v>0.83167979478736198</v>
      </c>
      <c r="BB35">
        <v>1.3954621941319601E-2</v>
      </c>
      <c r="BC35">
        <v>1.1655064493976701E-3</v>
      </c>
      <c r="BD35">
        <v>0.59535435371909196</v>
      </c>
      <c r="BE35">
        <v>9.2207694977103592E-3</v>
      </c>
      <c r="BF35">
        <v>7.5451107813195503E-4</v>
      </c>
      <c r="BG35">
        <v>766.29999847710098</v>
      </c>
      <c r="BH35">
        <v>-1626.59999865293</v>
      </c>
      <c r="BI35">
        <v>424.68783581192201</v>
      </c>
      <c r="BJ35">
        <v>210.32799516339401</v>
      </c>
      <c r="BK35">
        <v>3.8027295042798701</v>
      </c>
      <c r="BL35">
        <v>4.6190900801510697</v>
      </c>
      <c r="BM35">
        <v>192.11013518212101</v>
      </c>
      <c r="BN35">
        <v>21.840258643966301</v>
      </c>
      <c r="BO35">
        <v>213.95039382608601</v>
      </c>
      <c r="BP35">
        <v>3.45451864133554</v>
      </c>
      <c r="BQ35">
        <v>0.29026839557071898</v>
      </c>
      <c r="BR35">
        <v>206.52526565911401</v>
      </c>
      <c r="BS35">
        <v>2.1956921955201198</v>
      </c>
      <c r="BT35">
        <v>0.29064956146752802</v>
      </c>
      <c r="BU35">
        <v>3.4712399975132699</v>
      </c>
      <c r="BV35">
        <v>1.68589746229425</v>
      </c>
      <c r="BW35">
        <v>0.536939810853859</v>
      </c>
      <c r="BX35">
        <v>1.2484027243651501</v>
      </c>
      <c r="BY35">
        <v>0</v>
      </c>
      <c r="BZ35">
        <v>3.0489743596393502</v>
      </c>
      <c r="CA35">
        <v>0.405544281696186</v>
      </c>
      <c r="CB35">
        <v>0.29190476739410998</v>
      </c>
      <c r="CC35">
        <v>0.24477487858645</v>
      </c>
      <c r="CD35">
        <v>4.54935169842694E-2</v>
      </c>
      <c r="CE35">
        <v>21.4553480959169</v>
      </c>
      <c r="CF35">
        <v>163.89307616737699</v>
      </c>
      <c r="CG35">
        <v>42.316489641890001</v>
      </c>
      <c r="CH35">
        <v>0.39839700957497498</v>
      </c>
      <c r="CI35">
        <v>7.14936702189285</v>
      </c>
      <c r="CJ35">
        <v>1.71011474971698</v>
      </c>
      <c r="CK35">
        <v>9.5217897953258301</v>
      </c>
      <c r="CL35">
        <v>1.5220291567658</v>
      </c>
      <c r="CM35">
        <v>9.6039498420720598E-2</v>
      </c>
      <c r="CN35">
        <v>4.46917437616818E-2</v>
      </c>
      <c r="CO35">
        <v>0.65819974546072901</v>
      </c>
      <c r="CP35">
        <v>0.79551088974784501</v>
      </c>
      <c r="CQ35">
        <v>0.15220291567657801</v>
      </c>
      <c r="CR35">
        <v>42.632189491736597</v>
      </c>
      <c r="CS35">
        <v>1.5333841718041299</v>
      </c>
      <c r="CT35">
        <v>0.153338417180412</v>
      </c>
      <c r="CU35">
        <v>1.4699999999998801E-2</v>
      </c>
      <c r="CV35">
        <v>2.00685870405973E-3</v>
      </c>
      <c r="CW35">
        <v>2.2325752164370201</v>
      </c>
      <c r="CX35">
        <v>2.0299999999998299E-2</v>
      </c>
      <c r="CY35">
        <v>5.8130478000021201E-3</v>
      </c>
      <c r="CZ35">
        <v>0</v>
      </c>
      <c r="DA35">
        <v>2.3999991000027898E-3</v>
      </c>
      <c r="DB35">
        <v>1.4982453750714299E-3</v>
      </c>
      <c r="DC35">
        <v>1.99999999999984E-3</v>
      </c>
      <c r="DD35">
        <v>3.6654345891211498E-3</v>
      </c>
      <c r="DE35">
        <v>1.1169024283529201E-3</v>
      </c>
      <c r="DF35">
        <v>2.3999990999999401E-3</v>
      </c>
      <c r="DG35">
        <v>0</v>
      </c>
      <c r="DH35">
        <v>0</v>
      </c>
      <c r="DI35">
        <v>0.231807693999981</v>
      </c>
      <c r="DJ35">
        <v>1.88461551999985E-2</v>
      </c>
      <c r="DK35">
        <v>2.3331688591991702</v>
      </c>
      <c r="DL35">
        <v>0.15229561744119899</v>
      </c>
      <c r="DM35">
        <v>77.979088775257097</v>
      </c>
      <c r="DN35">
        <v>218.916587168402</v>
      </c>
      <c r="DO35">
        <v>327.66000000000003</v>
      </c>
      <c r="DP35">
        <v>30.724495378597201</v>
      </c>
      <c r="DQ35">
        <v>157.94999999999899</v>
      </c>
      <c r="DR35">
        <v>169.71</v>
      </c>
      <c r="DS35">
        <v>155.684293829442</v>
      </c>
      <c r="DT35">
        <v>0</v>
      </c>
      <c r="DU35">
        <v>0</v>
      </c>
      <c r="DV35">
        <v>0</v>
      </c>
      <c r="DW35">
        <v>0</v>
      </c>
      <c r="DX35">
        <v>0</v>
      </c>
      <c r="DY35">
        <v>0</v>
      </c>
      <c r="DZ35">
        <v>0</v>
      </c>
      <c r="EA35">
        <v>0</v>
      </c>
      <c r="EB35">
        <v>0</v>
      </c>
      <c r="EC35">
        <v>0</v>
      </c>
      <c r="ED35">
        <v>0</v>
      </c>
      <c r="EE35">
        <v>0</v>
      </c>
      <c r="EF35">
        <v>1.29330595741739</v>
      </c>
      <c r="EG35">
        <v>0</v>
      </c>
      <c r="EH35">
        <v>0</v>
      </c>
      <c r="EI35">
        <v>0</v>
      </c>
      <c r="EJ35">
        <v>0</v>
      </c>
      <c r="EK35">
        <v>0</v>
      </c>
      <c r="EL35">
        <v>0</v>
      </c>
      <c r="EM35">
        <v>0</v>
      </c>
      <c r="EN35">
        <v>0</v>
      </c>
      <c r="EO35">
        <v>0</v>
      </c>
      <c r="EP35">
        <v>0</v>
      </c>
      <c r="EQ35">
        <v>0</v>
      </c>
      <c r="ER35">
        <v>0</v>
      </c>
      <c r="ES35">
        <v>0</v>
      </c>
      <c r="ET35">
        <v>0</v>
      </c>
      <c r="EU35">
        <v>0</v>
      </c>
      <c r="EV35">
        <v>807.05609105896997</v>
      </c>
      <c r="EW35">
        <v>-28.649999999999899</v>
      </c>
      <c r="EX35">
        <v>1454.96354401176</v>
      </c>
      <c r="EY35">
        <v>830.46626389146695</v>
      </c>
      <c r="EZ35">
        <v>96.192665092027497</v>
      </c>
      <c r="FA35">
        <v>655.038785302321</v>
      </c>
      <c r="FB35">
        <v>703.73211669921795</v>
      </c>
      <c r="FC35">
        <v>0.41487896454191397</v>
      </c>
      <c r="FD35">
        <v>0.75661871515498602</v>
      </c>
      <c r="FE35">
        <v>0</v>
      </c>
      <c r="FF35">
        <v>1</v>
      </c>
      <c r="FG35" s="159">
        <v>5.9179034343760496E-13</v>
      </c>
      <c r="FH35">
        <v>0</v>
      </c>
      <c r="FI35">
        <v>5.4512674794765098E-5</v>
      </c>
      <c r="FJ35">
        <v>-5.4296819877426598E-3</v>
      </c>
      <c r="FK35" s="159">
        <v>6.57534000000779E-6</v>
      </c>
      <c r="FL35" s="159">
        <v>2.7095699093843301E-6</v>
      </c>
      <c r="FM35" s="159">
        <v>4.1046563617858198E-6</v>
      </c>
      <c r="FN35">
        <v>0</v>
      </c>
      <c r="FO35">
        <v>0</v>
      </c>
      <c r="FP35">
        <v>0</v>
      </c>
      <c r="FQ35">
        <v>0</v>
      </c>
      <c r="FR35">
        <v>0</v>
      </c>
      <c r="FS35">
        <v>0</v>
      </c>
      <c r="FT35">
        <v>0</v>
      </c>
      <c r="FU35">
        <v>0</v>
      </c>
      <c r="FV35">
        <v>-999</v>
      </c>
      <c r="FW35">
        <v>0.477711986171517</v>
      </c>
      <c r="FX35">
        <v>3.19245791859967E-3</v>
      </c>
      <c r="FY35">
        <v>1.18483620136644</v>
      </c>
      <c r="FZ35">
        <v>9.5472563613627605E-4</v>
      </c>
      <c r="GA35">
        <v>42.8311757316837</v>
      </c>
      <c r="GB35">
        <v>1.06408246257309E-2</v>
      </c>
      <c r="GC35">
        <v>2.8758985474948299E-3</v>
      </c>
      <c r="GD35">
        <v>0</v>
      </c>
      <c r="GE35">
        <v>7.0230821022307802E-3</v>
      </c>
      <c r="GF35">
        <v>0.43587989097631902</v>
      </c>
      <c r="GG35">
        <v>5.5878064750787603E-4</v>
      </c>
      <c r="GH35">
        <v>9.4356653675093695E-3</v>
      </c>
      <c r="GI35">
        <v>1.85642433231154E-2</v>
      </c>
      <c r="GJ35">
        <v>9.12917931396537E-4</v>
      </c>
      <c r="GK35">
        <v>1.77342760028134E-3</v>
      </c>
      <c r="GL35">
        <v>0.39096719598951402</v>
      </c>
      <c r="GM35">
        <v>6.5280490645322998E-3</v>
      </c>
      <c r="GN35">
        <v>5.4087156845496903E-4</v>
      </c>
      <c r="GO35">
        <v>0</v>
      </c>
      <c r="GP35">
        <v>0</v>
      </c>
      <c r="GQ35">
        <v>0</v>
      </c>
      <c r="GR35">
        <v>6.03020144183571E-2</v>
      </c>
      <c r="GS35">
        <v>1.11972745015461E-3</v>
      </c>
      <c r="GT35">
        <v>1.2560980901593199E-4</v>
      </c>
      <c r="GU35">
        <v>3.7798143629962901E-2</v>
      </c>
      <c r="GV35">
        <v>7.0186078185924901E-4</v>
      </c>
      <c r="GW35">
        <v>7.8733980088583499E-5</v>
      </c>
      <c r="GX35">
        <v>0.11985984754585299</v>
      </c>
      <c r="GY35">
        <v>0.13049246702422301</v>
      </c>
      <c r="GZ35">
        <v>59.0065896331106</v>
      </c>
      <c r="HA35">
        <v>677.09200236067204</v>
      </c>
      <c r="HB35">
        <v>0</v>
      </c>
      <c r="HC35">
        <v>0.99981307999336799</v>
      </c>
      <c r="HD35">
        <v>0.41311794561189702</v>
      </c>
      <c r="HE35">
        <v>1.07272289360328E-2</v>
      </c>
      <c r="HF35">
        <v>9.2892121576417105E-4</v>
      </c>
      <c r="HG35">
        <v>1.26607219424806E-2</v>
      </c>
      <c r="HH35" s="159">
        <v>4.7618761640511999E-7</v>
      </c>
      <c r="HI35" s="159">
        <v>3.3333254620182202E-7</v>
      </c>
      <c r="HJ35">
        <v>0</v>
      </c>
      <c r="HK35">
        <v>0</v>
      </c>
      <c r="HL35">
        <v>0</v>
      </c>
      <c r="HM35">
        <v>0</v>
      </c>
      <c r="HN35">
        <v>0</v>
      </c>
      <c r="HO35">
        <v>1.11980977074465E-2</v>
      </c>
      <c r="HP35">
        <v>0.54361041263612098</v>
      </c>
      <c r="HQ35">
        <v>1.07272289360328E-2</v>
      </c>
      <c r="HR35">
        <v>9.2892121576417105E-4</v>
      </c>
      <c r="HS35">
        <v>0.72518814341181304</v>
      </c>
      <c r="HT35">
        <v>-999</v>
      </c>
      <c r="HU35">
        <v>0.999999999999999</v>
      </c>
      <c r="HV35">
        <v>0.78876025888503398</v>
      </c>
      <c r="HW35">
        <v>0.21123974111496499</v>
      </c>
      <c r="HX35">
        <v>12511.2642664128</v>
      </c>
      <c r="HY35">
        <v>400.55834973871299</v>
      </c>
      <c r="HZ35">
        <v>40.247764614721902</v>
      </c>
      <c r="IA35">
        <v>-0.13049246702422301</v>
      </c>
      <c r="IB35">
        <v>0</v>
      </c>
      <c r="IC35">
        <v>0</v>
      </c>
      <c r="ID35">
        <v>0</v>
      </c>
      <c r="IE35">
        <v>0</v>
      </c>
      <c r="IF35">
        <v>0</v>
      </c>
      <c r="IG35">
        <v>0</v>
      </c>
      <c r="IH35">
        <v>0</v>
      </c>
      <c r="II35">
        <v>46.337800049999601</v>
      </c>
      <c r="IJ35">
        <v>463.37800049999902</v>
      </c>
      <c r="IK35">
        <v>1.0280491975077201E-2</v>
      </c>
      <c r="IL35">
        <v>2.2331557790798099E-3</v>
      </c>
      <c r="IM35">
        <v>1.2513647754157E-2</v>
      </c>
      <c r="IN35">
        <v>9.9690588384562708E-4</v>
      </c>
      <c r="IO35">
        <v>0.42235661704047101</v>
      </c>
      <c r="IP35">
        <v>1.8439537661229102E-2</v>
      </c>
      <c r="IQ35">
        <v>1.7147597015372701E-3</v>
      </c>
      <c r="IR35">
        <v>0.29617206207906999</v>
      </c>
      <c r="IS35">
        <v>0.243998244909991</v>
      </c>
      <c r="IT35">
        <v>0.26238165162489102</v>
      </c>
      <c r="IU35">
        <v>0.29726638683885398</v>
      </c>
      <c r="IV35">
        <v>1.3940322834937501E-2</v>
      </c>
      <c r="IW35">
        <v>1.2648382189081101E-3</v>
      </c>
      <c r="IX35">
        <v>7.4969718228614105E-2</v>
      </c>
      <c r="IY35">
        <v>2.6964925017199698E-3</v>
      </c>
      <c r="IZ35">
        <v>2.69649250171995E-4</v>
      </c>
      <c r="JA35">
        <v>7.5102969659709598E-2</v>
      </c>
      <c r="JB35">
        <v>2.7012852566253198E-3</v>
      </c>
      <c r="JC35">
        <v>2.7012852566253001E-4</v>
      </c>
      <c r="JD35">
        <v>1.7110310710006499E-4</v>
      </c>
      <c r="JE35">
        <v>3.18593278525816E-3</v>
      </c>
      <c r="JF35" s="159">
        <v>7.5894152073985301E-19</v>
      </c>
      <c r="JG35">
        <v>0</v>
      </c>
      <c r="JH35">
        <v>4.1279603374058402E-3</v>
      </c>
      <c r="JI35">
        <v>5.38060860725022E-4</v>
      </c>
      <c r="JJ35">
        <v>-0.50286182352278797</v>
      </c>
      <c r="JK35">
        <v>1.7110310710006499E-4</v>
      </c>
      <c r="JL35" s="159">
        <v>6.5753399999999896E-6</v>
      </c>
      <c r="JM35">
        <v>-0.50286182352278797</v>
      </c>
      <c r="JN35">
        <v>0</v>
      </c>
      <c r="JO35">
        <v>1.7013683390808101</v>
      </c>
      <c r="JP35">
        <v>-1.02298703245449E-2</v>
      </c>
      <c r="JQ35">
        <v>7.3456451087863502E-4</v>
      </c>
      <c r="JR35">
        <v>3.9828677742899901E-2</v>
      </c>
      <c r="JS35">
        <v>1534.1983575066199</v>
      </c>
      <c r="JT35">
        <v>4.7988666323371301E-2</v>
      </c>
      <c r="JU35">
        <v>0</v>
      </c>
      <c r="JV35">
        <v>365</v>
      </c>
      <c r="JW35">
        <v>0</v>
      </c>
      <c r="JX35">
        <v>-0.40268092994350901</v>
      </c>
      <c r="JY35">
        <v>0</v>
      </c>
      <c r="JZ35">
        <v>1.3134648434621601</v>
      </c>
      <c r="KA35">
        <v>1.40131633548674</v>
      </c>
      <c r="KB35">
        <v>1.4246493954925901</v>
      </c>
      <c r="KC35">
        <v>0</v>
      </c>
      <c r="KD35">
        <v>0</v>
      </c>
      <c r="KE35">
        <v>0</v>
      </c>
      <c r="KF35">
        <v>3.5388693108368298E-3</v>
      </c>
      <c r="KG35">
        <v>2.2163146556108699E-2</v>
      </c>
      <c r="KH35">
        <v>3.9456196719955199E-2</v>
      </c>
      <c r="KI35">
        <v>0</v>
      </c>
      <c r="KJ35">
        <v>0</v>
      </c>
      <c r="KK35">
        <v>0</v>
      </c>
      <c r="KL35">
        <v>0</v>
      </c>
      <c r="KM35">
        <v>0</v>
      </c>
      <c r="KN35">
        <v>0</v>
      </c>
      <c r="KO35">
        <v>0</v>
      </c>
      <c r="KP35">
        <v>0</v>
      </c>
      <c r="KQ35">
        <v>0</v>
      </c>
      <c r="KR35">
        <v>0</v>
      </c>
      <c r="KS35">
        <v>0</v>
      </c>
      <c r="KT35">
        <v>0</v>
      </c>
      <c r="KU35">
        <v>0.34999999999999898</v>
      </c>
      <c r="KV35">
        <v>-0.116326308848315</v>
      </c>
      <c r="KW35">
        <v>1.8443382610372201E-3</v>
      </c>
      <c r="KX35">
        <v>32751.939265116001</v>
      </c>
      <c r="KY35">
        <v>0</v>
      </c>
      <c r="KZ35">
        <v>0.21024508681288301</v>
      </c>
      <c r="LA35">
        <v>1.73602675993533E-5</v>
      </c>
      <c r="LB35">
        <v>0</v>
      </c>
      <c r="LC35">
        <v>-12.151332002601601</v>
      </c>
      <c r="LD35">
        <v>1.5709187084637501E-2</v>
      </c>
      <c r="LE35">
        <v>3.40489347607318E-3</v>
      </c>
      <c r="LF35">
        <v>1.5709187084637501E-2</v>
      </c>
      <c r="LG35">
        <v>0.94521709696665102</v>
      </c>
      <c r="LH35">
        <v>1.2320648829166401</v>
      </c>
      <c r="LI35">
        <v>0</v>
      </c>
      <c r="LJ35">
        <v>0</v>
      </c>
      <c r="LK35">
        <v>0.241710520585425</v>
      </c>
      <c r="LL35">
        <v>0</v>
      </c>
      <c r="LM35">
        <v>0</v>
      </c>
      <c r="LN35">
        <v>0</v>
      </c>
      <c r="LO35">
        <v>0</v>
      </c>
      <c r="LP35">
        <v>0</v>
      </c>
      <c r="LQ35">
        <v>0</v>
      </c>
      <c r="LR35">
        <v>0</v>
      </c>
      <c r="LS35">
        <v>0</v>
      </c>
      <c r="LT35">
        <v>-999</v>
      </c>
      <c r="LU35">
        <v>0.425612094555613</v>
      </c>
      <c r="LV35">
        <v>34</v>
      </c>
      <c r="LW35">
        <v>130.68</v>
      </c>
      <c r="LX35">
        <v>1.2209999999999901</v>
      </c>
      <c r="LY35">
        <v>0</v>
      </c>
      <c r="LZ35">
        <v>-999</v>
      </c>
      <c r="MA35">
        <v>0</v>
      </c>
      <c r="MB35">
        <v>0</v>
      </c>
      <c r="MC35">
        <v>530.67999999999995</v>
      </c>
      <c r="MD35">
        <v>-23.6999999999999</v>
      </c>
      <c r="ME35">
        <v>-33.6</v>
      </c>
      <c r="MF35">
        <v>0</v>
      </c>
      <c r="MG35">
        <v>8.0706896550000007</v>
      </c>
      <c r="MH35">
        <v>0</v>
      </c>
      <c r="MI35">
        <v>0</v>
      </c>
      <c r="MJ35">
        <v>0</v>
      </c>
      <c r="MK35">
        <v>0</v>
      </c>
      <c r="ML35">
        <v>0</v>
      </c>
      <c r="MM35">
        <v>0</v>
      </c>
      <c r="MN35">
        <v>0</v>
      </c>
      <c r="MO35">
        <v>0</v>
      </c>
      <c r="MP35">
        <v>0</v>
      </c>
      <c r="MQ35">
        <v>0</v>
      </c>
      <c r="MR35">
        <v>0</v>
      </c>
      <c r="MS35">
        <v>0</v>
      </c>
      <c r="MT35">
        <v>0</v>
      </c>
      <c r="MU35">
        <v>0</v>
      </c>
      <c r="MV35">
        <v>0</v>
      </c>
    </row>
    <row r="36" spans="1:360" x14ac:dyDescent="0.25">
      <c r="A36">
        <v>12775</v>
      </c>
      <c r="B36">
        <v>0</v>
      </c>
      <c r="C36">
        <v>-33.6</v>
      </c>
      <c r="D36">
        <v>-23.6999999999999</v>
      </c>
      <c r="E36">
        <v>400</v>
      </c>
      <c r="F36">
        <v>0</v>
      </c>
      <c r="G36">
        <v>0</v>
      </c>
      <c r="H36">
        <v>0</v>
      </c>
      <c r="I36">
        <v>0</v>
      </c>
      <c r="J36">
        <v>0</v>
      </c>
      <c r="K36">
        <v>0</v>
      </c>
      <c r="L36" s="159">
        <v>6.5753399999999896E-6</v>
      </c>
      <c r="M36">
        <v>0</v>
      </c>
      <c r="N36">
        <v>0</v>
      </c>
      <c r="O36">
        <v>0</v>
      </c>
      <c r="P36">
        <v>0</v>
      </c>
      <c r="Q36">
        <v>0</v>
      </c>
      <c r="R36">
        <v>0</v>
      </c>
      <c r="S36">
        <v>0</v>
      </c>
      <c r="T36">
        <v>0</v>
      </c>
      <c r="U36">
        <v>692.02245428377705</v>
      </c>
      <c r="V36">
        <v>13.745521769791401</v>
      </c>
      <c r="W36">
        <v>1.3299022739055699</v>
      </c>
      <c r="X36">
        <v>0.34281090083460503</v>
      </c>
      <c r="Y36">
        <v>0.27913622111154601</v>
      </c>
      <c r="Z36">
        <v>0.37805287805384802</v>
      </c>
      <c r="AA36">
        <v>0.11255873505741899</v>
      </c>
      <c r="AB36">
        <v>0.50154621976584002</v>
      </c>
      <c r="AC36">
        <v>0.38589504517674</v>
      </c>
      <c r="AD36">
        <v>0.88447919686440002</v>
      </c>
      <c r="AE36">
        <v>4.2766827156301299E-2</v>
      </c>
      <c r="AF36">
        <v>7.2753975979298294E-2</v>
      </c>
      <c r="AG36">
        <v>0</v>
      </c>
      <c r="AH36">
        <v>3408.3197922539898</v>
      </c>
      <c r="AI36">
        <v>80.069901904526702</v>
      </c>
      <c r="AJ36">
        <v>8.1106302860974502</v>
      </c>
      <c r="AK36">
        <v>400.94125260324398</v>
      </c>
      <c r="AL36">
        <v>7.4449407829824903</v>
      </c>
      <c r="AM36">
        <v>0.83516536971227195</v>
      </c>
      <c r="AN36">
        <v>8702.6840109917594</v>
      </c>
      <c r="AO36">
        <v>313.01601146369097</v>
      </c>
      <c r="AP36">
        <v>31.301601146368899</v>
      </c>
      <c r="AQ36">
        <v>2.9656255196383801E-2</v>
      </c>
      <c r="AR36">
        <v>6.0941603734072699E-3</v>
      </c>
      <c r="AS36">
        <v>2.2385969188237299E-2</v>
      </c>
      <c r="AT36">
        <v>9.48</v>
      </c>
      <c r="AU36">
        <v>5.9923936070496699</v>
      </c>
      <c r="AV36">
        <v>0</v>
      </c>
      <c r="AW36">
        <v>84.6277051088381</v>
      </c>
      <c r="AX36">
        <v>66.348078232067095</v>
      </c>
      <c r="AY36">
        <v>361.526020343114</v>
      </c>
      <c r="AZ36">
        <v>0.54833294000258903</v>
      </c>
      <c r="BA36">
        <v>0.83234099444312504</v>
      </c>
      <c r="BB36">
        <v>1.3962261416001201E-2</v>
      </c>
      <c r="BC36">
        <v>1.16625302625286E-3</v>
      </c>
      <c r="BD36">
        <v>0.59545295889237604</v>
      </c>
      <c r="BE36">
        <v>9.2247524837234494E-3</v>
      </c>
      <c r="BF36">
        <v>7.5463275162029604E-4</v>
      </c>
      <c r="BG36">
        <v>766.29999847710098</v>
      </c>
      <c r="BH36">
        <v>-1626.59999865293</v>
      </c>
      <c r="BI36">
        <v>424.89069082916501</v>
      </c>
      <c r="BJ36">
        <v>210.338443068825</v>
      </c>
      <c r="BK36">
        <v>3.7029285859960801</v>
      </c>
      <c r="BL36">
        <v>4.6239250974354098</v>
      </c>
      <c r="BM36">
        <v>192.18814056293701</v>
      </c>
      <c r="BN36">
        <v>21.859456725133899</v>
      </c>
      <c r="BO36">
        <v>214.04759728807099</v>
      </c>
      <c r="BP36">
        <v>3.4568075569368801</v>
      </c>
      <c r="BQ36">
        <v>0.29048773916112502</v>
      </c>
      <c r="BR36">
        <v>206.635514482829</v>
      </c>
      <c r="BS36">
        <v>2.1969477235622401</v>
      </c>
      <c r="BT36">
        <v>0.29085555170451499</v>
      </c>
      <c r="BU36">
        <v>3.47378020350782</v>
      </c>
      <c r="BV36">
        <v>1.6877699699420801</v>
      </c>
      <c r="BW36">
        <v>0.53630074777239001</v>
      </c>
      <c r="BX36">
        <v>1.24970948579335</v>
      </c>
      <c r="BY36">
        <v>0</v>
      </c>
      <c r="BZ36">
        <v>3.05090679264752</v>
      </c>
      <c r="CA36">
        <v>0.405900764289363</v>
      </c>
      <c r="CB36">
        <v>0.29212770421010398</v>
      </c>
      <c r="CC36">
        <v>0.244954232346795</v>
      </c>
      <c r="CD36">
        <v>4.5533506814330299E-2</v>
      </c>
      <c r="CE36">
        <v>21.4770560216752</v>
      </c>
      <c r="CF36">
        <v>164.00263678213099</v>
      </c>
      <c r="CG36">
        <v>42.315042970081599</v>
      </c>
      <c r="CH36">
        <v>0.39880009661264698</v>
      </c>
      <c r="CI36">
        <v>7.1549475077903404</v>
      </c>
      <c r="CJ36">
        <v>1.71097633763949</v>
      </c>
      <c r="CK36">
        <v>9.52946264385624</v>
      </c>
      <c r="CL36">
        <v>1.5219771232277799</v>
      </c>
      <c r="CM36">
        <v>9.6195635922355902E-2</v>
      </c>
      <c r="CN36">
        <v>4.4736961627700703E-2</v>
      </c>
      <c r="CO36">
        <v>0.65427411857196105</v>
      </c>
      <c r="CP36">
        <v>0.79178877776289502</v>
      </c>
      <c r="CQ36">
        <v>0.15219771232277701</v>
      </c>
      <c r="CR36">
        <v>42.632877700697897</v>
      </c>
      <c r="CS36">
        <v>1.53340892513584</v>
      </c>
      <c r="CT36">
        <v>0.15334089251358299</v>
      </c>
      <c r="CU36">
        <v>1.4699999999998501E-2</v>
      </c>
      <c r="CV36">
        <v>2.0113043022898002E-3</v>
      </c>
      <c r="CW36">
        <v>2.2328094561368199</v>
      </c>
      <c r="CX36">
        <v>2.02999999999979E-2</v>
      </c>
      <c r="CY36">
        <v>5.8228699329509401E-3</v>
      </c>
      <c r="CZ36">
        <v>0</v>
      </c>
      <c r="DA36">
        <v>2.3999991000028401E-3</v>
      </c>
      <c r="DB36">
        <v>1.4981491793973601E-3</v>
      </c>
      <c r="DC36">
        <v>1.9999999999997901E-3</v>
      </c>
      <c r="DD36">
        <v>3.6508192699791701E-3</v>
      </c>
      <c r="DE36">
        <v>1.10968727553415E-3</v>
      </c>
      <c r="DF36">
        <v>2.39999909999998E-3</v>
      </c>
      <c r="DG36">
        <v>0</v>
      </c>
      <c r="DH36">
        <v>0</v>
      </c>
      <c r="DI36">
        <v>0.231807693999976</v>
      </c>
      <c r="DJ36">
        <v>1.8846155199998001E-2</v>
      </c>
      <c r="DK36">
        <v>2.33917596565305</v>
      </c>
      <c r="DL36">
        <v>0.15268772621756199</v>
      </c>
      <c r="DM36">
        <v>77.449069066266006</v>
      </c>
      <c r="DN36">
        <v>219.49667714363</v>
      </c>
      <c r="DO36">
        <v>327.66000000000003</v>
      </c>
      <c r="DP36">
        <v>30.673989744012701</v>
      </c>
      <c r="DQ36">
        <v>157.94999999999899</v>
      </c>
      <c r="DR36">
        <v>169.71</v>
      </c>
      <c r="DS36">
        <v>155.716961787358</v>
      </c>
      <c r="DT36">
        <v>0</v>
      </c>
      <c r="DU36">
        <v>0</v>
      </c>
      <c r="DV36">
        <v>0</v>
      </c>
      <c r="DW36">
        <v>0</v>
      </c>
      <c r="DX36">
        <v>0</v>
      </c>
      <c r="DY36">
        <v>0</v>
      </c>
      <c r="DZ36">
        <v>0</v>
      </c>
      <c r="EA36">
        <v>0</v>
      </c>
      <c r="EB36">
        <v>0</v>
      </c>
      <c r="EC36">
        <v>0</v>
      </c>
      <c r="ED36">
        <v>0</v>
      </c>
      <c r="EE36">
        <v>0</v>
      </c>
      <c r="EF36">
        <v>1.29164508624076</v>
      </c>
      <c r="EG36">
        <v>0</v>
      </c>
      <c r="EH36">
        <v>0</v>
      </c>
      <c r="EI36">
        <v>0</v>
      </c>
      <c r="EJ36">
        <v>0</v>
      </c>
      <c r="EK36">
        <v>0</v>
      </c>
      <c r="EL36">
        <v>0</v>
      </c>
      <c r="EM36">
        <v>0</v>
      </c>
      <c r="EN36">
        <v>0</v>
      </c>
      <c r="EO36">
        <v>0</v>
      </c>
      <c r="EP36">
        <v>0</v>
      </c>
      <c r="EQ36">
        <v>0</v>
      </c>
      <c r="ER36">
        <v>0</v>
      </c>
      <c r="ES36">
        <v>0</v>
      </c>
      <c r="ET36">
        <v>0</v>
      </c>
      <c r="EU36">
        <v>0</v>
      </c>
      <c r="EV36">
        <v>808.00412208095395</v>
      </c>
      <c r="EW36">
        <v>-28.649999999999899</v>
      </c>
      <c r="EX36">
        <v>1456.8893774395301</v>
      </c>
      <c r="EY36">
        <v>831.02517950096797</v>
      </c>
      <c r="EZ36">
        <v>95.9302869678192</v>
      </c>
      <c r="FA36">
        <v>656.07620239343601</v>
      </c>
      <c r="FB36">
        <v>704.88287353515602</v>
      </c>
      <c r="FC36">
        <v>0.41374732769220401</v>
      </c>
      <c r="FD36">
        <v>0.75455493826478903</v>
      </c>
      <c r="FE36">
        <v>0</v>
      </c>
      <c r="FF36">
        <v>1</v>
      </c>
      <c r="FG36" s="159">
        <v>5.9181572038200599E-13</v>
      </c>
      <c r="FH36">
        <v>0</v>
      </c>
      <c r="FI36">
        <v>5.4512674794765098E-5</v>
      </c>
      <c r="FJ36">
        <v>-5.4138288417968699E-3</v>
      </c>
      <c r="FK36" s="159">
        <v>6.57534000000779E-6</v>
      </c>
      <c r="FL36" s="159">
        <v>2.69329474119682E-6</v>
      </c>
      <c r="FM36" s="159">
        <v>4.1043902912685303E-6</v>
      </c>
      <c r="FN36">
        <v>0</v>
      </c>
      <c r="FO36">
        <v>0</v>
      </c>
      <c r="FP36">
        <v>0</v>
      </c>
      <c r="FQ36">
        <v>0</v>
      </c>
      <c r="FR36">
        <v>0</v>
      </c>
      <c r="FS36">
        <v>0</v>
      </c>
      <c r="FT36">
        <v>0</v>
      </c>
      <c r="FU36">
        <v>0</v>
      </c>
      <c r="FV36">
        <v>-999</v>
      </c>
      <c r="FW36">
        <v>0.47824667849889502</v>
      </c>
      <c r="FX36">
        <v>3.1941898685198099E-3</v>
      </c>
      <c r="FY36">
        <v>1.1865976991393501</v>
      </c>
      <c r="FZ36">
        <v>9.5355035762925895E-4</v>
      </c>
      <c r="GA36">
        <v>42.796364541867902</v>
      </c>
      <c r="GB36">
        <v>1.06378593845513E-2</v>
      </c>
      <c r="GC36">
        <v>2.8750971309598299E-3</v>
      </c>
      <c r="GD36">
        <v>0</v>
      </c>
      <c r="GE36">
        <v>7.0228373571089003E-3</v>
      </c>
      <c r="GF36">
        <v>0.43326175644853798</v>
      </c>
      <c r="GG36">
        <v>5.5878304555443E-4</v>
      </c>
      <c r="GH36">
        <v>9.4348424682380999E-3</v>
      </c>
      <c r="GI36">
        <v>1.8560065355993301E-2</v>
      </c>
      <c r="GJ36">
        <v>9.1283682515611595E-4</v>
      </c>
      <c r="GK36">
        <v>1.7730849899298001E-3</v>
      </c>
      <c r="GL36">
        <v>0.39149075876837103</v>
      </c>
      <c r="GM36">
        <v>6.5377289961244204E-3</v>
      </c>
      <c r="GN36">
        <v>5.4167208500006795E-4</v>
      </c>
      <c r="GO36">
        <v>0</v>
      </c>
      <c r="GP36">
        <v>0</v>
      </c>
      <c r="GQ36">
        <v>0</v>
      </c>
      <c r="GR36">
        <v>6.0351297809472799E-2</v>
      </c>
      <c r="GS36">
        <v>1.12064257656293E-3</v>
      </c>
      <c r="GT36">
        <v>1.2571246690233E-4</v>
      </c>
      <c r="GU36">
        <v>3.7834485677892001E-2</v>
      </c>
      <c r="GV36">
        <v>7.0253560489880597E-4</v>
      </c>
      <c r="GW36">
        <v>7.8809681004110902E-5</v>
      </c>
      <c r="GX36">
        <v>0.120046185774432</v>
      </c>
      <c r="GY36">
        <v>0.13067393291833301</v>
      </c>
      <c r="GZ36">
        <v>58.999756317554997</v>
      </c>
      <c r="HA36">
        <v>677.03403575922698</v>
      </c>
      <c r="HB36">
        <v>0</v>
      </c>
      <c r="HC36">
        <v>0.99981307905028305</v>
      </c>
      <c r="HD36">
        <v>0.41366741177697902</v>
      </c>
      <c r="HE36">
        <v>1.07413497475068E-2</v>
      </c>
      <c r="HF36">
        <v>9.3013149558580498E-4</v>
      </c>
      <c r="HG36">
        <v>1.2685459900484799E-2</v>
      </c>
      <c r="HH36" s="159">
        <v>4.7618762280305498E-7</v>
      </c>
      <c r="HI36" s="159">
        <v>3.3333254616739097E-7</v>
      </c>
      <c r="HJ36">
        <v>0</v>
      </c>
      <c r="HK36">
        <v>0</v>
      </c>
      <c r="HL36">
        <v>0</v>
      </c>
      <c r="HM36">
        <v>0</v>
      </c>
      <c r="HN36">
        <v>0</v>
      </c>
      <c r="HO36">
        <v>1.12200700009382E-2</v>
      </c>
      <c r="HP36">
        <v>0.54434134469531303</v>
      </c>
      <c r="HQ36">
        <v>1.07413497475068E-2</v>
      </c>
      <c r="HR36">
        <v>9.3013149558580498E-4</v>
      </c>
      <c r="HS36">
        <v>0.72483806670889595</v>
      </c>
      <c r="HT36">
        <v>-999</v>
      </c>
      <c r="HU36">
        <v>0.999999999999999</v>
      </c>
      <c r="HV36">
        <v>0.78947812723004296</v>
      </c>
      <c r="HW36">
        <v>0.21052187276995599</v>
      </c>
      <c r="HX36">
        <v>12511.945055849001</v>
      </c>
      <c r="HY36">
        <v>400.5308541512</v>
      </c>
      <c r="HZ36">
        <v>40.247396802178599</v>
      </c>
      <c r="IA36">
        <v>-0.13067393291833301</v>
      </c>
      <c r="IB36">
        <v>0</v>
      </c>
      <c r="IC36">
        <v>0</v>
      </c>
      <c r="ID36">
        <v>0</v>
      </c>
      <c r="IE36">
        <v>0</v>
      </c>
      <c r="IF36">
        <v>0</v>
      </c>
      <c r="IG36">
        <v>0</v>
      </c>
      <c r="IH36">
        <v>0</v>
      </c>
      <c r="II36">
        <v>46.337800049999601</v>
      </c>
      <c r="IJ36">
        <v>463.37800049999902</v>
      </c>
      <c r="IK36">
        <v>1.0298660840947599E-2</v>
      </c>
      <c r="IL36">
        <v>2.2378702048073702E-3</v>
      </c>
      <c r="IM36">
        <v>1.2536531045755001E-2</v>
      </c>
      <c r="IN36">
        <v>9.914126771181401E-4</v>
      </c>
      <c r="IO36">
        <v>0.42243586647465198</v>
      </c>
      <c r="IP36">
        <v>1.8461059997398999E-2</v>
      </c>
      <c r="IQ36">
        <v>1.70926950369748E-3</v>
      </c>
      <c r="IR36">
        <v>0.29597865934623202</v>
      </c>
      <c r="IS36">
        <v>0.243600338675104</v>
      </c>
      <c r="IT36">
        <v>0.26310189574784099</v>
      </c>
      <c r="IU36">
        <v>0.29740386505571997</v>
      </c>
      <c r="IV36">
        <v>1.39639395297312E-2</v>
      </c>
      <c r="IW36">
        <v>1.2595574569307E-3</v>
      </c>
      <c r="IX36">
        <v>7.49619027864874E-2</v>
      </c>
      <c r="IY36">
        <v>2.6962113978077499E-3</v>
      </c>
      <c r="IZ36">
        <v>2.69621139780773E-4</v>
      </c>
      <c r="JA36">
        <v>7.5100737766539694E-2</v>
      </c>
      <c r="JB36">
        <v>2.70120498043728E-3</v>
      </c>
      <c r="JC36">
        <v>2.7012049804372599E-4</v>
      </c>
      <c r="JD36">
        <v>1.7136741036675399E-4</v>
      </c>
      <c r="JE36">
        <v>3.1894962276482301E-3</v>
      </c>
      <c r="JF36" s="159">
        <v>-9.4867690092481602E-20</v>
      </c>
      <c r="JG36">
        <v>0</v>
      </c>
      <c r="JH36">
        <v>4.12861346441351E-3</v>
      </c>
      <c r="JI36">
        <v>5.3826527785629105E-4</v>
      </c>
      <c r="JJ36">
        <v>-0.50317853574059301</v>
      </c>
      <c r="JK36">
        <v>1.7136741036675399E-4</v>
      </c>
      <c r="JL36" s="159">
        <v>6.5753399999999896E-6</v>
      </c>
      <c r="JM36">
        <v>-0.50317853574059301</v>
      </c>
      <c r="JN36">
        <v>0</v>
      </c>
      <c r="JO36">
        <v>1.59556031434322</v>
      </c>
      <c r="JP36">
        <v>-1.04801093304528E-2</v>
      </c>
      <c r="JQ36">
        <v>7.4917983002061798E-4</v>
      </c>
      <c r="JR36">
        <v>4.0264046090435102E-2</v>
      </c>
      <c r="JS36">
        <v>1535.9080675770499</v>
      </c>
      <c r="JT36">
        <v>4.7857770935030401E-2</v>
      </c>
      <c r="JU36">
        <v>0</v>
      </c>
      <c r="JV36">
        <v>365</v>
      </c>
      <c r="JW36">
        <v>0</v>
      </c>
      <c r="JX36">
        <v>-0.40268092994350901</v>
      </c>
      <c r="JY36">
        <v>0</v>
      </c>
      <c r="JZ36">
        <v>1.3141348127635899</v>
      </c>
      <c r="KA36">
        <v>1.4014468147863399</v>
      </c>
      <c r="KB36">
        <v>1.4251992223935199</v>
      </c>
      <c r="KC36">
        <v>0</v>
      </c>
      <c r="KD36">
        <v>0</v>
      </c>
      <c r="KE36">
        <v>0</v>
      </c>
      <c r="KF36">
        <v>3.5409713396833899E-3</v>
      </c>
      <c r="KG36">
        <v>2.2182692584823801E-2</v>
      </c>
      <c r="KH36">
        <v>3.94009201882837E-2</v>
      </c>
      <c r="KI36">
        <v>0</v>
      </c>
      <c r="KJ36">
        <v>0</v>
      </c>
      <c r="KK36">
        <v>0</v>
      </c>
      <c r="KL36">
        <v>0</v>
      </c>
      <c r="KM36">
        <v>0</v>
      </c>
      <c r="KN36">
        <v>0</v>
      </c>
      <c r="KO36">
        <v>0</v>
      </c>
      <c r="KP36">
        <v>0</v>
      </c>
      <c r="KQ36">
        <v>0</v>
      </c>
      <c r="KR36">
        <v>0</v>
      </c>
      <c r="KS36">
        <v>0</v>
      </c>
      <c r="KT36">
        <v>0</v>
      </c>
      <c r="KU36">
        <v>0.34999999999999898</v>
      </c>
      <c r="KV36">
        <v>-0.116229595906191</v>
      </c>
      <c r="KW36">
        <v>1.84287950899492E-3</v>
      </c>
      <c r="KX36">
        <v>32803.810119671703</v>
      </c>
      <c r="KY36">
        <v>0</v>
      </c>
      <c r="KZ36">
        <v>0.210250266921132</v>
      </c>
      <c r="LA36">
        <v>1.73602675993533E-5</v>
      </c>
      <c r="LB36">
        <v>0</v>
      </c>
      <c r="LC36">
        <v>-12.1506592257096</v>
      </c>
      <c r="LD36">
        <v>1.5709601980468901E-2</v>
      </c>
      <c r="LE36">
        <v>3.4052848872348899E-3</v>
      </c>
      <c r="LF36">
        <v>1.5709601980468901E-2</v>
      </c>
      <c r="LG36">
        <v>0.94551898488541097</v>
      </c>
      <c r="LH36">
        <v>1.23240793736978</v>
      </c>
      <c r="LI36">
        <v>0</v>
      </c>
      <c r="LJ36">
        <v>0</v>
      </c>
      <c r="LK36">
        <v>0.241793443168108</v>
      </c>
      <c r="LL36">
        <v>0</v>
      </c>
      <c r="LM36">
        <v>0</v>
      </c>
      <c r="LN36">
        <v>0</v>
      </c>
      <c r="LO36">
        <v>0</v>
      </c>
      <c r="LP36">
        <v>0</v>
      </c>
      <c r="LQ36">
        <v>0</v>
      </c>
      <c r="LR36">
        <v>0</v>
      </c>
      <c r="LS36">
        <v>0</v>
      </c>
      <c r="LT36">
        <v>-999</v>
      </c>
      <c r="LU36">
        <v>0.42561498982444002</v>
      </c>
      <c r="LV36">
        <v>35</v>
      </c>
      <c r="LW36">
        <v>134.63999999999899</v>
      </c>
      <c r="LX36">
        <v>1.258</v>
      </c>
      <c r="LY36">
        <v>0</v>
      </c>
      <c r="LZ36">
        <v>-999</v>
      </c>
      <c r="MA36">
        <v>0</v>
      </c>
      <c r="MB36">
        <v>0</v>
      </c>
      <c r="MC36">
        <v>534.63999999999896</v>
      </c>
      <c r="MD36">
        <v>-23.6999999999999</v>
      </c>
      <c r="ME36">
        <v>-33.6</v>
      </c>
      <c r="MF36">
        <v>0</v>
      </c>
      <c r="MG36">
        <v>8.0706896550000007</v>
      </c>
      <c r="MH36">
        <v>0</v>
      </c>
      <c r="MI36">
        <v>0</v>
      </c>
      <c r="MJ36">
        <v>0</v>
      </c>
      <c r="MK36">
        <v>0</v>
      </c>
      <c r="ML36">
        <v>0</v>
      </c>
      <c r="MM36">
        <v>0</v>
      </c>
      <c r="MN36">
        <v>0</v>
      </c>
      <c r="MO36">
        <v>0</v>
      </c>
      <c r="MP36">
        <v>0</v>
      </c>
      <c r="MQ36">
        <v>0</v>
      </c>
      <c r="MR36">
        <v>0</v>
      </c>
      <c r="MS36">
        <v>0</v>
      </c>
      <c r="MT36">
        <v>0</v>
      </c>
      <c r="MU36">
        <v>0</v>
      </c>
      <c r="MV36">
        <v>0</v>
      </c>
    </row>
    <row r="37" spans="1:360" x14ac:dyDescent="0.25">
      <c r="A37">
        <v>13140</v>
      </c>
      <c r="B37">
        <v>0</v>
      </c>
      <c r="C37">
        <v>-33.6</v>
      </c>
      <c r="D37">
        <v>-23.6999999999999</v>
      </c>
      <c r="E37">
        <v>400</v>
      </c>
      <c r="F37">
        <v>0</v>
      </c>
      <c r="G37">
        <v>0</v>
      </c>
      <c r="H37">
        <v>0</v>
      </c>
      <c r="I37">
        <v>0</v>
      </c>
      <c r="J37">
        <v>0</v>
      </c>
      <c r="K37">
        <v>0</v>
      </c>
      <c r="L37" s="159">
        <v>6.5753399999999896E-6</v>
      </c>
      <c r="M37">
        <v>0</v>
      </c>
      <c r="N37">
        <v>0</v>
      </c>
      <c r="O37">
        <v>0</v>
      </c>
      <c r="P37">
        <v>0</v>
      </c>
      <c r="Q37">
        <v>0</v>
      </c>
      <c r="R37">
        <v>0</v>
      </c>
      <c r="S37">
        <v>0</v>
      </c>
      <c r="T37">
        <v>0</v>
      </c>
      <c r="U37">
        <v>692.94414703089399</v>
      </c>
      <c r="V37">
        <v>13.7620663754119</v>
      </c>
      <c r="W37">
        <v>1.3315191289286401</v>
      </c>
      <c r="X37">
        <v>0.34126852741859998</v>
      </c>
      <c r="Y37">
        <v>0.27875888669752902</v>
      </c>
      <c r="Z37">
        <v>0.37997258588387001</v>
      </c>
      <c r="AA37">
        <v>0.112546432961016</v>
      </c>
      <c r="AB37">
        <v>0.50233051208995005</v>
      </c>
      <c r="AC37">
        <v>0.38512305494903298</v>
      </c>
      <c r="AD37">
        <v>0.88448794286811805</v>
      </c>
      <c r="AE37">
        <v>4.2679806184730197E-2</v>
      </c>
      <c r="AF37">
        <v>7.2832250947150901E-2</v>
      </c>
      <c r="AG37">
        <v>0</v>
      </c>
      <c r="AH37">
        <v>3408.93404994006</v>
      </c>
      <c r="AI37">
        <v>80.047061524600494</v>
      </c>
      <c r="AJ37">
        <v>8.1106604564880893</v>
      </c>
      <c r="AK37">
        <v>401.32112164678699</v>
      </c>
      <c r="AL37">
        <v>7.4519944411334196</v>
      </c>
      <c r="AM37">
        <v>0.83595664142136294</v>
      </c>
      <c r="AN37">
        <v>8702.3640175078708</v>
      </c>
      <c r="AO37">
        <v>313.00450201627302</v>
      </c>
      <c r="AP37">
        <v>31.3004502016271</v>
      </c>
      <c r="AQ37">
        <v>2.9688643968544801E-2</v>
      </c>
      <c r="AR37">
        <v>6.1033554807826901E-3</v>
      </c>
      <c r="AS37">
        <v>2.22567635503556E-2</v>
      </c>
      <c r="AT37">
        <v>9.48</v>
      </c>
      <c r="AU37">
        <v>5.9919984123300898</v>
      </c>
      <c r="AV37">
        <v>0</v>
      </c>
      <c r="AW37">
        <v>84.654988584277902</v>
      </c>
      <c r="AX37">
        <v>66.3581645358299</v>
      </c>
      <c r="AY37">
        <v>361.52312380493902</v>
      </c>
      <c r="AZ37">
        <v>0.54833294000258903</v>
      </c>
      <c r="BA37">
        <v>0.83300929955899194</v>
      </c>
      <c r="BB37">
        <v>1.3970368940900899E-2</v>
      </c>
      <c r="BC37">
        <v>1.1670334908132499E-3</v>
      </c>
      <c r="BD37">
        <v>0.59570983707862402</v>
      </c>
      <c r="BE37">
        <v>9.2277583280722299E-3</v>
      </c>
      <c r="BF37">
        <v>7.5474825043852004E-4</v>
      </c>
      <c r="BG37">
        <v>766.29999847710098</v>
      </c>
      <c r="BH37">
        <v>-1626.59999865293</v>
      </c>
      <c r="BI37">
        <v>425.21107067481501</v>
      </c>
      <c r="BJ37">
        <v>210.44317035241701</v>
      </c>
      <c r="BK37">
        <v>3.70880384829321</v>
      </c>
      <c r="BL37">
        <v>4.62729781382862</v>
      </c>
      <c r="BM37">
        <v>192.270710880325</v>
      </c>
      <c r="BN37">
        <v>21.878064538803699</v>
      </c>
      <c r="BO37">
        <v>214.14877541912901</v>
      </c>
      <c r="BP37">
        <v>3.4591187010454298</v>
      </c>
      <c r="BQ37">
        <v>0.29070593027923403</v>
      </c>
      <c r="BR37">
        <v>206.73436650412299</v>
      </c>
      <c r="BS37">
        <v>2.19793444057431</v>
      </c>
      <c r="BT37">
        <v>0.29103543292131501</v>
      </c>
      <c r="BU37">
        <v>3.4756633066659002</v>
      </c>
      <c r="BV37">
        <v>1.6894138773829099</v>
      </c>
      <c r="BW37">
        <v>0.53562839851849398</v>
      </c>
      <c r="BX37">
        <v>1.25062103076449</v>
      </c>
      <c r="BY37">
        <v>0</v>
      </c>
      <c r="BZ37">
        <v>3.0528724146378701</v>
      </c>
      <c r="CA37">
        <v>0.406246286407561</v>
      </c>
      <c r="CB37">
        <v>0.29232278530230299</v>
      </c>
      <c r="CC37">
        <v>0.24513366316901899</v>
      </c>
      <c r="CD37">
        <v>4.5572267110214698E-2</v>
      </c>
      <c r="CE37">
        <v>21.498195495260902</v>
      </c>
      <c r="CF37">
        <v>164.10164590994401</v>
      </c>
      <c r="CG37">
        <v>42.312727110291704</v>
      </c>
      <c r="CH37">
        <v>0.39919262825663998</v>
      </c>
      <c r="CI37">
        <v>7.1620949252616697</v>
      </c>
      <c r="CJ37">
        <v>1.71238322760046</v>
      </c>
      <c r="CK37">
        <v>9.5390093190694696</v>
      </c>
      <c r="CL37">
        <v>1.52189382694888</v>
      </c>
      <c r="CM37">
        <v>9.6348332939576897E-2</v>
      </c>
      <c r="CN37">
        <v>4.4780995401122799E-2</v>
      </c>
      <c r="CO37">
        <v>0.65055582672221901</v>
      </c>
      <c r="CP37">
        <v>0.78825093220683495</v>
      </c>
      <c r="CQ37">
        <v>0.15218938269488699</v>
      </c>
      <c r="CR37">
        <v>42.632720594179297</v>
      </c>
      <c r="CS37">
        <v>1.5334032743669801</v>
      </c>
      <c r="CT37">
        <v>0.15334032743669701</v>
      </c>
      <c r="CU37">
        <v>1.47000000000003E-2</v>
      </c>
      <c r="CV37">
        <v>2.0161056480465598E-3</v>
      </c>
      <c r="CW37">
        <v>2.2335552963716601</v>
      </c>
      <c r="CX37">
        <v>2.0300000000000401E-2</v>
      </c>
      <c r="CY37">
        <v>5.8344751453250797E-3</v>
      </c>
      <c r="CZ37">
        <v>0</v>
      </c>
      <c r="DA37">
        <v>2.39999910000287E-3</v>
      </c>
      <c r="DB37">
        <v>1.49805125041969E-3</v>
      </c>
      <c r="DC37">
        <v>2.0000000000000399E-3</v>
      </c>
      <c r="DD37">
        <v>3.6370470764617701E-3</v>
      </c>
      <c r="DE37">
        <v>1.10285653085419E-3</v>
      </c>
      <c r="DF37">
        <v>2.3999991000000199E-3</v>
      </c>
      <c r="DG37">
        <v>0</v>
      </c>
      <c r="DH37">
        <v>0</v>
      </c>
      <c r="DI37">
        <v>0.23180769400000401</v>
      </c>
      <c r="DJ37">
        <v>1.8846155200000301E-2</v>
      </c>
      <c r="DK37">
        <v>2.3447855494486398</v>
      </c>
      <c r="DL37">
        <v>0.153053887039728</v>
      </c>
      <c r="DM37">
        <v>76.949152658981205</v>
      </c>
      <c r="DN37">
        <v>220.04130595821999</v>
      </c>
      <c r="DO37">
        <v>327.66000000000003</v>
      </c>
      <c r="DP37">
        <v>30.632177698683499</v>
      </c>
      <c r="DQ37">
        <v>157.94999999999899</v>
      </c>
      <c r="DR37">
        <v>169.71</v>
      </c>
      <c r="DS37">
        <v>155.74598128369999</v>
      </c>
      <c r="DT37">
        <v>0</v>
      </c>
      <c r="DU37">
        <v>0</v>
      </c>
      <c r="DV37">
        <v>0</v>
      </c>
      <c r="DW37">
        <v>0</v>
      </c>
      <c r="DX37">
        <v>0</v>
      </c>
      <c r="DY37">
        <v>0</v>
      </c>
      <c r="DZ37">
        <v>0</v>
      </c>
      <c r="EA37">
        <v>0</v>
      </c>
      <c r="EB37">
        <v>0</v>
      </c>
      <c r="EC37">
        <v>0</v>
      </c>
      <c r="ED37">
        <v>0</v>
      </c>
      <c r="EE37">
        <v>0</v>
      </c>
      <c r="EF37">
        <v>1.29035466788242</v>
      </c>
      <c r="EG37">
        <v>0</v>
      </c>
      <c r="EH37">
        <v>0</v>
      </c>
      <c r="EI37">
        <v>0</v>
      </c>
      <c r="EJ37">
        <v>0</v>
      </c>
      <c r="EK37">
        <v>0</v>
      </c>
      <c r="EL37">
        <v>0</v>
      </c>
      <c r="EM37">
        <v>0</v>
      </c>
      <c r="EN37">
        <v>0</v>
      </c>
      <c r="EO37">
        <v>0</v>
      </c>
      <c r="EP37">
        <v>0</v>
      </c>
      <c r="EQ37">
        <v>0</v>
      </c>
      <c r="ER37">
        <v>0</v>
      </c>
      <c r="ES37">
        <v>0</v>
      </c>
      <c r="ET37">
        <v>0</v>
      </c>
      <c r="EU37">
        <v>0</v>
      </c>
      <c r="EV37">
        <v>808.96359126921504</v>
      </c>
      <c r="EW37">
        <v>-28.649999999999899</v>
      </c>
      <c r="EX37">
        <v>1458.82978322293</v>
      </c>
      <c r="EY37">
        <v>831.59270770815101</v>
      </c>
      <c r="EZ37">
        <v>95.684029483729702</v>
      </c>
      <c r="FA37">
        <v>657.09283271746096</v>
      </c>
      <c r="FB37">
        <v>706.05291748046795</v>
      </c>
      <c r="FC37">
        <v>0.41268521916332601</v>
      </c>
      <c r="FD37">
        <v>0.752617960834849</v>
      </c>
      <c r="FE37">
        <v>0</v>
      </c>
      <c r="FF37">
        <v>1</v>
      </c>
      <c r="FG37" s="159">
        <v>5.9186647427080805E-13</v>
      </c>
      <c r="FH37">
        <v>0</v>
      </c>
      <c r="FI37">
        <v>5.4512674794765098E-5</v>
      </c>
      <c r="FJ37">
        <v>-5.3989729691585903E-3</v>
      </c>
      <c r="FK37" s="159">
        <v>6.57534000000779E-6</v>
      </c>
      <c r="FL37" s="159">
        <v>2.6776634686236101E-6</v>
      </c>
      <c r="FM37" s="159">
        <v>4.10411960922116E-6</v>
      </c>
      <c r="FN37">
        <v>0</v>
      </c>
      <c r="FO37">
        <v>0</v>
      </c>
      <c r="FP37">
        <v>0</v>
      </c>
      <c r="FQ37">
        <v>0</v>
      </c>
      <c r="FR37">
        <v>0</v>
      </c>
      <c r="FS37">
        <v>0</v>
      </c>
      <c r="FT37">
        <v>0</v>
      </c>
      <c r="FU37">
        <v>0</v>
      </c>
      <c r="FV37">
        <v>-999</v>
      </c>
      <c r="FW37">
        <v>0.47876635188097999</v>
      </c>
      <c r="FX37">
        <v>3.1958563169306202E-3</v>
      </c>
      <c r="FY37">
        <v>1.1883048876112501</v>
      </c>
      <c r="FZ37">
        <v>9.5238947510082001E-4</v>
      </c>
      <c r="GA37">
        <v>42.762660912064597</v>
      </c>
      <c r="GB37">
        <v>1.0634703240956099E-2</v>
      </c>
      <c r="GC37">
        <v>2.8742441191773301E-3</v>
      </c>
      <c r="GD37">
        <v>0</v>
      </c>
      <c r="GE37">
        <v>7.0224899112087697E-3</v>
      </c>
      <c r="GF37">
        <v>0.430747203359713</v>
      </c>
      <c r="GG37">
        <v>5.5880007836904999E-4</v>
      </c>
      <c r="GH37">
        <v>9.4336340906119396E-3</v>
      </c>
      <c r="GI37">
        <v>1.8556096237829601E-2</v>
      </c>
      <c r="GJ37">
        <v>9.1273097399133696E-4</v>
      </c>
      <c r="GK37">
        <v>1.77276671363489E-3</v>
      </c>
      <c r="GL37">
        <v>0.392009497409053</v>
      </c>
      <c r="GM37">
        <v>6.5469948903085001E-3</v>
      </c>
      <c r="GN37">
        <v>5.4244498065683102E-4</v>
      </c>
      <c r="GO37">
        <v>0</v>
      </c>
      <c r="GP37">
        <v>0</v>
      </c>
      <c r="GQ37">
        <v>0</v>
      </c>
      <c r="GR37">
        <v>6.0401365979951202E-2</v>
      </c>
      <c r="GS37">
        <v>1.1215722752704201E-3</v>
      </c>
      <c r="GT37">
        <v>1.2581675949341901E-4</v>
      </c>
      <c r="GU37">
        <v>3.7870528584237603E-2</v>
      </c>
      <c r="GV37">
        <v>7.0320487328076403E-4</v>
      </c>
      <c r="GW37">
        <v>7.8884758804183101E-5</v>
      </c>
      <c r="GX37">
        <v>0.120225281788868</v>
      </c>
      <c r="GY37">
        <v>0.13084803204411199</v>
      </c>
      <c r="GZ37">
        <v>58.995488155817803</v>
      </c>
      <c r="HA37">
        <v>676.99650631994302</v>
      </c>
      <c r="HB37">
        <v>0</v>
      </c>
      <c r="HC37">
        <v>0.99981307791929697</v>
      </c>
      <c r="HD37">
        <v>0.41420362663858801</v>
      </c>
      <c r="HE37">
        <v>1.07551883503052E-2</v>
      </c>
      <c r="HF37">
        <v>9.3132443404177103E-4</v>
      </c>
      <c r="HG37">
        <v>1.27098726589052E-2</v>
      </c>
      <c r="HH37" s="159">
        <v>4.76187629064784E-7</v>
      </c>
      <c r="HI37" s="159">
        <v>3.3333254615649601E-7</v>
      </c>
      <c r="HJ37">
        <v>0</v>
      </c>
      <c r="HK37">
        <v>0</v>
      </c>
      <c r="HL37">
        <v>0</v>
      </c>
      <c r="HM37">
        <v>0</v>
      </c>
      <c r="HN37">
        <v>0</v>
      </c>
      <c r="HO37">
        <v>1.12417737231461E-2</v>
      </c>
      <c r="HP37">
        <v>0.545051658682701</v>
      </c>
      <c r="HQ37">
        <v>1.07551883503052E-2</v>
      </c>
      <c r="HR37">
        <v>9.3132443404177103E-4</v>
      </c>
      <c r="HS37">
        <v>0.724512439366508</v>
      </c>
      <c r="HT37">
        <v>-999</v>
      </c>
      <c r="HU37">
        <v>1</v>
      </c>
      <c r="HV37">
        <v>0.79016185041880904</v>
      </c>
      <c r="HW37">
        <v>0.20983814958118999</v>
      </c>
      <c r="HX37">
        <v>12512.619189094699</v>
      </c>
      <c r="HY37">
        <v>400.50355798200701</v>
      </c>
      <c r="HZ37">
        <v>40.247067299536504</v>
      </c>
      <c r="IA37">
        <v>-0.13084803204411199</v>
      </c>
      <c r="IB37">
        <v>0</v>
      </c>
      <c r="IC37">
        <v>0</v>
      </c>
      <c r="ID37">
        <v>0</v>
      </c>
      <c r="IE37">
        <v>0</v>
      </c>
      <c r="IF37">
        <v>0</v>
      </c>
      <c r="IG37">
        <v>0</v>
      </c>
      <c r="IH37">
        <v>0</v>
      </c>
      <c r="II37">
        <v>46.337800049999601</v>
      </c>
      <c r="IJ37">
        <v>463.37800049999902</v>
      </c>
      <c r="IK37">
        <v>1.03164583403943E-2</v>
      </c>
      <c r="IL37">
        <v>2.24247431387197E-3</v>
      </c>
      <c r="IM37">
        <v>1.2558932654266299E-2</v>
      </c>
      <c r="IN37">
        <v>9.861368653604661E-4</v>
      </c>
      <c r="IO37">
        <v>0.42251419571723398</v>
      </c>
      <c r="IP37">
        <v>1.8482112250534199E-2</v>
      </c>
      <c r="IQ37">
        <v>1.7040000943063E-3</v>
      </c>
      <c r="IR37">
        <v>0.29579225462703701</v>
      </c>
      <c r="IS37">
        <v>0.243214709655689</v>
      </c>
      <c r="IT37">
        <v>0.26379819929924703</v>
      </c>
      <c r="IU37">
        <v>0.29753776915410401</v>
      </c>
      <c r="IV37">
        <v>1.39869906856966E-2</v>
      </c>
      <c r="IW37">
        <v>1.25448793782255E-3</v>
      </c>
      <c r="IX37">
        <v>7.4954693992370605E-2</v>
      </c>
      <c r="IY37">
        <v>2.6959521136628701E-3</v>
      </c>
      <c r="IZ37">
        <v>2.6959521136628501E-4</v>
      </c>
      <c r="JA37">
        <v>7.5098366771559996E-2</v>
      </c>
      <c r="JB37">
        <v>2.7011197010693498E-3</v>
      </c>
      <c r="JC37">
        <v>2.7011197010693301E-4</v>
      </c>
      <c r="JD37">
        <v>1.7162927469326799E-4</v>
      </c>
      <c r="JE37">
        <v>3.1929550609229602E-3</v>
      </c>
      <c r="JF37" s="159">
        <v>3.9979955110402899E-19</v>
      </c>
      <c r="JG37">
        <v>0</v>
      </c>
      <c r="JH37">
        <v>4.1291777324997002E-3</v>
      </c>
      <c r="JI37">
        <v>5.3846304256901904E-4</v>
      </c>
      <c r="JJ37">
        <v>-0.50348416796977602</v>
      </c>
      <c r="JK37">
        <v>1.7162927469326799E-4</v>
      </c>
      <c r="JL37" s="159">
        <v>6.5753399999999896E-6</v>
      </c>
      <c r="JM37">
        <v>-0.50348416796977602</v>
      </c>
      <c r="JN37">
        <v>0</v>
      </c>
      <c r="JO37">
        <v>1.5958259928448699</v>
      </c>
      <c r="JP37">
        <v>-1.0709979693522199E-2</v>
      </c>
      <c r="JQ37">
        <v>7.6295202353828797E-4</v>
      </c>
      <c r="JR37">
        <v>3.7363684114641402E-2</v>
      </c>
      <c r="JS37">
        <v>1537.6456287277699</v>
      </c>
      <c r="JT37">
        <v>4.7734917823294302E-2</v>
      </c>
      <c r="JU37">
        <v>0</v>
      </c>
      <c r="JV37">
        <v>365</v>
      </c>
      <c r="JW37">
        <v>0</v>
      </c>
      <c r="JX37">
        <v>-0.40268092994350901</v>
      </c>
      <c r="JY37">
        <v>0</v>
      </c>
      <c r="JZ37">
        <v>1.31453038243423</v>
      </c>
      <c r="KA37">
        <v>1.4017347593337499</v>
      </c>
      <c r="KB37">
        <v>1.4257915374091901</v>
      </c>
      <c r="KC37">
        <v>0</v>
      </c>
      <c r="KD37">
        <v>0</v>
      </c>
      <c r="KE37">
        <v>0</v>
      </c>
      <c r="KF37">
        <v>3.54298995246379E-3</v>
      </c>
      <c r="KG37">
        <v>2.2201427271368101E-2</v>
      </c>
      <c r="KH37">
        <v>3.9347113694712998E-2</v>
      </c>
      <c r="KI37">
        <v>0</v>
      </c>
      <c r="KJ37">
        <v>0</v>
      </c>
      <c r="KK37">
        <v>0</v>
      </c>
      <c r="KL37">
        <v>0</v>
      </c>
      <c r="KM37">
        <v>0</v>
      </c>
      <c r="KN37">
        <v>0</v>
      </c>
      <c r="KO37">
        <v>0</v>
      </c>
      <c r="KP37">
        <v>0</v>
      </c>
      <c r="KQ37">
        <v>0</v>
      </c>
      <c r="KR37">
        <v>0</v>
      </c>
      <c r="KS37">
        <v>0</v>
      </c>
      <c r="KT37">
        <v>0</v>
      </c>
      <c r="KU37">
        <v>0.34999999999999898</v>
      </c>
      <c r="KV37">
        <v>-0.116134993843533</v>
      </c>
      <c r="KW37">
        <v>1.84145333880739E-3</v>
      </c>
      <c r="KX37">
        <v>32854.641635872998</v>
      </c>
      <c r="KY37">
        <v>0</v>
      </c>
      <c r="KZ37">
        <v>0.210255375426427</v>
      </c>
      <c r="LA37">
        <v>1.73602675993533E-5</v>
      </c>
      <c r="LB37">
        <v>0</v>
      </c>
      <c r="LC37">
        <v>-12.150043282731399</v>
      </c>
      <c r="LD37">
        <v>1.5709990833889399E-2</v>
      </c>
      <c r="LE37">
        <v>3.4056517300843901E-3</v>
      </c>
      <c r="LF37">
        <v>1.5709990833889399E-2</v>
      </c>
      <c r="LG37">
        <v>0.94580256001115504</v>
      </c>
      <c r="LH37">
        <v>1.23273018183085</v>
      </c>
      <c r="LI37">
        <v>0</v>
      </c>
      <c r="LJ37">
        <v>0</v>
      </c>
      <c r="LK37">
        <v>0.241871395955079</v>
      </c>
      <c r="LL37">
        <v>0</v>
      </c>
      <c r="LM37">
        <v>0</v>
      </c>
      <c r="LN37">
        <v>0</v>
      </c>
      <c r="LO37">
        <v>0</v>
      </c>
      <c r="LP37">
        <v>0</v>
      </c>
      <c r="LQ37">
        <v>0</v>
      </c>
      <c r="LR37">
        <v>0</v>
      </c>
      <c r="LS37">
        <v>0</v>
      </c>
      <c r="LT37">
        <v>-999</v>
      </c>
      <c r="LU37">
        <v>0.42561720253138302</v>
      </c>
      <c r="LV37">
        <v>36</v>
      </c>
      <c r="LW37">
        <v>138.599999999999</v>
      </c>
      <c r="LX37">
        <v>1.2949999999999899</v>
      </c>
      <c r="LY37">
        <v>0</v>
      </c>
      <c r="LZ37">
        <v>-999</v>
      </c>
      <c r="MA37">
        <v>0</v>
      </c>
      <c r="MB37">
        <v>0</v>
      </c>
      <c r="MC37">
        <v>538.6</v>
      </c>
      <c r="MD37">
        <v>-23.6999999999999</v>
      </c>
      <c r="ME37">
        <v>-33.6</v>
      </c>
      <c r="MF37">
        <v>0</v>
      </c>
      <c r="MG37">
        <v>8.0706896550000007</v>
      </c>
      <c r="MH37">
        <v>0</v>
      </c>
      <c r="MI37">
        <v>0</v>
      </c>
      <c r="MJ37">
        <v>0</v>
      </c>
      <c r="MK37">
        <v>0</v>
      </c>
      <c r="ML37">
        <v>0</v>
      </c>
      <c r="MM37">
        <v>0</v>
      </c>
      <c r="MN37">
        <v>0</v>
      </c>
      <c r="MO37">
        <v>0</v>
      </c>
      <c r="MP37">
        <v>0</v>
      </c>
      <c r="MQ37">
        <v>0</v>
      </c>
      <c r="MR37">
        <v>0</v>
      </c>
      <c r="MS37">
        <v>0</v>
      </c>
      <c r="MT37">
        <v>0</v>
      </c>
      <c r="MU37">
        <v>0</v>
      </c>
      <c r="MV37">
        <v>0</v>
      </c>
    </row>
    <row r="38" spans="1:360" x14ac:dyDescent="0.25">
      <c r="A38">
        <v>13505</v>
      </c>
      <c r="B38">
        <v>0</v>
      </c>
      <c r="C38">
        <v>-33.6</v>
      </c>
      <c r="D38">
        <v>-23.6999999999999</v>
      </c>
      <c r="E38">
        <v>400</v>
      </c>
      <c r="F38">
        <v>0</v>
      </c>
      <c r="G38">
        <v>0</v>
      </c>
      <c r="H38">
        <v>0</v>
      </c>
      <c r="I38">
        <v>0</v>
      </c>
      <c r="J38">
        <v>0</v>
      </c>
      <c r="K38">
        <v>0</v>
      </c>
      <c r="L38" s="159">
        <v>6.5753399999999896E-6</v>
      </c>
      <c r="M38">
        <v>0</v>
      </c>
      <c r="N38">
        <v>0</v>
      </c>
      <c r="O38">
        <v>0</v>
      </c>
      <c r="P38">
        <v>0</v>
      </c>
      <c r="Q38">
        <v>0</v>
      </c>
      <c r="R38">
        <v>0</v>
      </c>
      <c r="S38">
        <v>0</v>
      </c>
      <c r="T38">
        <v>0</v>
      </c>
      <c r="U38">
        <v>693.85621435386702</v>
      </c>
      <c r="V38">
        <v>13.7783962231356</v>
      </c>
      <c r="W38">
        <v>1.3331217308294701</v>
      </c>
      <c r="X38">
        <v>0.33973979668552801</v>
      </c>
      <c r="Y38">
        <v>0.278402507812331</v>
      </c>
      <c r="Z38">
        <v>0.38185769550213899</v>
      </c>
      <c r="AA38">
        <v>0.11253509506086699</v>
      </c>
      <c r="AB38">
        <v>0.50311872481268904</v>
      </c>
      <c r="AC38">
        <v>0.384346180126443</v>
      </c>
      <c r="AD38">
        <v>0.884496519893331</v>
      </c>
      <c r="AE38">
        <v>4.2593261936615702E-2</v>
      </c>
      <c r="AF38">
        <v>7.2910218170052804E-2</v>
      </c>
      <c r="AG38">
        <v>0</v>
      </c>
      <c r="AH38">
        <v>3409.5433617112399</v>
      </c>
      <c r="AI38">
        <v>80.024324305134897</v>
      </c>
      <c r="AJ38">
        <v>8.1107329446712608</v>
      </c>
      <c r="AK38">
        <v>401.69850142648602</v>
      </c>
      <c r="AL38">
        <v>7.4590018769966999</v>
      </c>
      <c r="AM38">
        <v>0.83674272796443805</v>
      </c>
      <c r="AN38">
        <v>8702.0421906901192</v>
      </c>
      <c r="AO38">
        <v>312.99292662795</v>
      </c>
      <c r="AP38">
        <v>31.299292662794802</v>
      </c>
      <c r="AQ38">
        <v>2.9719045082477601E-2</v>
      </c>
      <c r="AR38">
        <v>6.1120101112289299E-3</v>
      </c>
      <c r="AS38">
        <v>2.2131279488468901E-2</v>
      </c>
      <c r="AT38">
        <v>9.48</v>
      </c>
      <c r="AU38">
        <v>5.9915966709468798</v>
      </c>
      <c r="AV38">
        <v>0</v>
      </c>
      <c r="AW38">
        <v>84.682107726842304</v>
      </c>
      <c r="AX38">
        <v>66.368264513249599</v>
      </c>
      <c r="AY38">
        <v>361.520246379323</v>
      </c>
      <c r="AZ38">
        <v>0.54833294000258903</v>
      </c>
      <c r="BA38">
        <v>0.83366528087217295</v>
      </c>
      <c r="BB38">
        <v>1.39782640940753E-2</v>
      </c>
      <c r="BC38">
        <v>1.16779961734688E-3</v>
      </c>
      <c r="BD38">
        <v>0.59593291520741998</v>
      </c>
      <c r="BE38">
        <v>9.2310809204301791E-3</v>
      </c>
      <c r="BF38">
        <v>7.5487323855183799E-4</v>
      </c>
      <c r="BG38">
        <v>766.29999847710098</v>
      </c>
      <c r="BH38">
        <v>-1626.59999865293</v>
      </c>
      <c r="BI38">
        <v>425.50429134147998</v>
      </c>
      <c r="BJ38">
        <v>210.52927536702501</v>
      </c>
      <c r="BK38">
        <v>3.6954768595427399</v>
      </c>
      <c r="BL38">
        <v>4.6310823173114697</v>
      </c>
      <c r="BM38">
        <v>192.35162945090499</v>
      </c>
      <c r="BN38">
        <v>21.8966609104578</v>
      </c>
      <c r="BO38">
        <v>214.24829036136299</v>
      </c>
      <c r="BP38">
        <v>3.4613480554725999</v>
      </c>
      <c r="BQ38">
        <v>0.29091989725289102</v>
      </c>
      <c r="BR38">
        <v>206.83379850748301</v>
      </c>
      <c r="BS38">
        <v>2.1989386686924299</v>
      </c>
      <c r="BT38">
        <v>0.29121886135884401</v>
      </c>
      <c r="BU38">
        <v>3.4776779031962701</v>
      </c>
      <c r="BV38">
        <v>1.6910719309066899</v>
      </c>
      <c r="BW38">
        <v>0.53496210274593503</v>
      </c>
      <c r="BX38">
        <v>1.25164386954364</v>
      </c>
      <c r="BY38">
        <v>0</v>
      </c>
      <c r="BZ38">
        <v>3.0547564594097101</v>
      </c>
      <c r="CA38">
        <v>0.40659159606288903</v>
      </c>
      <c r="CB38">
        <v>0.29252249915372103</v>
      </c>
      <c r="CC38">
        <v>0.24530889368064601</v>
      </c>
      <c r="CD38">
        <v>4.56110035722447E-2</v>
      </c>
      <c r="CE38">
        <v>21.519281130758301</v>
      </c>
      <c r="CF38">
        <v>164.201094248743</v>
      </c>
      <c r="CG38">
        <v>42.310877441003598</v>
      </c>
      <c r="CH38">
        <v>0.39958416019961202</v>
      </c>
      <c r="CI38">
        <v>7.1684798187677199</v>
      </c>
      <c r="CJ38">
        <v>1.7135546385296101</v>
      </c>
      <c r="CK38">
        <v>9.5475704391718992</v>
      </c>
      <c r="CL38">
        <v>1.52182729849601</v>
      </c>
      <c r="CM38">
        <v>9.6500420484841601E-2</v>
      </c>
      <c r="CN38">
        <v>4.4824917029170401E-2</v>
      </c>
      <c r="CO38">
        <v>0.64693229989115697</v>
      </c>
      <c r="CP38">
        <v>0.78481089256821301</v>
      </c>
      <c r="CQ38">
        <v>0.15218272984959999</v>
      </c>
      <c r="CR38">
        <v>42.632704258739601</v>
      </c>
      <c r="CS38">
        <v>1.5334026868178801</v>
      </c>
      <c r="CT38">
        <v>0.15334026868178699</v>
      </c>
      <c r="CU38">
        <v>1.47000000000009E-2</v>
      </c>
      <c r="CV38">
        <v>2.02060346813523E-3</v>
      </c>
      <c r="CW38">
        <v>2.2340703717332899</v>
      </c>
      <c r="CX38">
        <v>2.0300000000001199E-2</v>
      </c>
      <c r="CY38">
        <v>5.8449758272949397E-3</v>
      </c>
      <c r="CZ38">
        <v>0</v>
      </c>
      <c r="DA38">
        <v>2.3999991000028501E-3</v>
      </c>
      <c r="DB38">
        <v>1.4979516620060799E-3</v>
      </c>
      <c r="DC38">
        <v>2.0000000000001102E-3</v>
      </c>
      <c r="DD38">
        <v>3.6235867502046001E-3</v>
      </c>
      <c r="DE38">
        <v>1.0962102788140201E-3</v>
      </c>
      <c r="DF38">
        <v>2.3999991000000099E-3</v>
      </c>
      <c r="DG38">
        <v>0</v>
      </c>
      <c r="DH38">
        <v>0</v>
      </c>
      <c r="DI38">
        <v>0.231807694000014</v>
      </c>
      <c r="DJ38">
        <v>1.8846155200001099E-2</v>
      </c>
      <c r="DK38">
        <v>2.3503524974326302</v>
      </c>
      <c r="DL38">
        <v>0.153417264845472</v>
      </c>
      <c r="DM38">
        <v>76.451248472560707</v>
      </c>
      <c r="DN38">
        <v>220.58155605157901</v>
      </c>
      <c r="DO38">
        <v>327.66000000000003</v>
      </c>
      <c r="DP38">
        <v>30.5899799052352</v>
      </c>
      <c r="DQ38">
        <v>157.94999999999899</v>
      </c>
      <c r="DR38">
        <v>169.71</v>
      </c>
      <c r="DS38">
        <v>155.77376796576101</v>
      </c>
      <c r="DT38">
        <v>0</v>
      </c>
      <c r="DU38">
        <v>0</v>
      </c>
      <c r="DV38">
        <v>0</v>
      </c>
      <c r="DW38">
        <v>0</v>
      </c>
      <c r="DX38">
        <v>0</v>
      </c>
      <c r="DY38">
        <v>0</v>
      </c>
      <c r="DZ38">
        <v>0</v>
      </c>
      <c r="EA38">
        <v>0</v>
      </c>
      <c r="EB38">
        <v>0</v>
      </c>
      <c r="EC38">
        <v>0</v>
      </c>
      <c r="ED38">
        <v>0</v>
      </c>
      <c r="EE38">
        <v>0</v>
      </c>
      <c r="EF38">
        <v>1.2890225372792099</v>
      </c>
      <c r="EG38">
        <v>0</v>
      </c>
      <c r="EH38">
        <v>0</v>
      </c>
      <c r="EI38">
        <v>0</v>
      </c>
      <c r="EJ38">
        <v>0</v>
      </c>
      <c r="EK38">
        <v>0</v>
      </c>
      <c r="EL38">
        <v>0</v>
      </c>
      <c r="EM38">
        <v>0</v>
      </c>
      <c r="EN38">
        <v>0</v>
      </c>
      <c r="EO38">
        <v>0</v>
      </c>
      <c r="EP38">
        <v>0</v>
      </c>
      <c r="EQ38">
        <v>0</v>
      </c>
      <c r="ER38">
        <v>0</v>
      </c>
      <c r="ES38">
        <v>0</v>
      </c>
      <c r="ET38">
        <v>0</v>
      </c>
      <c r="EU38">
        <v>0</v>
      </c>
      <c r="EV38">
        <v>809.91270930255098</v>
      </c>
      <c r="EW38">
        <v>-28.649999999999899</v>
      </c>
      <c r="EX38">
        <v>1460.7499249555101</v>
      </c>
      <c r="EY38">
        <v>832.15375770477999</v>
      </c>
      <c r="EZ38">
        <v>95.440106582018501</v>
      </c>
      <c r="FA38">
        <v>658.09872723083504</v>
      </c>
      <c r="FB38">
        <v>707.21112060546795</v>
      </c>
      <c r="FC38">
        <v>0.41163317968824498</v>
      </c>
      <c r="FD38">
        <v>0.75069934643412395</v>
      </c>
      <c r="FE38">
        <v>0</v>
      </c>
      <c r="FF38">
        <v>1</v>
      </c>
      <c r="FG38" s="159">
        <v>5.9189185121520897E-13</v>
      </c>
      <c r="FH38">
        <v>0</v>
      </c>
      <c r="FI38">
        <v>5.4512674794765098E-5</v>
      </c>
      <c r="FJ38">
        <v>-5.3842516984991696E-3</v>
      </c>
      <c r="FK38" s="159">
        <v>6.57534000000779E-6</v>
      </c>
      <c r="FL38" s="159">
        <v>2.66248240197149E-6</v>
      </c>
      <c r="FM38" s="159">
        <v>4.1038444431454702E-6</v>
      </c>
      <c r="FN38">
        <v>0</v>
      </c>
      <c r="FO38">
        <v>0</v>
      </c>
      <c r="FP38">
        <v>0</v>
      </c>
      <c r="FQ38">
        <v>0</v>
      </c>
      <c r="FR38">
        <v>0</v>
      </c>
      <c r="FS38">
        <v>0</v>
      </c>
      <c r="FT38">
        <v>0</v>
      </c>
      <c r="FU38">
        <v>0</v>
      </c>
      <c r="FV38">
        <v>-999</v>
      </c>
      <c r="FW38">
        <v>0.47925396486465299</v>
      </c>
      <c r="FX38">
        <v>3.1975081894930401E-3</v>
      </c>
      <c r="FY38">
        <v>1.1899068282760199</v>
      </c>
      <c r="FZ38">
        <v>9.5121291315862402E-4</v>
      </c>
      <c r="GA38">
        <v>42.729186157043998</v>
      </c>
      <c r="GB38">
        <v>1.0632227809346599E-2</v>
      </c>
      <c r="GC38">
        <v>2.8735750836071899E-3</v>
      </c>
      <c r="GD38">
        <v>0</v>
      </c>
      <c r="GE38">
        <v>7.0222961862588598E-3</v>
      </c>
      <c r="GF38">
        <v>0.42830507346510699</v>
      </c>
      <c r="GG38">
        <v>5.5882198775416799E-4</v>
      </c>
      <c r="GH38">
        <v>9.4324127543975299E-3</v>
      </c>
      <c r="GI38">
        <v>1.85521770720679E-2</v>
      </c>
      <c r="GJ38">
        <v>9.1262830690891404E-4</v>
      </c>
      <c r="GK38">
        <v>1.77245252416772E-3</v>
      </c>
      <c r="GL38">
        <v>0.39252273266307802</v>
      </c>
      <c r="GM38">
        <v>6.5561435989676198E-3</v>
      </c>
      <c r="GN38">
        <v>5.4321082592460597E-4</v>
      </c>
      <c r="GO38">
        <v>0</v>
      </c>
      <c r="GP38">
        <v>0</v>
      </c>
      <c r="GQ38">
        <v>0</v>
      </c>
      <c r="GR38">
        <v>6.0450886620240202E-2</v>
      </c>
      <c r="GS38">
        <v>1.12249180707736E-3</v>
      </c>
      <c r="GT38">
        <v>1.2591991157264899E-4</v>
      </c>
      <c r="GU38">
        <v>3.7906340118283803E-2</v>
      </c>
      <c r="GV38">
        <v>7.0386984538974896E-4</v>
      </c>
      <c r="GW38">
        <v>7.8959354653020195E-5</v>
      </c>
      <c r="GX38">
        <v>0.120402186310941</v>
      </c>
      <c r="GY38">
        <v>0.13102045867939599</v>
      </c>
      <c r="GZ38">
        <v>58.991421695411603</v>
      </c>
      <c r="HA38">
        <v>676.95831905371995</v>
      </c>
      <c r="HB38">
        <v>0</v>
      </c>
      <c r="HC38">
        <v>0.99981307681050002</v>
      </c>
      <c r="HD38">
        <v>0.414734046905961</v>
      </c>
      <c r="HE38">
        <v>1.0768868878739599E-2</v>
      </c>
      <c r="HF38">
        <v>9.32505320423466E-4</v>
      </c>
      <c r="HG38">
        <v>1.2733312851079299E-2</v>
      </c>
      <c r="HH38" s="159">
        <v>4.7618763503125898E-7</v>
      </c>
      <c r="HI38" s="159">
        <v>3.3333254614214002E-7</v>
      </c>
      <c r="HJ38">
        <v>0</v>
      </c>
      <c r="HK38">
        <v>0</v>
      </c>
      <c r="HL38">
        <v>0</v>
      </c>
      <c r="HM38">
        <v>0</v>
      </c>
      <c r="HN38">
        <v>0</v>
      </c>
      <c r="HO38">
        <v>1.1262615489226E-2</v>
      </c>
      <c r="HP38">
        <v>0.54575450558535699</v>
      </c>
      <c r="HQ38">
        <v>1.0768868878739599E-2</v>
      </c>
      <c r="HR38">
        <v>9.32505320423466E-4</v>
      </c>
      <c r="HS38">
        <v>0.72419310399146697</v>
      </c>
      <c r="HT38">
        <v>-999</v>
      </c>
      <c r="HU38">
        <v>0.999999999999999</v>
      </c>
      <c r="HV38">
        <v>0.79083789640748803</v>
      </c>
      <c r="HW38">
        <v>0.209162103592511</v>
      </c>
      <c r="HX38">
        <v>12513.2840538278</v>
      </c>
      <c r="HY38">
        <v>400.47625281008197</v>
      </c>
      <c r="HZ38">
        <v>40.246768335430502</v>
      </c>
      <c r="IA38">
        <v>-0.13102045867939599</v>
      </c>
      <c r="IB38">
        <v>0</v>
      </c>
      <c r="IC38">
        <v>0</v>
      </c>
      <c r="ID38">
        <v>0</v>
      </c>
      <c r="IE38">
        <v>0</v>
      </c>
      <c r="IF38">
        <v>0</v>
      </c>
      <c r="IG38">
        <v>0</v>
      </c>
      <c r="IH38">
        <v>0</v>
      </c>
      <c r="II38">
        <v>46.337800049999601</v>
      </c>
      <c r="IJ38">
        <v>463.37800049999902</v>
      </c>
      <c r="IK38">
        <v>1.03335474335344E-2</v>
      </c>
      <c r="IL38">
        <v>2.2468799502487701E-3</v>
      </c>
      <c r="IM38">
        <v>1.25804273837832E-2</v>
      </c>
      <c r="IN38">
        <v>9.8101017561870105E-4</v>
      </c>
      <c r="IO38">
        <v>0.42259194790560201</v>
      </c>
      <c r="IP38">
        <v>1.8502264125057E-2</v>
      </c>
      <c r="IQ38">
        <v>1.69888361221144E-3</v>
      </c>
      <c r="IR38">
        <v>0.29560809840612801</v>
      </c>
      <c r="IS38">
        <v>0.242843233799588</v>
      </c>
      <c r="IT38">
        <v>0.26447660219019697</v>
      </c>
      <c r="IU38">
        <v>0.297670345783485</v>
      </c>
      <c r="IV38">
        <v>1.4009114472314E-2</v>
      </c>
      <c r="IW38">
        <v>1.2495686469371501E-3</v>
      </c>
      <c r="IX38">
        <v>7.4947862527770207E-2</v>
      </c>
      <c r="IY38">
        <v>2.6957064012138199E-3</v>
      </c>
      <c r="IZ38">
        <v>2.6957064012138001E-4</v>
      </c>
      <c r="JA38">
        <v>7.5095986176559201E-2</v>
      </c>
      <c r="JB38">
        <v>2.7010340764102099E-3</v>
      </c>
      <c r="JC38">
        <v>2.7010340764101898E-4</v>
      </c>
      <c r="JD38">
        <v>1.71889765595463E-4</v>
      </c>
      <c r="JE38">
        <v>3.1962017846501002E-3</v>
      </c>
      <c r="JF38" s="159">
        <v>1.00966327312712E-18</v>
      </c>
      <c r="JG38">
        <v>0</v>
      </c>
      <c r="JH38">
        <v>4.1297211649410498E-3</v>
      </c>
      <c r="JI38">
        <v>5.3866187895946799E-4</v>
      </c>
      <c r="JJ38">
        <v>-0.50378679063944098</v>
      </c>
      <c r="JK38">
        <v>1.71889765595463E-4</v>
      </c>
      <c r="JL38" s="159">
        <v>6.5753399999999896E-6</v>
      </c>
      <c r="JM38">
        <v>-0.50378679063944098</v>
      </c>
      <c r="JN38">
        <v>0</v>
      </c>
      <c r="JO38">
        <v>1.5769320561096301</v>
      </c>
      <c r="JP38">
        <v>-1.0936268456057399E-2</v>
      </c>
      <c r="JQ38">
        <v>7.76412349795529E-4</v>
      </c>
      <c r="JR38">
        <v>3.7215570624983402E-2</v>
      </c>
      <c r="JS38">
        <v>1539.36484884538</v>
      </c>
      <c r="JT38">
        <v>4.7613229389698697E-2</v>
      </c>
      <c r="JU38">
        <v>0</v>
      </c>
      <c r="JV38">
        <v>365</v>
      </c>
      <c r="JW38">
        <v>0</v>
      </c>
      <c r="JX38">
        <v>-0.40268092994350901</v>
      </c>
      <c r="JY38">
        <v>0</v>
      </c>
      <c r="JZ38">
        <v>1.31497027004845</v>
      </c>
      <c r="KA38">
        <v>1.40196651675444</v>
      </c>
      <c r="KB38">
        <v>1.4263550467013499</v>
      </c>
      <c r="KC38">
        <v>0</v>
      </c>
      <c r="KD38">
        <v>0</v>
      </c>
      <c r="KE38">
        <v>0</v>
      </c>
      <c r="KF38">
        <v>3.5449862304994602E-3</v>
      </c>
      <c r="KG38">
        <v>2.2219607878210101E-2</v>
      </c>
      <c r="KH38">
        <v>3.92960937831019E-2</v>
      </c>
      <c r="KI38">
        <v>0</v>
      </c>
      <c r="KJ38">
        <v>0</v>
      </c>
      <c r="KK38">
        <v>0</v>
      </c>
      <c r="KL38">
        <v>0</v>
      </c>
      <c r="KM38">
        <v>0</v>
      </c>
      <c r="KN38">
        <v>0</v>
      </c>
      <c r="KO38">
        <v>0</v>
      </c>
      <c r="KP38">
        <v>0</v>
      </c>
      <c r="KQ38">
        <v>0</v>
      </c>
      <c r="KR38">
        <v>0</v>
      </c>
      <c r="KS38">
        <v>0</v>
      </c>
      <c r="KT38">
        <v>0</v>
      </c>
      <c r="KU38">
        <v>0.34999999999999898</v>
      </c>
      <c r="KV38">
        <v>-0.116041558833734</v>
      </c>
      <c r="KW38">
        <v>1.8400454830545701E-3</v>
      </c>
      <c r="KX38">
        <v>32904.936361541702</v>
      </c>
      <c r="KY38">
        <v>0</v>
      </c>
      <c r="KZ38">
        <v>0.210260366242149</v>
      </c>
      <c r="LA38">
        <v>1.73602675993533E-5</v>
      </c>
      <c r="LB38">
        <v>0</v>
      </c>
      <c r="LC38">
        <v>-12.1494286846864</v>
      </c>
      <c r="LD38">
        <v>1.57103777938533E-2</v>
      </c>
      <c r="LE38">
        <v>3.40601678665408E-3</v>
      </c>
      <c r="LF38">
        <v>1.57103777938533E-2</v>
      </c>
      <c r="LG38">
        <v>0.94608451092560897</v>
      </c>
      <c r="LH38">
        <v>1.23305058059728</v>
      </c>
      <c r="LI38">
        <v>0</v>
      </c>
      <c r="LJ38">
        <v>0</v>
      </c>
      <c r="LK38">
        <v>0.241948879219549</v>
      </c>
      <c r="LL38">
        <v>0</v>
      </c>
      <c r="LM38">
        <v>0</v>
      </c>
      <c r="LN38">
        <v>0</v>
      </c>
      <c r="LO38">
        <v>0</v>
      </c>
      <c r="LP38">
        <v>0</v>
      </c>
      <c r="LQ38">
        <v>0</v>
      </c>
      <c r="LR38">
        <v>0</v>
      </c>
      <c r="LS38">
        <v>0</v>
      </c>
      <c r="LT38">
        <v>-999</v>
      </c>
      <c r="LU38">
        <v>0.42561945066017698</v>
      </c>
      <c r="LV38">
        <v>37</v>
      </c>
      <c r="LW38">
        <v>142.56</v>
      </c>
      <c r="LX38">
        <v>1.3319999999999901</v>
      </c>
      <c r="LY38">
        <v>0</v>
      </c>
      <c r="LZ38">
        <v>-999</v>
      </c>
      <c r="MA38">
        <v>0</v>
      </c>
      <c r="MB38">
        <v>0</v>
      </c>
      <c r="MC38">
        <v>542.55999999999904</v>
      </c>
      <c r="MD38">
        <v>-23.6999999999999</v>
      </c>
      <c r="ME38">
        <v>-33.6</v>
      </c>
      <c r="MF38">
        <v>0</v>
      </c>
      <c r="MG38">
        <v>8.0706896550000007</v>
      </c>
      <c r="MH38">
        <v>0</v>
      </c>
      <c r="MI38">
        <v>0</v>
      </c>
      <c r="MJ38">
        <v>0</v>
      </c>
      <c r="MK38">
        <v>0</v>
      </c>
      <c r="ML38">
        <v>0</v>
      </c>
      <c r="MM38">
        <v>0</v>
      </c>
      <c r="MN38">
        <v>0</v>
      </c>
      <c r="MO38">
        <v>0</v>
      </c>
      <c r="MP38">
        <v>0</v>
      </c>
      <c r="MQ38">
        <v>0</v>
      </c>
      <c r="MR38">
        <v>0</v>
      </c>
      <c r="MS38">
        <v>0</v>
      </c>
      <c r="MT38">
        <v>0</v>
      </c>
      <c r="MU38">
        <v>0</v>
      </c>
      <c r="MV38">
        <v>0</v>
      </c>
    </row>
    <row r="39" spans="1:360" x14ac:dyDescent="0.25">
      <c r="A39">
        <v>13870</v>
      </c>
      <c r="B39">
        <v>0</v>
      </c>
      <c r="C39">
        <v>-33.6</v>
      </c>
      <c r="D39">
        <v>-23.6999999999999</v>
      </c>
      <c r="E39">
        <v>400</v>
      </c>
      <c r="F39">
        <v>0</v>
      </c>
      <c r="G39">
        <v>0</v>
      </c>
      <c r="H39">
        <v>0</v>
      </c>
      <c r="I39">
        <v>0</v>
      </c>
      <c r="J39">
        <v>0</v>
      </c>
      <c r="K39">
        <v>0</v>
      </c>
      <c r="L39" s="159">
        <v>6.5753399999999896E-6</v>
      </c>
      <c r="M39">
        <v>0</v>
      </c>
      <c r="N39">
        <v>0</v>
      </c>
      <c r="O39">
        <v>0</v>
      </c>
      <c r="P39">
        <v>0</v>
      </c>
      <c r="Q39">
        <v>0</v>
      </c>
      <c r="R39">
        <v>0</v>
      </c>
      <c r="S39">
        <v>0</v>
      </c>
      <c r="T39">
        <v>0</v>
      </c>
      <c r="U39">
        <v>694.657530613478</v>
      </c>
      <c r="V39">
        <v>13.790669420826701</v>
      </c>
      <c r="W39">
        <v>1.3341517979627699</v>
      </c>
      <c r="X39">
        <v>0.33716319348324297</v>
      </c>
      <c r="Y39">
        <v>0.27826779278979802</v>
      </c>
      <c r="Z39">
        <v>0.38456901372695701</v>
      </c>
      <c r="AA39">
        <v>0.112521945877362</v>
      </c>
      <c r="AB39">
        <v>0.50390229417223897</v>
      </c>
      <c r="AC39">
        <v>0.383575759950397</v>
      </c>
      <c r="AD39">
        <v>0.88449060659033896</v>
      </c>
      <c r="AE39">
        <v>4.2486196435379202E-2</v>
      </c>
      <c r="AF39">
        <v>7.3023196974281404E-2</v>
      </c>
      <c r="AG39">
        <v>0</v>
      </c>
      <c r="AH39">
        <v>3410.52663003834</v>
      </c>
      <c r="AI39">
        <v>80.003768078956895</v>
      </c>
      <c r="AJ39">
        <v>8.1112975505932994</v>
      </c>
      <c r="AK39">
        <v>402.135293990511</v>
      </c>
      <c r="AL39">
        <v>7.4671125285011302</v>
      </c>
      <c r="AM39">
        <v>0.83765257203973098</v>
      </c>
      <c r="AN39">
        <v>8701.72648271256</v>
      </c>
      <c r="AO39">
        <v>312.98157132057702</v>
      </c>
      <c r="AP39">
        <v>31.298157132057401</v>
      </c>
      <c r="AQ39">
        <v>2.9742455725581901E-2</v>
      </c>
      <c r="AR39">
        <v>6.11820324225139E-3</v>
      </c>
      <c r="AS39">
        <v>2.1966543044084699E-2</v>
      </c>
      <c r="AT39">
        <v>9.48</v>
      </c>
      <c r="AU39">
        <v>5.9911871272349302</v>
      </c>
      <c r="AV39">
        <v>0</v>
      </c>
      <c r="AW39">
        <v>84.721097272304206</v>
      </c>
      <c r="AX39">
        <v>66.392392589428198</v>
      </c>
      <c r="AY39">
        <v>361.51646357719301</v>
      </c>
      <c r="AZ39">
        <v>0.54833294000258903</v>
      </c>
      <c r="BA39">
        <v>0.83388590203227098</v>
      </c>
      <c r="BB39">
        <v>1.3979377279347E-2</v>
      </c>
      <c r="BC39">
        <v>1.1680468128682201E-3</v>
      </c>
      <c r="BD39">
        <v>0.59534784210066205</v>
      </c>
      <c r="BE39">
        <v>9.2348128263024902E-3</v>
      </c>
      <c r="BF39">
        <v>7.5448033467209004E-4</v>
      </c>
      <c r="BG39">
        <v>766.29999847710098</v>
      </c>
      <c r="BH39">
        <v>-1626.59999865293</v>
      </c>
      <c r="BI39">
        <v>425.33748499533698</v>
      </c>
      <c r="BJ39">
        <v>210.38348400015801</v>
      </c>
      <c r="BK39">
        <v>4.0309825642875401</v>
      </c>
      <c r="BL39">
        <v>4.6334897050464701</v>
      </c>
      <c r="BM39">
        <v>192.302391791502</v>
      </c>
      <c r="BN39">
        <v>21.9132656540916</v>
      </c>
      <c r="BO39">
        <v>214.215657445593</v>
      </c>
      <c r="BP39">
        <v>3.4615654079895699</v>
      </c>
      <c r="BQ39">
        <v>0.29097942404367</v>
      </c>
      <c r="BR39">
        <v>206.35250143587001</v>
      </c>
      <c r="BS39">
        <v>2.1944395070153799</v>
      </c>
      <c r="BT39">
        <v>0.29064050478362102</v>
      </c>
      <c r="BU39">
        <v>3.4738386056807702</v>
      </c>
      <c r="BV39">
        <v>1.6886942201152499</v>
      </c>
      <c r="BW39">
        <v>0.53284987068809497</v>
      </c>
      <c r="BX39">
        <v>1.2522945148774201</v>
      </c>
      <c r="BY39">
        <v>0</v>
      </c>
      <c r="BZ39">
        <v>3.0546654841298602</v>
      </c>
      <c r="CA39">
        <v>0.40689992385970902</v>
      </c>
      <c r="CB39">
        <v>0.292009491176976</v>
      </c>
      <c r="CC39">
        <v>0.24533383259411001</v>
      </c>
      <c r="CD39">
        <v>4.5645591449560499E-2</v>
      </c>
      <c r="CE39">
        <v>21.476473090065902</v>
      </c>
      <c r="CF39">
        <v>163.84978129470099</v>
      </c>
      <c r="CG39">
        <v>42.187012163648298</v>
      </c>
      <c r="CH39">
        <v>0.39878927235527001</v>
      </c>
      <c r="CI39">
        <v>7.1430514497386799</v>
      </c>
      <c r="CJ39">
        <v>1.7059434463204799</v>
      </c>
      <c r="CK39">
        <v>9.51470695322773</v>
      </c>
      <c r="CL39">
        <v>1.5173721424743001</v>
      </c>
      <c r="CM39">
        <v>9.6380655316377697E-2</v>
      </c>
      <c r="CN39">
        <v>4.4735747374266201E-2</v>
      </c>
      <c r="CO39">
        <v>0.64040929687485804</v>
      </c>
      <c r="CP39">
        <v>0.778177056673797</v>
      </c>
      <c r="CQ39">
        <v>0.151737214247429</v>
      </c>
      <c r="CR39">
        <v>42.502720141168901</v>
      </c>
      <c r="CS39">
        <v>1.52872744984682</v>
      </c>
      <c r="CT39">
        <v>0.15287274498468201</v>
      </c>
      <c r="CU39">
        <v>1.4699999999999601E-2</v>
      </c>
      <c r="CV39">
        <v>2.02216656972106E-3</v>
      </c>
      <c r="CW39">
        <v>2.22434315600779</v>
      </c>
      <c r="CX39">
        <v>2.0299999999999499E-2</v>
      </c>
      <c r="CY39">
        <v>5.8436458681898999E-3</v>
      </c>
      <c r="CZ39">
        <v>0</v>
      </c>
      <c r="DA39">
        <v>2.3999991000028002E-3</v>
      </c>
      <c r="DB39">
        <v>1.4978503482344599E-3</v>
      </c>
      <c r="DC39">
        <v>1.9999999999999502E-3</v>
      </c>
      <c r="DD39">
        <v>3.6052928629619601E-3</v>
      </c>
      <c r="DE39">
        <v>1.0883066363040401E-3</v>
      </c>
      <c r="DF39">
        <v>2.39999909999995E-3</v>
      </c>
      <c r="DG39">
        <v>0</v>
      </c>
      <c r="DH39">
        <v>0</v>
      </c>
      <c r="DI39">
        <v>0.23180769399999401</v>
      </c>
      <c r="DJ39">
        <v>1.8846155199999499E-2</v>
      </c>
      <c r="DK39">
        <v>2.35712108505605</v>
      </c>
      <c r="DL39">
        <v>0.15385907865901</v>
      </c>
      <c r="DM39">
        <v>75.877927287922105</v>
      </c>
      <c r="DN39">
        <v>221.20717534803401</v>
      </c>
      <c r="DO39">
        <v>327.66000000000003</v>
      </c>
      <c r="DP39">
        <v>30.511785471413599</v>
      </c>
      <c r="DQ39">
        <v>157.94999999999899</v>
      </c>
      <c r="DR39">
        <v>169.71</v>
      </c>
      <c r="DS39">
        <v>155.80818401325601</v>
      </c>
      <c r="DT39">
        <v>0</v>
      </c>
      <c r="DU39">
        <v>0</v>
      </c>
      <c r="DV39">
        <v>0</v>
      </c>
      <c r="DW39">
        <v>0</v>
      </c>
      <c r="DX39">
        <v>0</v>
      </c>
      <c r="DY39">
        <v>0</v>
      </c>
      <c r="DZ39">
        <v>0</v>
      </c>
      <c r="EA39">
        <v>0</v>
      </c>
      <c r="EB39">
        <v>0</v>
      </c>
      <c r="EC39">
        <v>0</v>
      </c>
      <c r="ED39">
        <v>0</v>
      </c>
      <c r="EE39">
        <v>0</v>
      </c>
      <c r="EF39">
        <v>1.2860524284133299</v>
      </c>
      <c r="EG39">
        <v>0</v>
      </c>
      <c r="EH39">
        <v>0</v>
      </c>
      <c r="EI39">
        <v>0</v>
      </c>
      <c r="EJ39">
        <v>0</v>
      </c>
      <c r="EK39">
        <v>0</v>
      </c>
      <c r="EL39">
        <v>0</v>
      </c>
      <c r="EM39">
        <v>0</v>
      </c>
      <c r="EN39">
        <v>0</v>
      </c>
      <c r="EO39">
        <v>0</v>
      </c>
      <c r="EP39">
        <v>0</v>
      </c>
      <c r="EQ39">
        <v>0</v>
      </c>
      <c r="ER39">
        <v>0</v>
      </c>
      <c r="ES39">
        <v>0</v>
      </c>
      <c r="ET39">
        <v>0</v>
      </c>
      <c r="EU39">
        <v>0</v>
      </c>
      <c r="EV39">
        <v>810.70141170367003</v>
      </c>
      <c r="EW39">
        <v>-28.649999999999899</v>
      </c>
      <c r="EX39">
        <v>1462.43690655469</v>
      </c>
      <c r="EY39">
        <v>832.553528729204</v>
      </c>
      <c r="EZ39">
        <v>94.880369865899695</v>
      </c>
      <c r="FA39">
        <v>659.51929543026802</v>
      </c>
      <c r="FB39">
        <v>708.03723144531205</v>
      </c>
      <c r="FC39">
        <v>0.40921903523162501</v>
      </c>
      <c r="FD39">
        <v>0.74629664821831199</v>
      </c>
      <c r="FE39">
        <v>0</v>
      </c>
      <c r="FF39">
        <v>1</v>
      </c>
      <c r="FG39" s="159">
        <v>5.9194260510401203E-13</v>
      </c>
      <c r="FH39">
        <v>0</v>
      </c>
      <c r="FI39">
        <v>5.4512674794765098E-5</v>
      </c>
      <c r="FJ39">
        <v>-5.3631652634528702E-3</v>
      </c>
      <c r="FK39" s="159">
        <v>6.57534000000779E-6</v>
      </c>
      <c r="FL39" s="159">
        <v>2.6425486582529302E-6</v>
      </c>
      <c r="FM39" s="159">
        <v>4.1035639329945302E-6</v>
      </c>
      <c r="FN39">
        <v>0</v>
      </c>
      <c r="FO39">
        <v>0</v>
      </c>
      <c r="FP39">
        <v>0</v>
      </c>
      <c r="FQ39">
        <v>0</v>
      </c>
      <c r="FR39">
        <v>0</v>
      </c>
      <c r="FS39">
        <v>0</v>
      </c>
      <c r="FT39">
        <v>0</v>
      </c>
      <c r="FU39">
        <v>0</v>
      </c>
      <c r="FV39">
        <v>-999</v>
      </c>
      <c r="FW39">
        <v>0.47962749005837502</v>
      </c>
      <c r="FX39">
        <v>3.2004190140924199E-3</v>
      </c>
      <c r="FY39">
        <v>1.19098925550066</v>
      </c>
      <c r="FZ39">
        <v>9.49776632483593E-4</v>
      </c>
      <c r="GA39">
        <v>42.686240575651297</v>
      </c>
      <c r="GB39">
        <v>1.06393998676569E-2</v>
      </c>
      <c r="GC39">
        <v>2.87551347774513E-3</v>
      </c>
      <c r="GD39">
        <v>0</v>
      </c>
      <c r="GE39">
        <v>7.02570912432114E-3</v>
      </c>
      <c r="GF39">
        <v>0.42509839553120199</v>
      </c>
      <c r="GG39">
        <v>5.58934025927492E-4</v>
      </c>
      <c r="GH39">
        <v>9.4299243673464008E-3</v>
      </c>
      <c r="GI39">
        <v>1.85444053353651E-2</v>
      </c>
      <c r="GJ39">
        <v>9.1227990211616096E-4</v>
      </c>
      <c r="GK39">
        <v>1.7716879376950001E-3</v>
      </c>
      <c r="GL39">
        <v>0.39313741879443798</v>
      </c>
      <c r="GM39">
        <v>6.5673798030965198E-3</v>
      </c>
      <c r="GN39">
        <v>5.4409049829800302E-4</v>
      </c>
      <c r="GO39">
        <v>0</v>
      </c>
      <c r="GP39">
        <v>0</v>
      </c>
      <c r="GQ39">
        <v>0</v>
      </c>
      <c r="GR39">
        <v>6.0486183405024402E-2</v>
      </c>
      <c r="GS39">
        <v>1.12314722098362E-3</v>
      </c>
      <c r="GT39">
        <v>1.2599343519268701E-4</v>
      </c>
      <c r="GU39">
        <v>3.7948652501131497E-2</v>
      </c>
      <c r="GV39">
        <v>7.0465552953335401E-4</v>
      </c>
      <c r="GW39">
        <v>7.9047491846773505E-5</v>
      </c>
      <c r="GX39">
        <v>0.120608404854099</v>
      </c>
      <c r="GY39">
        <v>0.13122947621555001</v>
      </c>
      <c r="GZ39">
        <v>58.984722474688802</v>
      </c>
      <c r="HA39">
        <v>676.96534646993496</v>
      </c>
      <c r="HB39">
        <v>0</v>
      </c>
      <c r="HC39">
        <v>0.99981307755680104</v>
      </c>
      <c r="HD39">
        <v>0.41535042280874102</v>
      </c>
      <c r="HE39">
        <v>1.07847095543998E-2</v>
      </c>
      <c r="HF39">
        <v>9.3381052715844405E-4</v>
      </c>
      <c r="HG39">
        <v>1.27519562679132E-2</v>
      </c>
      <c r="HH39" s="159">
        <v>4.7618763934210701E-7</v>
      </c>
      <c r="HI39" s="159">
        <v>3.3333254583875003E-7</v>
      </c>
      <c r="HJ39">
        <v>0</v>
      </c>
      <c r="HK39">
        <v>0</v>
      </c>
      <c r="HL39">
        <v>0</v>
      </c>
      <c r="HM39">
        <v>0</v>
      </c>
      <c r="HN39">
        <v>0</v>
      </c>
      <c r="HO39">
        <v>1.12790301070297E-2</v>
      </c>
      <c r="HP39">
        <v>0.54657989902429105</v>
      </c>
      <c r="HQ39">
        <v>1.07847095543998E-2</v>
      </c>
      <c r="HR39">
        <v>9.3381052715844405E-4</v>
      </c>
      <c r="HS39">
        <v>0.72368164023764303</v>
      </c>
      <c r="HT39">
        <v>-999</v>
      </c>
      <c r="HU39">
        <v>1</v>
      </c>
      <c r="HV39">
        <v>0.79216443468439401</v>
      </c>
      <c r="HW39">
        <v>0.20783556531560499</v>
      </c>
      <c r="HX39">
        <v>12514.3884067414</v>
      </c>
      <c r="HY39">
        <v>400.45245192803498</v>
      </c>
      <c r="HZ39">
        <v>40.247107254690498</v>
      </c>
      <c r="IA39">
        <v>-0.13122947621555001</v>
      </c>
      <c r="IB39">
        <v>0</v>
      </c>
      <c r="IC39">
        <v>0</v>
      </c>
      <c r="ID39">
        <v>0</v>
      </c>
      <c r="IE39">
        <v>0</v>
      </c>
      <c r="IF39">
        <v>0</v>
      </c>
      <c r="IG39">
        <v>0</v>
      </c>
      <c r="IH39">
        <v>0</v>
      </c>
      <c r="II39">
        <v>46.337800049999601</v>
      </c>
      <c r="IJ39">
        <v>463.37800049999902</v>
      </c>
      <c r="IK39">
        <v>1.03504475311117E-2</v>
      </c>
      <c r="IL39">
        <v>2.25081667768134E-3</v>
      </c>
      <c r="IM39">
        <v>1.2601264208792999E-2</v>
      </c>
      <c r="IN39">
        <v>9.7434034034621505E-4</v>
      </c>
      <c r="IO39">
        <v>0.42272600880069899</v>
      </c>
      <c r="IP39">
        <v>1.8522114150267201E-2</v>
      </c>
      <c r="IQ39">
        <v>1.69228445419083E-3</v>
      </c>
      <c r="IR39">
        <v>0.29533276793180402</v>
      </c>
      <c r="IS39">
        <v>0.24243392175456499</v>
      </c>
      <c r="IT39">
        <v>0.26534479835909403</v>
      </c>
      <c r="IU39">
        <v>0.29788116654482399</v>
      </c>
      <c r="IV39">
        <v>1.40317253776322E-2</v>
      </c>
      <c r="IW39">
        <v>1.2432455769273399E-3</v>
      </c>
      <c r="IX39">
        <v>7.4957597882797405E-2</v>
      </c>
      <c r="IY39">
        <v>2.6960565600840001E-3</v>
      </c>
      <c r="IZ39">
        <v>2.6960565600839801E-4</v>
      </c>
      <c r="JA39">
        <v>7.5095427359744796E-2</v>
      </c>
      <c r="JB39">
        <v>2.70101397702361E-3</v>
      </c>
      <c r="JC39">
        <v>2.7010139770235902E-4</v>
      </c>
      <c r="JD39">
        <v>1.72214199202736E-4</v>
      </c>
      <c r="JE39">
        <v>3.1987681643663099E-3</v>
      </c>
      <c r="JF39" s="159">
        <v>1.4907779871675599E-19</v>
      </c>
      <c r="JG39">
        <v>0</v>
      </c>
      <c r="JH39">
        <v>4.1314751458627497E-3</v>
      </c>
      <c r="JI39">
        <v>5.3900663428348399E-4</v>
      </c>
      <c r="JJ39">
        <v>-0.50420607012011898</v>
      </c>
      <c r="JK39">
        <v>1.72214199202736E-4</v>
      </c>
      <c r="JL39" s="159">
        <v>6.5753399999999896E-6</v>
      </c>
      <c r="JM39">
        <v>-0.50420607012011898</v>
      </c>
      <c r="JN39">
        <v>0</v>
      </c>
      <c r="JO39">
        <v>1.90566917323188</v>
      </c>
      <c r="JP39">
        <v>-1.14980805805455E-2</v>
      </c>
      <c r="JQ39">
        <v>7.9470623703794901E-4</v>
      </c>
      <c r="JR39">
        <v>6.3111892629379399E-2</v>
      </c>
      <c r="JS39">
        <v>1540.5907699857801</v>
      </c>
      <c r="JT39">
        <v>4.7333987531993298E-2</v>
      </c>
      <c r="JU39">
        <v>0</v>
      </c>
      <c r="JV39">
        <v>365</v>
      </c>
      <c r="JW39">
        <v>0</v>
      </c>
      <c r="JX39">
        <v>-0.40268092994350901</v>
      </c>
      <c r="JY39">
        <v>0</v>
      </c>
      <c r="JZ39">
        <v>1.31629988272432</v>
      </c>
      <c r="KA39">
        <v>1.4015995659785701</v>
      </c>
      <c r="KB39">
        <v>1.4271964093940901</v>
      </c>
      <c r="KC39">
        <v>0</v>
      </c>
      <c r="KD39">
        <v>0</v>
      </c>
      <c r="KE39">
        <v>0</v>
      </c>
      <c r="KF39">
        <v>3.5484587244242502E-3</v>
      </c>
      <c r="KG39">
        <v>2.22426046941737E-2</v>
      </c>
      <c r="KH39">
        <v>3.9261947047624902E-2</v>
      </c>
      <c r="KI39">
        <v>0</v>
      </c>
      <c r="KJ39">
        <v>0</v>
      </c>
      <c r="KK39">
        <v>0</v>
      </c>
      <c r="KL39">
        <v>0</v>
      </c>
      <c r="KM39">
        <v>0</v>
      </c>
      <c r="KN39">
        <v>0</v>
      </c>
      <c r="KO39">
        <v>0</v>
      </c>
      <c r="KP39">
        <v>0</v>
      </c>
      <c r="KQ39">
        <v>0</v>
      </c>
      <c r="KR39">
        <v>0</v>
      </c>
      <c r="KS39">
        <v>0</v>
      </c>
      <c r="KT39">
        <v>0</v>
      </c>
      <c r="KU39">
        <v>0.34999999999999898</v>
      </c>
      <c r="KV39">
        <v>-0.115909889496617</v>
      </c>
      <c r="KW39">
        <v>1.83806273653801E-3</v>
      </c>
      <c r="KX39">
        <v>32975.964771513398</v>
      </c>
      <c r="KY39">
        <v>0</v>
      </c>
      <c r="KZ39">
        <v>0.21027195526845599</v>
      </c>
      <c r="LA39">
        <v>1.73602675993533E-5</v>
      </c>
      <c r="LB39">
        <v>0</v>
      </c>
      <c r="LC39">
        <v>-12.148237324198201</v>
      </c>
      <c r="LD39">
        <v>1.571091306913E-2</v>
      </c>
      <c r="LE39">
        <v>3.4065217633302302E-3</v>
      </c>
      <c r="LF39">
        <v>1.571091306913E-2</v>
      </c>
      <c r="LG39">
        <v>0.94648594119325902</v>
      </c>
      <c r="LH39">
        <v>1.2335067513559701</v>
      </c>
      <c r="LI39">
        <v>0</v>
      </c>
      <c r="LJ39">
        <v>0</v>
      </c>
      <c r="LK39">
        <v>0.24206027792086901</v>
      </c>
      <c r="LL39">
        <v>0</v>
      </c>
      <c r="LM39">
        <v>0</v>
      </c>
      <c r="LN39">
        <v>0</v>
      </c>
      <c r="LO39">
        <v>0</v>
      </c>
      <c r="LP39">
        <v>0</v>
      </c>
      <c r="LQ39">
        <v>0</v>
      </c>
      <c r="LR39">
        <v>0</v>
      </c>
      <c r="LS39">
        <v>0</v>
      </c>
      <c r="LT39">
        <v>-999</v>
      </c>
      <c r="LU39">
        <v>0.42563172528516002</v>
      </c>
      <c r="LV39">
        <v>38</v>
      </c>
      <c r="LW39">
        <v>146.52000000000001</v>
      </c>
      <c r="LX39">
        <v>1.369</v>
      </c>
      <c r="LY39">
        <v>0</v>
      </c>
      <c r="LZ39">
        <v>-999</v>
      </c>
      <c r="MA39">
        <v>0</v>
      </c>
      <c r="MB39">
        <v>0</v>
      </c>
      <c r="MC39">
        <v>546.51999999999896</v>
      </c>
      <c r="MD39">
        <v>-23.6999999999999</v>
      </c>
      <c r="ME39">
        <v>-33.6</v>
      </c>
      <c r="MF39">
        <v>0</v>
      </c>
      <c r="MG39">
        <v>8.0706896550000007</v>
      </c>
      <c r="MH39">
        <v>0</v>
      </c>
      <c r="MI39">
        <v>0</v>
      </c>
      <c r="MJ39">
        <v>0</v>
      </c>
      <c r="MK39">
        <v>0</v>
      </c>
      <c r="ML39">
        <v>0</v>
      </c>
      <c r="MM39">
        <v>0</v>
      </c>
      <c r="MN39">
        <v>0</v>
      </c>
      <c r="MO39">
        <v>0</v>
      </c>
      <c r="MP39">
        <v>0</v>
      </c>
      <c r="MQ39">
        <v>0</v>
      </c>
      <c r="MR39">
        <v>0</v>
      </c>
      <c r="MS39">
        <v>0</v>
      </c>
      <c r="MT39">
        <v>0</v>
      </c>
      <c r="MU39">
        <v>0</v>
      </c>
      <c r="MV39">
        <v>0</v>
      </c>
    </row>
    <row r="40" spans="1:360" x14ac:dyDescent="0.25">
      <c r="A40">
        <v>14235</v>
      </c>
      <c r="B40">
        <v>0</v>
      </c>
      <c r="C40">
        <v>-33.6</v>
      </c>
      <c r="D40">
        <v>-23.6999999999999</v>
      </c>
      <c r="E40">
        <v>400</v>
      </c>
      <c r="F40">
        <v>0</v>
      </c>
      <c r="G40">
        <v>0</v>
      </c>
      <c r="H40">
        <v>0</v>
      </c>
      <c r="I40">
        <v>0</v>
      </c>
      <c r="J40">
        <v>0</v>
      </c>
      <c r="K40">
        <v>0</v>
      </c>
      <c r="L40" s="159">
        <v>6.5753399999999896E-6</v>
      </c>
      <c r="M40">
        <v>0</v>
      </c>
      <c r="N40">
        <v>0</v>
      </c>
      <c r="O40">
        <v>0</v>
      </c>
      <c r="P40">
        <v>0</v>
      </c>
      <c r="Q40">
        <v>0</v>
      </c>
      <c r="R40">
        <v>0</v>
      </c>
      <c r="S40">
        <v>0</v>
      </c>
      <c r="T40">
        <v>0</v>
      </c>
      <c r="U40">
        <v>695.05557141757504</v>
      </c>
      <c r="V40">
        <v>13.803499045223299</v>
      </c>
      <c r="W40">
        <v>1.3352603403296901</v>
      </c>
      <c r="X40">
        <v>0.33560021753091301</v>
      </c>
      <c r="Y40">
        <v>0.27766264838620702</v>
      </c>
      <c r="Z40">
        <v>0.38673713408287902</v>
      </c>
      <c r="AA40">
        <v>0.11250579063872899</v>
      </c>
      <c r="AB40">
        <v>0.50468057090486895</v>
      </c>
      <c r="AC40">
        <v>0.38281363845639998</v>
      </c>
      <c r="AD40">
        <v>0.88449616181651403</v>
      </c>
      <c r="AE40">
        <v>4.2379949298068598E-2</v>
      </c>
      <c r="AF40">
        <v>7.3123888885416696E-2</v>
      </c>
      <c r="AG40">
        <v>0</v>
      </c>
      <c r="AH40">
        <v>3411.36924008818</v>
      </c>
      <c r="AI40">
        <v>79.982358994168095</v>
      </c>
      <c r="AJ40">
        <v>8.1117903195654204</v>
      </c>
      <c r="AK40">
        <v>402.55660975571499</v>
      </c>
      <c r="AL40">
        <v>7.4749357966295999</v>
      </c>
      <c r="AM40">
        <v>0.83853017776009198</v>
      </c>
      <c r="AN40">
        <v>8701.4163091324008</v>
      </c>
      <c r="AO40">
        <v>312.97041507305499</v>
      </c>
      <c r="AP40">
        <v>31.297041507305298</v>
      </c>
      <c r="AQ40">
        <v>2.9806888161423701E-2</v>
      </c>
      <c r="AR40">
        <v>6.1367690117155203E-3</v>
      </c>
      <c r="AS40">
        <v>2.1831922125511299E-2</v>
      </c>
      <c r="AT40">
        <v>9.48</v>
      </c>
      <c r="AU40">
        <v>5.9907696484946502</v>
      </c>
      <c r="AV40">
        <v>0</v>
      </c>
      <c r="AW40">
        <v>84.753483123317906</v>
      </c>
      <c r="AX40">
        <v>66.406954949570306</v>
      </c>
      <c r="AY40">
        <v>361.51314205441503</v>
      </c>
      <c r="AZ40">
        <v>0.54833294000258903</v>
      </c>
      <c r="BA40">
        <v>0.83425329926473801</v>
      </c>
      <c r="BB40">
        <v>1.39811320193524E-2</v>
      </c>
      <c r="BC40">
        <v>1.1682497628367301E-3</v>
      </c>
      <c r="BD40">
        <v>0.59470631357992298</v>
      </c>
      <c r="BE40">
        <v>9.2355016999263496E-3</v>
      </c>
      <c r="BF40">
        <v>7.5450593773388895E-4</v>
      </c>
      <c r="BG40">
        <v>766.29999847710098</v>
      </c>
      <c r="BH40">
        <v>-1626.59999865293</v>
      </c>
      <c r="BI40">
        <v>424.96923287973698</v>
      </c>
      <c r="BJ40">
        <v>209.98068548886499</v>
      </c>
      <c r="BK40">
        <v>3.4847741678446198</v>
      </c>
      <c r="BL40">
        <v>4.6375733685149498</v>
      </c>
      <c r="BM40">
        <v>192.29685714748101</v>
      </c>
      <c r="BN40">
        <v>21.923360905802198</v>
      </c>
      <c r="BO40">
        <v>214.22021805328299</v>
      </c>
      <c r="BP40">
        <v>3.4634673739533199</v>
      </c>
      <c r="BQ40">
        <v>0.29114146417002801</v>
      </c>
      <c r="BR40">
        <v>206.49591132102</v>
      </c>
      <c r="BS40">
        <v>2.1958686872692401</v>
      </c>
      <c r="BT40">
        <v>0.29088671422979201</v>
      </c>
      <c r="BU40">
        <v>3.4762969983498402</v>
      </c>
      <c r="BV40">
        <v>1.69081357153621</v>
      </c>
      <c r="BW40">
        <v>0.53208521910687601</v>
      </c>
      <c r="BX40">
        <v>1.25339820770674</v>
      </c>
      <c r="BY40">
        <v>0</v>
      </c>
      <c r="BZ40">
        <v>3.05637999482258</v>
      </c>
      <c r="CA40">
        <v>0.407087379130742</v>
      </c>
      <c r="CB40">
        <v>0.29225000653694899</v>
      </c>
      <c r="CC40">
        <v>0.245474844191793</v>
      </c>
      <c r="CD40">
        <v>4.56666199782352E-2</v>
      </c>
      <c r="CE40">
        <v>21.502045140597598</v>
      </c>
      <c r="CF40">
        <v>163.98959390053</v>
      </c>
      <c r="CG40">
        <v>42.196143840294901</v>
      </c>
      <c r="CH40">
        <v>0.39926411100226</v>
      </c>
      <c r="CI40">
        <v>7.15341090347935</v>
      </c>
      <c r="CJ40">
        <v>1.70805296369046</v>
      </c>
      <c r="CK40">
        <v>9.5284757185287905</v>
      </c>
      <c r="CL40">
        <v>1.5177005883880299</v>
      </c>
      <c r="CM40">
        <v>9.65708853806721E-2</v>
      </c>
      <c r="CN40">
        <v>4.4789014257875799E-2</v>
      </c>
      <c r="CO40">
        <v>0.63611598856509</v>
      </c>
      <c r="CP40">
        <v>0.774117019203857</v>
      </c>
      <c r="CQ40">
        <v>0.15177005883880201</v>
      </c>
      <c r="CR40">
        <v>42.506317420490198</v>
      </c>
      <c r="CS40">
        <v>1.5288568359102399</v>
      </c>
      <c r="CT40">
        <v>0.152885683591022</v>
      </c>
      <c r="CU40">
        <v>1.47000000000015E-2</v>
      </c>
      <c r="CV40">
        <v>2.0283843530100299E-3</v>
      </c>
      <c r="CW40">
        <v>2.2257152626346199</v>
      </c>
      <c r="CX40">
        <v>2.0300000000002101E-2</v>
      </c>
      <c r="CY40">
        <v>5.8585140678286598E-3</v>
      </c>
      <c r="CZ40">
        <v>0</v>
      </c>
      <c r="DA40">
        <v>2.39999910000288E-3</v>
      </c>
      <c r="DB40">
        <v>1.4977469753980001E-3</v>
      </c>
      <c r="DC40">
        <v>2.0000000000002099E-3</v>
      </c>
      <c r="DD40">
        <v>3.58880645168299E-3</v>
      </c>
      <c r="DE40">
        <v>1.0802682351348299E-3</v>
      </c>
      <c r="DF40">
        <v>2.3999991000000298E-3</v>
      </c>
      <c r="DG40">
        <v>0</v>
      </c>
      <c r="DH40">
        <v>0</v>
      </c>
      <c r="DI40">
        <v>0.23180769400002399</v>
      </c>
      <c r="DJ40">
        <v>1.88461552000019E-2</v>
      </c>
      <c r="DK40">
        <v>2.3647888229018599</v>
      </c>
      <c r="DL40">
        <v>0.15435958374032999</v>
      </c>
      <c r="DM40">
        <v>75.270099469895897</v>
      </c>
      <c r="DN40">
        <v>221.91664733712099</v>
      </c>
      <c r="DO40">
        <v>327.66000000000003</v>
      </c>
      <c r="DP40">
        <v>30.4263131243376</v>
      </c>
      <c r="DQ40">
        <v>157.94999999999899</v>
      </c>
      <c r="DR40">
        <v>169.71</v>
      </c>
      <c r="DS40">
        <v>155.869278907623</v>
      </c>
      <c r="DT40">
        <v>0</v>
      </c>
      <c r="DU40">
        <v>0</v>
      </c>
      <c r="DV40">
        <v>0</v>
      </c>
      <c r="DW40">
        <v>0</v>
      </c>
      <c r="DX40">
        <v>0</v>
      </c>
      <c r="DY40">
        <v>0</v>
      </c>
      <c r="DZ40">
        <v>0</v>
      </c>
      <c r="EA40">
        <v>0</v>
      </c>
      <c r="EB40">
        <v>0</v>
      </c>
      <c r="EC40">
        <v>0</v>
      </c>
      <c r="ED40">
        <v>0</v>
      </c>
      <c r="EE40">
        <v>0</v>
      </c>
      <c r="EF40">
        <v>1.2829722939127699</v>
      </c>
      <c r="EG40">
        <v>0</v>
      </c>
      <c r="EH40">
        <v>0</v>
      </c>
      <c r="EI40">
        <v>0</v>
      </c>
      <c r="EJ40">
        <v>0</v>
      </c>
      <c r="EK40">
        <v>0</v>
      </c>
      <c r="EL40">
        <v>0</v>
      </c>
      <c r="EM40">
        <v>0</v>
      </c>
      <c r="EN40">
        <v>0</v>
      </c>
      <c r="EO40">
        <v>0</v>
      </c>
      <c r="EP40">
        <v>0</v>
      </c>
      <c r="EQ40">
        <v>0</v>
      </c>
      <c r="ER40">
        <v>0</v>
      </c>
      <c r="ES40">
        <v>0</v>
      </c>
      <c r="ET40">
        <v>0</v>
      </c>
      <c r="EU40">
        <v>0</v>
      </c>
      <c r="EV40">
        <v>811.08101859301496</v>
      </c>
      <c r="EW40">
        <v>-28.649999999999899</v>
      </c>
      <c r="EX40">
        <v>1463.27488719489</v>
      </c>
      <c r="EY40">
        <v>832.745790342654</v>
      </c>
      <c r="EZ40">
        <v>94.579134663187602</v>
      </c>
      <c r="FA40">
        <v>660.26092254911805</v>
      </c>
      <c r="FB40">
        <v>708.434814453125</v>
      </c>
      <c r="FC40">
        <v>0.407919807802328</v>
      </c>
      <c r="FD40">
        <v>0.74392723479352096</v>
      </c>
      <c r="FE40">
        <v>0</v>
      </c>
      <c r="FF40">
        <v>1</v>
      </c>
      <c r="FG40" s="159">
        <v>5.9199335899281399E-13</v>
      </c>
      <c r="FH40">
        <v>0</v>
      </c>
      <c r="FI40">
        <v>5.4512674794765098E-5</v>
      </c>
      <c r="FJ40">
        <v>-5.3457203944291404E-3</v>
      </c>
      <c r="FK40" s="159">
        <v>6.57534000000779E-6</v>
      </c>
      <c r="FL40" s="159">
        <v>2.6262594743454102E-6</v>
      </c>
      <c r="FM40" s="159">
        <v>4.1032779878779802E-6</v>
      </c>
      <c r="FN40">
        <v>0</v>
      </c>
      <c r="FO40">
        <v>0</v>
      </c>
      <c r="FP40">
        <v>0</v>
      </c>
      <c r="FQ40">
        <v>0</v>
      </c>
      <c r="FR40">
        <v>0</v>
      </c>
      <c r="FS40">
        <v>0</v>
      </c>
      <c r="FT40">
        <v>0</v>
      </c>
      <c r="FU40">
        <v>0</v>
      </c>
      <c r="FV40">
        <v>-999</v>
      </c>
      <c r="FW40">
        <v>0.48066363565547998</v>
      </c>
      <c r="FX40">
        <v>3.2014876367097399E-3</v>
      </c>
      <c r="FY40">
        <v>1.19450863503733</v>
      </c>
      <c r="FZ40">
        <v>9.4840271898953804E-4</v>
      </c>
      <c r="GA40">
        <v>42.647974195762202</v>
      </c>
      <c r="GB40">
        <v>1.0624943684048999E-2</v>
      </c>
      <c r="GC40">
        <v>2.8716064010943301E-3</v>
      </c>
      <c r="GD40">
        <v>0</v>
      </c>
      <c r="GE40">
        <v>7.0214967567936099E-3</v>
      </c>
      <c r="GF40">
        <v>0.42247800633913402</v>
      </c>
      <c r="GG40">
        <v>5.5881392771614101E-4</v>
      </c>
      <c r="GH40">
        <v>9.4332918346495195E-3</v>
      </c>
      <c r="GI40">
        <v>1.8540260802947701E-2</v>
      </c>
      <c r="GJ40">
        <v>9.1251503870841205E-4</v>
      </c>
      <c r="GK40">
        <v>1.77127602128554E-3</v>
      </c>
      <c r="GL40">
        <v>0.39345372647826699</v>
      </c>
      <c r="GM40">
        <v>6.5764503554575403E-3</v>
      </c>
      <c r="GN40">
        <v>5.4479520286383396E-4</v>
      </c>
      <c r="GO40">
        <v>0</v>
      </c>
      <c r="GP40">
        <v>0</v>
      </c>
      <c r="GQ40">
        <v>0</v>
      </c>
      <c r="GR40">
        <v>6.0503163376317601E-2</v>
      </c>
      <c r="GS40">
        <v>1.1234625162543201E-3</v>
      </c>
      <c r="GT40">
        <v>1.26028804673654E-4</v>
      </c>
      <c r="GU40">
        <v>3.7988851113079702E-2</v>
      </c>
      <c r="GV40">
        <v>7.0540196378916895E-4</v>
      </c>
      <c r="GW40">
        <v>7.9131226030751094E-5</v>
      </c>
      <c r="GX40">
        <v>0.120775408460413</v>
      </c>
      <c r="GY40">
        <v>0.13138187337357399</v>
      </c>
      <c r="GZ40">
        <v>58.956107350557502</v>
      </c>
      <c r="HA40">
        <v>676.71533033083301</v>
      </c>
      <c r="HB40">
        <v>0</v>
      </c>
      <c r="HC40">
        <v>0.99981307682948195</v>
      </c>
      <c r="HD40">
        <v>0.41576687589654998</v>
      </c>
      <c r="HE40">
        <v>1.07947377343215E-2</v>
      </c>
      <c r="HF40">
        <v>9.3461275393044501E-4</v>
      </c>
      <c r="HG40">
        <v>1.27848278110297E-2</v>
      </c>
      <c r="HH40" s="159">
        <v>4.7618764858639601E-7</v>
      </c>
      <c r="HI40" s="159">
        <v>3.3333254540220301E-7</v>
      </c>
      <c r="HJ40">
        <v>0</v>
      </c>
      <c r="HK40">
        <v>0</v>
      </c>
      <c r="HL40">
        <v>0</v>
      </c>
      <c r="HM40">
        <v>0</v>
      </c>
      <c r="HN40">
        <v>0</v>
      </c>
      <c r="HO40">
        <v>1.13081756837212E-2</v>
      </c>
      <c r="HP40">
        <v>0.54714874927012402</v>
      </c>
      <c r="HQ40">
        <v>1.07947377343215E-2</v>
      </c>
      <c r="HR40">
        <v>9.3461275393044501E-4</v>
      </c>
      <c r="HS40">
        <v>0.72324367116673205</v>
      </c>
      <c r="HT40">
        <v>-999</v>
      </c>
      <c r="HU40">
        <v>0.999999999999999</v>
      </c>
      <c r="HV40">
        <v>0.792872122808855</v>
      </c>
      <c r="HW40">
        <v>0.20712787719114401</v>
      </c>
      <c r="HX40">
        <v>12515.3421589763</v>
      </c>
      <c r="HY40">
        <v>400.42770986385301</v>
      </c>
      <c r="HZ40">
        <v>40.247362004630801</v>
      </c>
      <c r="IA40">
        <v>-0.13138187337357399</v>
      </c>
      <c r="IB40">
        <v>0</v>
      </c>
      <c r="IC40">
        <v>0</v>
      </c>
      <c r="ID40">
        <v>0</v>
      </c>
      <c r="IE40">
        <v>0</v>
      </c>
      <c r="IF40">
        <v>0</v>
      </c>
      <c r="IG40">
        <v>0</v>
      </c>
      <c r="IH40">
        <v>0</v>
      </c>
      <c r="II40">
        <v>46.337800049999601</v>
      </c>
      <c r="IJ40">
        <v>463.37800049999902</v>
      </c>
      <c r="IK40">
        <v>1.0380618850311199E-2</v>
      </c>
      <c r="IL40">
        <v>2.2590588717247102E-3</v>
      </c>
      <c r="IM40">
        <v>1.2639677722036001E-2</v>
      </c>
      <c r="IN40">
        <v>9.6888952013955004E-4</v>
      </c>
      <c r="IO40">
        <v>0.42283534489837099</v>
      </c>
      <c r="IP40">
        <v>1.85593553870817E-2</v>
      </c>
      <c r="IQ40">
        <v>1.6868855646943899E-3</v>
      </c>
      <c r="IR40">
        <v>0.295186887159893</v>
      </c>
      <c r="IS40">
        <v>0.241890490173547</v>
      </c>
      <c r="IT40">
        <v>0.266131364559963</v>
      </c>
      <c r="IU40">
        <v>0.298019895656641</v>
      </c>
      <c r="IV40">
        <v>1.40700238151954E-2</v>
      </c>
      <c r="IW40">
        <v>1.2379524075057601E-3</v>
      </c>
      <c r="IX40">
        <v>7.4961475104312406E-2</v>
      </c>
      <c r="IY40">
        <v>2.6961960150398102E-3</v>
      </c>
      <c r="IZ40">
        <v>2.6961960150397903E-4</v>
      </c>
      <c r="JA40">
        <v>7.5093620218588203E-2</v>
      </c>
      <c r="JB40">
        <v>2.70094897821218E-3</v>
      </c>
      <c r="JC40">
        <v>2.7009489782121599E-4</v>
      </c>
      <c r="JD40">
        <v>1.7251370675640701E-4</v>
      </c>
      <c r="JE40">
        <v>3.2056685023720498E-3</v>
      </c>
      <c r="JF40" s="159">
        <v>5.0821976835258001E-19</v>
      </c>
      <c r="JG40">
        <v>0</v>
      </c>
      <c r="JH40">
        <v>4.1312950713716101E-3</v>
      </c>
      <c r="JI40">
        <v>5.39157785187435E-4</v>
      </c>
      <c r="JJ40">
        <v>-0.50449538924880299</v>
      </c>
      <c r="JK40">
        <v>1.7251370675640701E-4</v>
      </c>
      <c r="JL40" s="159">
        <v>6.5753399999999896E-6</v>
      </c>
      <c r="JM40">
        <v>-0.50449538924880299</v>
      </c>
      <c r="JN40">
        <v>0</v>
      </c>
      <c r="JO40">
        <v>1.35179303894262</v>
      </c>
      <c r="JP40">
        <v>-1.18294415804913E-2</v>
      </c>
      <c r="JQ40">
        <v>8.1119264831725597E-4</v>
      </c>
      <c r="JR40">
        <v>4.6940068644985802E-2</v>
      </c>
      <c r="JS40">
        <v>1541.18062032335</v>
      </c>
      <c r="JT40">
        <v>4.7183707096233103E-2</v>
      </c>
      <c r="JU40">
        <v>0</v>
      </c>
      <c r="JV40">
        <v>365</v>
      </c>
      <c r="JW40">
        <v>0</v>
      </c>
      <c r="JX40">
        <v>-0.40268092994350901</v>
      </c>
      <c r="JY40">
        <v>0</v>
      </c>
      <c r="JZ40">
        <v>1.31792099540079</v>
      </c>
      <c r="KA40">
        <v>1.40165713418263</v>
      </c>
      <c r="KB40">
        <v>1.4273570885665301</v>
      </c>
      <c r="KC40">
        <v>0</v>
      </c>
      <c r="KD40">
        <v>0</v>
      </c>
      <c r="KE40">
        <v>0</v>
      </c>
      <c r="KF40">
        <v>3.5498691491721601E-3</v>
      </c>
      <c r="KG40">
        <v>2.2266794132534799E-2</v>
      </c>
      <c r="KH40">
        <v>3.9154859184619702E-2</v>
      </c>
      <c r="KI40">
        <v>0</v>
      </c>
      <c r="KJ40">
        <v>0</v>
      </c>
      <c r="KK40">
        <v>0</v>
      </c>
      <c r="KL40">
        <v>0</v>
      </c>
      <c r="KM40">
        <v>0</v>
      </c>
      <c r="KN40">
        <v>0</v>
      </c>
      <c r="KO40">
        <v>0</v>
      </c>
      <c r="KP40">
        <v>0</v>
      </c>
      <c r="KQ40">
        <v>0</v>
      </c>
      <c r="KR40">
        <v>0</v>
      </c>
      <c r="KS40">
        <v>0</v>
      </c>
      <c r="KT40">
        <v>0</v>
      </c>
      <c r="KU40">
        <v>0.34999999999999898</v>
      </c>
      <c r="KV40">
        <v>-0.11584128123484599</v>
      </c>
      <c r="KW40">
        <v>1.83703015977476E-3</v>
      </c>
      <c r="KX40">
        <v>33013.046127455898</v>
      </c>
      <c r="KY40">
        <v>0</v>
      </c>
      <c r="KZ40">
        <v>0.21028119850804899</v>
      </c>
      <c r="LA40">
        <v>1.73602675993533E-5</v>
      </c>
      <c r="LB40">
        <v>0</v>
      </c>
      <c r="LC40">
        <v>-12.1474251452461</v>
      </c>
      <c r="LD40">
        <v>1.57113595516769E-2</v>
      </c>
      <c r="LE40">
        <v>3.40694297328017E-3</v>
      </c>
      <c r="LF40">
        <v>1.57113595516769E-2</v>
      </c>
      <c r="LG40">
        <v>0.94681972965718297</v>
      </c>
      <c r="LH40">
        <v>1.23388605642861</v>
      </c>
      <c r="LI40">
        <v>0</v>
      </c>
      <c r="LJ40">
        <v>0</v>
      </c>
      <c r="LK40">
        <v>0.24215280892376501</v>
      </c>
      <c r="LL40">
        <v>0</v>
      </c>
      <c r="LM40">
        <v>0</v>
      </c>
      <c r="LN40">
        <v>0</v>
      </c>
      <c r="LO40">
        <v>0</v>
      </c>
      <c r="LP40">
        <v>0</v>
      </c>
      <c r="LQ40">
        <v>0</v>
      </c>
      <c r="LR40">
        <v>0</v>
      </c>
      <c r="LS40">
        <v>0</v>
      </c>
      <c r="LT40">
        <v>-999</v>
      </c>
      <c r="LU40">
        <v>0.42563665447439097</v>
      </c>
      <c r="LV40">
        <v>39</v>
      </c>
      <c r="LW40">
        <v>150.479999999999</v>
      </c>
      <c r="LX40">
        <v>1.4059999999999899</v>
      </c>
      <c r="LY40">
        <v>0</v>
      </c>
      <c r="LZ40">
        <v>-999</v>
      </c>
      <c r="MA40">
        <v>0</v>
      </c>
      <c r="MB40">
        <v>0</v>
      </c>
      <c r="MC40">
        <v>550.48</v>
      </c>
      <c r="MD40">
        <v>-23.6999999999999</v>
      </c>
      <c r="ME40">
        <v>-33.6</v>
      </c>
      <c r="MF40">
        <v>0</v>
      </c>
      <c r="MG40">
        <v>8.0706896550000007</v>
      </c>
      <c r="MH40">
        <v>0</v>
      </c>
      <c r="MI40">
        <v>0</v>
      </c>
      <c r="MJ40">
        <v>0</v>
      </c>
      <c r="MK40">
        <v>0</v>
      </c>
      <c r="ML40">
        <v>0</v>
      </c>
      <c r="MM40">
        <v>0</v>
      </c>
      <c r="MN40">
        <v>0</v>
      </c>
      <c r="MO40">
        <v>0</v>
      </c>
      <c r="MP40">
        <v>0</v>
      </c>
      <c r="MQ40">
        <v>0</v>
      </c>
      <c r="MR40">
        <v>0</v>
      </c>
      <c r="MS40">
        <v>0</v>
      </c>
      <c r="MT40">
        <v>0</v>
      </c>
      <c r="MU40">
        <v>0</v>
      </c>
      <c r="MV40">
        <v>0</v>
      </c>
    </row>
    <row r="41" spans="1:360" x14ac:dyDescent="0.25">
      <c r="A41">
        <v>14600</v>
      </c>
      <c r="B41">
        <v>0</v>
      </c>
      <c r="C41">
        <v>-33.6</v>
      </c>
      <c r="D41">
        <v>-23.6999999999999</v>
      </c>
      <c r="E41">
        <v>400</v>
      </c>
      <c r="F41">
        <v>0</v>
      </c>
      <c r="G41">
        <v>0</v>
      </c>
      <c r="H41">
        <v>0</v>
      </c>
      <c r="I41">
        <v>0</v>
      </c>
      <c r="J41">
        <v>0</v>
      </c>
      <c r="K41">
        <v>0</v>
      </c>
      <c r="L41" s="159">
        <v>6.5753399999999896E-6</v>
      </c>
      <c r="M41">
        <v>0</v>
      </c>
      <c r="N41">
        <v>0</v>
      </c>
      <c r="O41">
        <v>0</v>
      </c>
      <c r="P41">
        <v>0</v>
      </c>
      <c r="Q41">
        <v>0</v>
      </c>
      <c r="R41">
        <v>0</v>
      </c>
      <c r="S41">
        <v>0</v>
      </c>
      <c r="T41">
        <v>0</v>
      </c>
      <c r="U41">
        <v>695.54020559813205</v>
      </c>
      <c r="V41">
        <v>13.8141630192652</v>
      </c>
      <c r="W41">
        <v>1.3363321468743401</v>
      </c>
      <c r="X41">
        <v>0.33424323321501498</v>
      </c>
      <c r="Y41">
        <v>0.27718564883665398</v>
      </c>
      <c r="Z41">
        <v>0.38857111794832999</v>
      </c>
      <c r="AA41">
        <v>0.11249153912955601</v>
      </c>
      <c r="AB41">
        <v>0.50546199063656405</v>
      </c>
      <c r="AC41">
        <v>0.382046470233878</v>
      </c>
      <c r="AD41">
        <v>0.88451636926811905</v>
      </c>
      <c r="AE41">
        <v>4.2293498067637797E-2</v>
      </c>
      <c r="AF41">
        <v>7.3190132664243096E-2</v>
      </c>
      <c r="AG41">
        <v>0</v>
      </c>
      <c r="AH41">
        <v>3412.1533519849499</v>
      </c>
      <c r="AI41">
        <v>79.963026704684395</v>
      </c>
      <c r="AJ41">
        <v>8.1123316266611507</v>
      </c>
      <c r="AK41">
        <v>402.96316518937601</v>
      </c>
      <c r="AL41">
        <v>7.4824849852175799</v>
      </c>
      <c r="AM41">
        <v>0.839377037535324</v>
      </c>
      <c r="AN41">
        <v>8701.1103111771608</v>
      </c>
      <c r="AO41">
        <v>312.959409013391</v>
      </c>
      <c r="AP41">
        <v>31.295940901338898</v>
      </c>
      <c r="AQ41">
        <v>2.98549097159021E-2</v>
      </c>
      <c r="AR41">
        <v>6.1503035246174001E-3</v>
      </c>
      <c r="AS41">
        <v>2.1719257589927599E-2</v>
      </c>
      <c r="AT41">
        <v>9.48</v>
      </c>
      <c r="AU41">
        <v>5.9903460698576199</v>
      </c>
      <c r="AV41">
        <v>0</v>
      </c>
      <c r="AW41">
        <v>84.778785662491302</v>
      </c>
      <c r="AX41">
        <v>66.416265563404593</v>
      </c>
      <c r="AY41">
        <v>361.51049114401201</v>
      </c>
      <c r="AZ41">
        <v>0.54833294000258903</v>
      </c>
      <c r="BA41">
        <v>0.83466431429216903</v>
      </c>
      <c r="BB41">
        <v>1.3985325180005699E-2</v>
      </c>
      <c r="BC41">
        <v>1.1686671901458699E-3</v>
      </c>
      <c r="BD41">
        <v>0.59491514946114399</v>
      </c>
      <c r="BE41">
        <v>9.2330437899684602E-3</v>
      </c>
      <c r="BF41">
        <v>7.5452628731743595E-4</v>
      </c>
      <c r="BG41">
        <v>766.29999847710098</v>
      </c>
      <c r="BH41">
        <v>-1626.59999865293</v>
      </c>
      <c r="BI41">
        <v>425.239442805652</v>
      </c>
      <c r="BJ41">
        <v>210.09345027551399</v>
      </c>
      <c r="BK41">
        <v>3.5079793820188501</v>
      </c>
      <c r="BL41">
        <v>4.6349805851214896</v>
      </c>
      <c r="BM41">
        <v>192.31243182606499</v>
      </c>
      <c r="BN41">
        <v>21.9313648540152</v>
      </c>
      <c r="BO41">
        <v>214.243796680081</v>
      </c>
      <c r="BP41">
        <v>3.4652265364227102</v>
      </c>
      <c r="BQ41">
        <v>0.29129893878500601</v>
      </c>
      <c r="BR41">
        <v>206.585470893495</v>
      </c>
      <c r="BS41">
        <v>2.1961689636473101</v>
      </c>
      <c r="BT41">
        <v>0.29101137788047998</v>
      </c>
      <c r="BU41">
        <v>3.4758905104647</v>
      </c>
      <c r="BV41">
        <v>1.69191546734729</v>
      </c>
      <c r="BW41">
        <v>0.531277587679165</v>
      </c>
      <c r="BX41">
        <v>1.25269745543824</v>
      </c>
      <c r="BY41">
        <v>0</v>
      </c>
      <c r="BZ41">
        <v>3.05799053471923</v>
      </c>
      <c r="CA41">
        <v>0.40723600170347501</v>
      </c>
      <c r="CB41">
        <v>0.29237074532965002</v>
      </c>
      <c r="CC41">
        <v>0.24561564648800799</v>
      </c>
      <c r="CD41">
        <v>4.5683292296998003E-2</v>
      </c>
      <c r="CE41">
        <v>21.5248094203553</v>
      </c>
      <c r="CF41">
        <v>164.079343502895</v>
      </c>
      <c r="CG41">
        <v>42.200129435364197</v>
      </c>
      <c r="CH41">
        <v>0.39968681311550502</v>
      </c>
      <c r="CI41">
        <v>7.1686429021256801</v>
      </c>
      <c r="CJ41">
        <v>1.7119309644718199</v>
      </c>
      <c r="CK41">
        <v>9.5478928292831906</v>
      </c>
      <c r="CL41">
        <v>1.5178439412973499</v>
      </c>
      <c r="CM41">
        <v>9.6735867181777305E-2</v>
      </c>
      <c r="CN41">
        <v>4.4836432521765099E-2</v>
      </c>
      <c r="CO41">
        <v>0.63281501767909198</v>
      </c>
      <c r="CP41">
        <v>0.77094139546341101</v>
      </c>
      <c r="CQ41">
        <v>0.15178439412973399</v>
      </c>
      <c r="CR41">
        <v>42.506127390600597</v>
      </c>
      <c r="CS41">
        <v>1.5288500009616099</v>
      </c>
      <c r="CT41">
        <v>0.15288500009615999</v>
      </c>
      <c r="CU41">
        <v>1.4699999999999099E-2</v>
      </c>
      <c r="CV41">
        <v>2.0355048271392799E-3</v>
      </c>
      <c r="CW41">
        <v>2.22880093439022</v>
      </c>
      <c r="CX41">
        <v>2.0299999999998701E-2</v>
      </c>
      <c r="CY41">
        <v>5.8788477263329499E-3</v>
      </c>
      <c r="CZ41">
        <v>0</v>
      </c>
      <c r="DA41">
        <v>2.3999991000028401E-3</v>
      </c>
      <c r="DB41">
        <v>1.4976418514290001E-3</v>
      </c>
      <c r="DC41">
        <v>1.9999999999998699E-3</v>
      </c>
      <c r="DD41">
        <v>3.5768748234346801E-3</v>
      </c>
      <c r="DE41">
        <v>1.07406321440994E-3</v>
      </c>
      <c r="DF41">
        <v>2.3999990999999999E-3</v>
      </c>
      <c r="DG41">
        <v>0</v>
      </c>
      <c r="DH41">
        <v>0</v>
      </c>
      <c r="DI41">
        <v>0.23180769399998499</v>
      </c>
      <c r="DJ41">
        <v>1.8846155199998701E-2</v>
      </c>
      <c r="DK41">
        <v>2.3704835202721299</v>
      </c>
      <c r="DL41">
        <v>0.15473130027885901</v>
      </c>
      <c r="DM41">
        <v>74.789634323327405</v>
      </c>
      <c r="DN41">
        <v>222.450295275326</v>
      </c>
      <c r="DO41">
        <v>327.66000000000003</v>
      </c>
      <c r="DP41">
        <v>30.385460666365098</v>
      </c>
      <c r="DQ41">
        <v>157.94999999999899</v>
      </c>
      <c r="DR41">
        <v>169.71</v>
      </c>
      <c r="DS41">
        <v>155.90154701455799</v>
      </c>
      <c r="DT41">
        <v>0</v>
      </c>
      <c r="DU41">
        <v>0</v>
      </c>
      <c r="DV41">
        <v>0</v>
      </c>
      <c r="DW41">
        <v>0</v>
      </c>
      <c r="DX41">
        <v>0</v>
      </c>
      <c r="DY41">
        <v>0</v>
      </c>
      <c r="DZ41">
        <v>0</v>
      </c>
      <c r="EA41">
        <v>0</v>
      </c>
      <c r="EB41">
        <v>0</v>
      </c>
      <c r="EC41">
        <v>0</v>
      </c>
      <c r="ED41">
        <v>0</v>
      </c>
      <c r="EE41">
        <v>0</v>
      </c>
      <c r="EF41">
        <v>1.2817190655998401</v>
      </c>
      <c r="EG41">
        <v>0</v>
      </c>
      <c r="EH41">
        <v>0</v>
      </c>
      <c r="EI41">
        <v>0</v>
      </c>
      <c r="EJ41">
        <v>0</v>
      </c>
      <c r="EK41">
        <v>0</v>
      </c>
      <c r="EL41">
        <v>0</v>
      </c>
      <c r="EM41">
        <v>0</v>
      </c>
      <c r="EN41">
        <v>0</v>
      </c>
      <c r="EO41">
        <v>0</v>
      </c>
      <c r="EP41">
        <v>0</v>
      </c>
      <c r="EQ41">
        <v>0</v>
      </c>
      <c r="ER41">
        <v>0</v>
      </c>
      <c r="ES41">
        <v>0</v>
      </c>
      <c r="ET41">
        <v>0</v>
      </c>
      <c r="EU41">
        <v>0</v>
      </c>
      <c r="EV41">
        <v>811.56702849588305</v>
      </c>
      <c r="EW41">
        <v>-28.649999999999899</v>
      </c>
      <c r="EX41">
        <v>1464.29516968027</v>
      </c>
      <c r="EY41">
        <v>833.01520747515406</v>
      </c>
      <c r="EZ41">
        <v>94.344308781029895</v>
      </c>
      <c r="FA41">
        <v>660.95859387724704</v>
      </c>
      <c r="FB41">
        <v>708.99224853515602</v>
      </c>
      <c r="FC41">
        <v>0.40690700377258199</v>
      </c>
      <c r="FD41">
        <v>0.74208017444777197</v>
      </c>
      <c r="FE41">
        <v>0</v>
      </c>
      <c r="FF41">
        <v>1</v>
      </c>
      <c r="FG41" s="159">
        <v>5.9199335899281399E-13</v>
      </c>
      <c r="FH41">
        <v>0</v>
      </c>
      <c r="FI41">
        <v>5.4512674794765098E-5</v>
      </c>
      <c r="FJ41">
        <v>-5.3321351140928896E-3</v>
      </c>
      <c r="FK41" s="159">
        <v>6.57534000000779E-6</v>
      </c>
      <c r="FL41" s="159">
        <v>2.6126307536578099E-6</v>
      </c>
      <c r="FM41" s="159">
        <v>4.1029878647386402E-6</v>
      </c>
      <c r="FN41">
        <v>0</v>
      </c>
      <c r="FO41">
        <v>0</v>
      </c>
      <c r="FP41">
        <v>0</v>
      </c>
      <c r="FQ41">
        <v>0</v>
      </c>
      <c r="FR41">
        <v>0</v>
      </c>
      <c r="FS41">
        <v>0</v>
      </c>
      <c r="FT41">
        <v>0</v>
      </c>
      <c r="FU41">
        <v>0</v>
      </c>
      <c r="FV41">
        <v>-999</v>
      </c>
      <c r="FW41">
        <v>0.481435741079839</v>
      </c>
      <c r="FX41">
        <v>3.2025134977363601E-3</v>
      </c>
      <c r="FY41">
        <v>1.1970683827814399</v>
      </c>
      <c r="FZ41">
        <v>9.4720970183844995E-4</v>
      </c>
      <c r="GA41">
        <v>42.615145318228301</v>
      </c>
      <c r="GB41">
        <v>1.0612427302721101E-2</v>
      </c>
      <c r="GC41">
        <v>2.8682235953300301E-3</v>
      </c>
      <c r="GD41">
        <v>0</v>
      </c>
      <c r="GE41">
        <v>7.0179467949048396E-3</v>
      </c>
      <c r="GF41">
        <v>0.42028559740113902</v>
      </c>
      <c r="GG41">
        <v>5.5878061714655103E-4</v>
      </c>
      <c r="GH41">
        <v>9.4340016311612492E-3</v>
      </c>
      <c r="GI41">
        <v>1.8536875632677599E-2</v>
      </c>
      <c r="GJ41">
        <v>9.1261118287108798E-4</v>
      </c>
      <c r="GK41">
        <v>1.77096185070605E-3</v>
      </c>
      <c r="GL41">
        <v>0.39377618680190002</v>
      </c>
      <c r="GM41">
        <v>6.5835333891420796E-3</v>
      </c>
      <c r="GN41">
        <v>5.4540191882284099E-4</v>
      </c>
      <c r="GO41">
        <v>0</v>
      </c>
      <c r="GP41">
        <v>0</v>
      </c>
      <c r="GQ41">
        <v>0</v>
      </c>
      <c r="GR41">
        <v>6.0526962244472397E-2</v>
      </c>
      <c r="GS41">
        <v>1.12390442928513E-3</v>
      </c>
      <c r="GT41">
        <v>1.2607837799740701E-4</v>
      </c>
      <c r="GU41">
        <v>3.8027377899223197E-2</v>
      </c>
      <c r="GV41">
        <v>7.0611735448427595E-4</v>
      </c>
      <c r="GW41">
        <v>7.9211477781810302E-5</v>
      </c>
      <c r="GX41">
        <v>0.12090806291428199</v>
      </c>
      <c r="GY41">
        <v>0.131501874074133</v>
      </c>
      <c r="GZ41">
        <v>58.943472493570802</v>
      </c>
      <c r="HA41">
        <v>676.56958990114094</v>
      </c>
      <c r="HB41">
        <v>0</v>
      </c>
      <c r="HC41">
        <v>0.99981307423241905</v>
      </c>
      <c r="HD41">
        <v>0.416140241242132</v>
      </c>
      <c r="HE41">
        <v>1.0803894240751399E-2</v>
      </c>
      <c r="HF41">
        <v>9.3539486961322798E-4</v>
      </c>
      <c r="HG41">
        <v>1.2811369456772101E-2</v>
      </c>
      <c r="HH41" s="159">
        <v>4.7618765572453202E-7</v>
      </c>
      <c r="HI41" s="159">
        <v>3.3333254511933498E-7</v>
      </c>
      <c r="HJ41">
        <v>0</v>
      </c>
      <c r="HK41">
        <v>0</v>
      </c>
      <c r="HL41">
        <v>0</v>
      </c>
      <c r="HM41">
        <v>0</v>
      </c>
      <c r="HN41">
        <v>0</v>
      </c>
      <c r="HO41">
        <v>1.13319105335514E-2</v>
      </c>
      <c r="HP41">
        <v>0.54764211531626505</v>
      </c>
      <c r="HQ41">
        <v>1.0803894240751399E-2</v>
      </c>
      <c r="HR41">
        <v>9.3539486961322798E-4</v>
      </c>
      <c r="HS41">
        <v>0.72296519110961999</v>
      </c>
      <c r="HT41">
        <v>-999</v>
      </c>
      <c r="HU41">
        <v>1</v>
      </c>
      <c r="HV41">
        <v>0.79345321423434001</v>
      </c>
      <c r="HW41">
        <v>0.20654678576565899</v>
      </c>
      <c r="HX41">
        <v>12516.2268283514</v>
      </c>
      <c r="HY41">
        <v>400.40492070329299</v>
      </c>
      <c r="HZ41">
        <v>40.247649565535397</v>
      </c>
      <c r="IA41">
        <v>-0.131501874074133</v>
      </c>
      <c r="IB41">
        <v>0</v>
      </c>
      <c r="IC41">
        <v>0</v>
      </c>
      <c r="ID41">
        <v>0</v>
      </c>
      <c r="IE41">
        <v>0</v>
      </c>
      <c r="IF41">
        <v>0</v>
      </c>
      <c r="IG41">
        <v>0</v>
      </c>
      <c r="IH41">
        <v>0</v>
      </c>
      <c r="II41">
        <v>46.337800049999601</v>
      </c>
      <c r="IJ41">
        <v>463.37800049999902</v>
      </c>
      <c r="IK41">
        <v>1.04044734669033E-2</v>
      </c>
      <c r="IL41">
        <v>2.26538460144526E-3</v>
      </c>
      <c r="IM41">
        <v>1.26698580683486E-2</v>
      </c>
      <c r="IN41">
        <v>9.6434795651898896E-4</v>
      </c>
      <c r="IO41">
        <v>0.42293432051304602</v>
      </c>
      <c r="IP41">
        <v>1.8588445027707502E-2</v>
      </c>
      <c r="IQ41">
        <v>1.68239494554337E-3</v>
      </c>
      <c r="IR41">
        <v>0.29505387552443602</v>
      </c>
      <c r="IS41">
        <v>0.24145962921022501</v>
      </c>
      <c r="IT41">
        <v>0.26678391158238002</v>
      </c>
      <c r="IU41">
        <v>0.29814591015337699</v>
      </c>
      <c r="IV41">
        <v>1.41000859837226E-2</v>
      </c>
      <c r="IW41">
        <v>1.23355904114489E-3</v>
      </c>
      <c r="IX41">
        <v>7.4965901048289499E-2</v>
      </c>
      <c r="IY41">
        <v>2.69635520631102E-3</v>
      </c>
      <c r="IZ41">
        <v>2.6963552063109997E-4</v>
      </c>
      <c r="JA41">
        <v>7.5091296514366204E-2</v>
      </c>
      <c r="JB41">
        <v>2.7008653997866602E-3</v>
      </c>
      <c r="JC41">
        <v>2.70086539978664E-4</v>
      </c>
      <c r="JD41">
        <v>1.72787868788451E-4</v>
      </c>
      <c r="JE41">
        <v>3.2107962544614798E-3</v>
      </c>
      <c r="JF41" s="159">
        <v>-3.1848438816761601E-19</v>
      </c>
      <c r="JG41">
        <v>0</v>
      </c>
      <c r="JH41">
        <v>4.1310933151606603E-3</v>
      </c>
      <c r="JI41">
        <v>5.3929762460456501E-4</v>
      </c>
      <c r="JJ41">
        <v>-0.50473908074187701</v>
      </c>
      <c r="JK41">
        <v>1.72787868788451E-4</v>
      </c>
      <c r="JL41" s="159">
        <v>6.5753399999999896E-6</v>
      </c>
      <c r="JM41">
        <v>-0.50473908074187701</v>
      </c>
      <c r="JN41">
        <v>0</v>
      </c>
      <c r="JO41">
        <v>1.3693035557468101</v>
      </c>
      <c r="JP41">
        <v>-1.2063630450557999E-2</v>
      </c>
      <c r="JQ41">
        <v>8.2312427656518704E-4</v>
      </c>
      <c r="JR41">
        <v>3.46097349811351E-2</v>
      </c>
      <c r="JS41">
        <v>1542.0074744953099</v>
      </c>
      <c r="JT41">
        <v>4.7066556990326497E-2</v>
      </c>
      <c r="JU41">
        <v>0</v>
      </c>
      <c r="JV41">
        <v>365</v>
      </c>
      <c r="JW41">
        <v>0</v>
      </c>
      <c r="JX41">
        <v>-0.40268092994350901</v>
      </c>
      <c r="JY41">
        <v>0</v>
      </c>
      <c r="JZ41">
        <v>1.3180720916165201</v>
      </c>
      <c r="KA41">
        <v>1.40229718784293</v>
      </c>
      <c r="KB41">
        <v>1.4277367500509599</v>
      </c>
      <c r="KC41">
        <v>0</v>
      </c>
      <c r="KD41">
        <v>0</v>
      </c>
      <c r="KE41">
        <v>0</v>
      </c>
      <c r="KF41">
        <v>3.5511277553614798E-3</v>
      </c>
      <c r="KG41">
        <v>2.2284798891281501E-2</v>
      </c>
      <c r="KH41">
        <v>3.9073567178882697E-2</v>
      </c>
      <c r="KI41">
        <v>0</v>
      </c>
      <c r="KJ41">
        <v>0</v>
      </c>
      <c r="KK41">
        <v>0</v>
      </c>
      <c r="KL41">
        <v>0</v>
      </c>
      <c r="KM41">
        <v>0</v>
      </c>
      <c r="KN41">
        <v>0</v>
      </c>
      <c r="KO41">
        <v>0</v>
      </c>
      <c r="KP41">
        <v>0</v>
      </c>
      <c r="KQ41">
        <v>0</v>
      </c>
      <c r="KR41">
        <v>0</v>
      </c>
      <c r="KS41">
        <v>0</v>
      </c>
      <c r="KT41">
        <v>0</v>
      </c>
      <c r="KU41">
        <v>0.34999999999999898</v>
      </c>
      <c r="KV41">
        <v>-0.115776821455469</v>
      </c>
      <c r="KW41">
        <v>1.83606037008611E-3</v>
      </c>
      <c r="KX41">
        <v>33047.929693862301</v>
      </c>
      <c r="KY41">
        <v>0</v>
      </c>
      <c r="KZ41">
        <v>0.210289498694017</v>
      </c>
      <c r="LA41">
        <v>1.73602675993533E-5</v>
      </c>
      <c r="LB41">
        <v>0</v>
      </c>
      <c r="LC41">
        <v>-12.1468595151701</v>
      </c>
      <c r="LD41">
        <v>1.5711703235239599E-2</v>
      </c>
      <c r="LE41">
        <v>3.4072672030562301E-3</v>
      </c>
      <c r="LF41">
        <v>1.5711703235239599E-2</v>
      </c>
      <c r="LG41">
        <v>0.947079551927139</v>
      </c>
      <c r="LH41">
        <v>1.23418130900811</v>
      </c>
      <c r="LI41">
        <v>0</v>
      </c>
      <c r="LJ41">
        <v>0</v>
      </c>
      <c r="LK41">
        <v>0.242225101892832</v>
      </c>
      <c r="LL41">
        <v>0</v>
      </c>
      <c r="LM41">
        <v>0</v>
      </c>
      <c r="LN41">
        <v>0</v>
      </c>
      <c r="LO41">
        <v>0</v>
      </c>
      <c r="LP41">
        <v>0</v>
      </c>
      <c r="LQ41">
        <v>0</v>
      </c>
      <c r="LR41">
        <v>0</v>
      </c>
      <c r="LS41">
        <v>0</v>
      </c>
      <c r="LT41">
        <v>-999</v>
      </c>
      <c r="LU41">
        <v>0.42563845172770698</v>
      </c>
      <c r="LV41">
        <v>40</v>
      </c>
      <c r="LW41">
        <v>154.44</v>
      </c>
      <c r="LX41">
        <v>1.4429999999999901</v>
      </c>
      <c r="LY41">
        <v>0</v>
      </c>
      <c r="LZ41">
        <v>-999</v>
      </c>
      <c r="MA41">
        <v>0</v>
      </c>
      <c r="MB41">
        <v>0</v>
      </c>
      <c r="MC41">
        <v>554.44000000000005</v>
      </c>
      <c r="MD41">
        <v>-23.6999999999999</v>
      </c>
      <c r="ME41">
        <v>-33.6</v>
      </c>
      <c r="MF41">
        <v>0</v>
      </c>
      <c r="MG41">
        <v>8.0706896550000007</v>
      </c>
      <c r="MH41">
        <v>0</v>
      </c>
      <c r="MI41">
        <v>0</v>
      </c>
      <c r="MJ41">
        <v>0</v>
      </c>
      <c r="MK41">
        <v>0</v>
      </c>
      <c r="ML41">
        <v>0</v>
      </c>
      <c r="MM41">
        <v>0</v>
      </c>
      <c r="MN41">
        <v>0</v>
      </c>
      <c r="MO41">
        <v>0</v>
      </c>
      <c r="MP41">
        <v>0</v>
      </c>
      <c r="MQ41">
        <v>0</v>
      </c>
      <c r="MR41">
        <v>0</v>
      </c>
      <c r="MS41">
        <v>0</v>
      </c>
      <c r="MT41">
        <v>0</v>
      </c>
      <c r="MU41">
        <v>0</v>
      </c>
      <c r="MV41">
        <v>0</v>
      </c>
    </row>
    <row r="42" spans="1:360" x14ac:dyDescent="0.25">
      <c r="A42">
        <v>14965</v>
      </c>
      <c r="B42">
        <v>0</v>
      </c>
      <c r="C42">
        <v>-33.6</v>
      </c>
      <c r="D42">
        <v>-23.6999999999999</v>
      </c>
      <c r="E42">
        <v>400</v>
      </c>
      <c r="F42">
        <v>0</v>
      </c>
      <c r="G42">
        <v>0</v>
      </c>
      <c r="H42">
        <v>0</v>
      </c>
      <c r="I42">
        <v>0</v>
      </c>
      <c r="J42">
        <v>0</v>
      </c>
      <c r="K42">
        <v>0</v>
      </c>
      <c r="L42" s="159">
        <v>6.5753399999999896E-6</v>
      </c>
      <c r="M42">
        <v>0</v>
      </c>
      <c r="N42">
        <v>0</v>
      </c>
      <c r="O42">
        <v>0</v>
      </c>
      <c r="P42">
        <v>0</v>
      </c>
      <c r="Q42">
        <v>0</v>
      </c>
      <c r="R42">
        <v>0</v>
      </c>
      <c r="S42">
        <v>0</v>
      </c>
      <c r="T42">
        <v>0</v>
      </c>
      <c r="U42">
        <v>696.02963636978905</v>
      </c>
      <c r="V42">
        <v>13.824255370359401</v>
      </c>
      <c r="W42">
        <v>1.33741453167103</v>
      </c>
      <c r="X42">
        <v>0.33288840281773902</v>
      </c>
      <c r="Y42">
        <v>0.27686554640295402</v>
      </c>
      <c r="Z42">
        <v>0.39024605077930602</v>
      </c>
      <c r="AA42">
        <v>0.11247838178061199</v>
      </c>
      <c r="AB42">
        <v>0.50624478503571602</v>
      </c>
      <c r="AC42">
        <v>0.381276833183671</v>
      </c>
      <c r="AD42">
        <v>0.88453775548873903</v>
      </c>
      <c r="AE42">
        <v>4.22129323931126E-2</v>
      </c>
      <c r="AF42">
        <v>7.3249312118148197E-2</v>
      </c>
      <c r="AG42">
        <v>0</v>
      </c>
      <c r="AH42">
        <v>3412.86908459919</v>
      </c>
      <c r="AI42">
        <v>79.944141531647205</v>
      </c>
      <c r="AJ42">
        <v>8.1128798496601</v>
      </c>
      <c r="AK42">
        <v>403.35633695614501</v>
      </c>
      <c r="AL42">
        <v>7.4897856570794303</v>
      </c>
      <c r="AM42">
        <v>0.84019601897417895</v>
      </c>
      <c r="AN42">
        <v>8700.8086440786701</v>
      </c>
      <c r="AO42">
        <v>312.948558724924</v>
      </c>
      <c r="AP42">
        <v>31.294855872492199</v>
      </c>
      <c r="AQ42">
        <v>2.98874550297668E-2</v>
      </c>
      <c r="AR42">
        <v>6.1595217256272296E-3</v>
      </c>
      <c r="AS42">
        <v>2.1617426167805501E-2</v>
      </c>
      <c r="AT42">
        <v>9.48</v>
      </c>
      <c r="AU42">
        <v>5.9899169794137102</v>
      </c>
      <c r="AV42">
        <v>0</v>
      </c>
      <c r="AW42">
        <v>84.8066714051687</v>
      </c>
      <c r="AX42">
        <v>66.426299268244094</v>
      </c>
      <c r="AY42">
        <v>361.50754269480899</v>
      </c>
      <c r="AZ42">
        <v>0.54833294000257904</v>
      </c>
      <c r="BA42">
        <v>0.83500999820592503</v>
      </c>
      <c r="BB42">
        <v>1.3988098295458299E-2</v>
      </c>
      <c r="BC42">
        <v>1.1690108123832399E-3</v>
      </c>
      <c r="BD42">
        <v>0.59494983214379304</v>
      </c>
      <c r="BE42">
        <v>9.2335334347813693E-3</v>
      </c>
      <c r="BF42">
        <v>7.5460994169853203E-4</v>
      </c>
      <c r="BG42">
        <v>766.29999847710098</v>
      </c>
      <c r="BH42">
        <v>-1626.59999865293</v>
      </c>
      <c r="BI42">
        <v>425.38985316768901</v>
      </c>
      <c r="BJ42">
        <v>210.123147464825</v>
      </c>
      <c r="BK42">
        <v>3.4410913701358301</v>
      </c>
      <c r="BL42">
        <v>4.6356423863507796</v>
      </c>
      <c r="BM42">
        <v>192.328897671004</v>
      </c>
      <c r="BN42">
        <v>21.940461408515699</v>
      </c>
      <c r="BO42">
        <v>214.26935907952</v>
      </c>
      <c r="BP42">
        <v>3.4666084148757101</v>
      </c>
      <c r="BQ42">
        <v>0.291449722662799</v>
      </c>
      <c r="BR42">
        <v>206.68205609468899</v>
      </c>
      <c r="BS42">
        <v>2.1967986301236602</v>
      </c>
      <c r="BT42">
        <v>0.29116754707164599</v>
      </c>
      <c r="BU42">
        <v>3.4767007659698099</v>
      </c>
      <c r="BV42">
        <v>1.69324670066149</v>
      </c>
      <c r="BW42">
        <v>0.53057774467297203</v>
      </c>
      <c r="BX42">
        <v>1.2528763206353399</v>
      </c>
      <c r="BY42">
        <v>0</v>
      </c>
      <c r="BZ42">
        <v>3.0592035023676099</v>
      </c>
      <c r="CA42">
        <v>0.40740491250810301</v>
      </c>
      <c r="CB42">
        <v>0.29253210745948999</v>
      </c>
      <c r="CC42">
        <v>0.24574748213522299</v>
      </c>
      <c r="CD42">
        <v>4.5702240527575898E-2</v>
      </c>
      <c r="CE42">
        <v>21.547289641747401</v>
      </c>
      <c r="CF42">
        <v>164.175212847811</v>
      </c>
      <c r="CG42">
        <v>42.205176148411098</v>
      </c>
      <c r="CH42">
        <v>0.40010424064626199</v>
      </c>
      <c r="CI42">
        <v>7.1775720221467196</v>
      </c>
      <c r="CJ42">
        <v>1.71384773797234</v>
      </c>
      <c r="CK42">
        <v>9.5593426415375102</v>
      </c>
      <c r="CL42">
        <v>1.51802546023875</v>
      </c>
      <c r="CM42">
        <v>9.6892053831018607E-2</v>
      </c>
      <c r="CN42">
        <v>4.48832590887202E-2</v>
      </c>
      <c r="CO42">
        <v>0.62980954182965798</v>
      </c>
      <c r="CP42">
        <v>0.76808951403078296</v>
      </c>
      <c r="CQ42">
        <v>0.151802546023874</v>
      </c>
      <c r="CR42">
        <v>42.5068432468778</v>
      </c>
      <c r="CS42">
        <v>1.52887574870522</v>
      </c>
      <c r="CT42">
        <v>0.15288757487052099</v>
      </c>
      <c r="CU42">
        <v>1.46999999999998E-2</v>
      </c>
      <c r="CV42">
        <v>2.04066708210114E-3</v>
      </c>
      <c r="CW42">
        <v>2.23002645503855</v>
      </c>
      <c r="CX42">
        <v>2.0299999999999801E-2</v>
      </c>
      <c r="CY42">
        <v>5.89175419222864E-3</v>
      </c>
      <c r="CZ42">
        <v>0</v>
      </c>
      <c r="DA42">
        <v>2.3999991000028501E-3</v>
      </c>
      <c r="DB42">
        <v>1.49753528469444E-3</v>
      </c>
      <c r="DC42">
        <v>1.9999999999999801E-3</v>
      </c>
      <c r="DD42">
        <v>3.5663605781722698E-3</v>
      </c>
      <c r="DE42">
        <v>1.06844484080307E-3</v>
      </c>
      <c r="DF42">
        <v>2.3999990999999999E-3</v>
      </c>
      <c r="DG42">
        <v>0</v>
      </c>
      <c r="DH42">
        <v>0</v>
      </c>
      <c r="DI42">
        <v>0.23180769399999801</v>
      </c>
      <c r="DJ42">
        <v>1.8846155199999801E-2</v>
      </c>
      <c r="DK42">
        <v>2.37623100993906</v>
      </c>
      <c r="DL42">
        <v>0.15510646278975601</v>
      </c>
      <c r="DM42">
        <v>74.293948926805896</v>
      </c>
      <c r="DN42">
        <v>222.98842235228</v>
      </c>
      <c r="DO42">
        <v>327.66000000000003</v>
      </c>
      <c r="DP42">
        <v>30.339713185523699</v>
      </c>
      <c r="DQ42">
        <v>157.94999999999899</v>
      </c>
      <c r="DR42">
        <v>169.71</v>
      </c>
      <c r="DS42">
        <v>155.92954567095299</v>
      </c>
      <c r="DT42">
        <v>0</v>
      </c>
      <c r="DU42">
        <v>0</v>
      </c>
      <c r="DV42">
        <v>0</v>
      </c>
      <c r="DW42">
        <v>0</v>
      </c>
      <c r="DX42">
        <v>0</v>
      </c>
      <c r="DY42">
        <v>0</v>
      </c>
      <c r="DZ42">
        <v>0</v>
      </c>
      <c r="EA42">
        <v>0</v>
      </c>
      <c r="EB42">
        <v>0</v>
      </c>
      <c r="EC42">
        <v>0</v>
      </c>
      <c r="ED42">
        <v>0</v>
      </c>
      <c r="EE42">
        <v>0</v>
      </c>
      <c r="EF42">
        <v>1.2801972276498499</v>
      </c>
      <c r="EG42">
        <v>0</v>
      </c>
      <c r="EH42">
        <v>0</v>
      </c>
      <c r="EI42">
        <v>0</v>
      </c>
      <c r="EJ42">
        <v>0</v>
      </c>
      <c r="EK42">
        <v>0</v>
      </c>
      <c r="EL42">
        <v>0</v>
      </c>
      <c r="EM42">
        <v>0</v>
      </c>
      <c r="EN42">
        <v>0</v>
      </c>
      <c r="EO42">
        <v>0</v>
      </c>
      <c r="EP42">
        <v>0</v>
      </c>
      <c r="EQ42">
        <v>0</v>
      </c>
      <c r="ER42">
        <v>0</v>
      </c>
      <c r="ES42">
        <v>0</v>
      </c>
      <c r="ET42">
        <v>0</v>
      </c>
      <c r="EU42">
        <v>0</v>
      </c>
      <c r="EV42">
        <v>812.06838829333606</v>
      </c>
      <c r="EW42">
        <v>-28.649999999999899</v>
      </c>
      <c r="EX42">
        <v>1465.3255502521799</v>
      </c>
      <c r="EY42">
        <v>833.28786193851295</v>
      </c>
      <c r="EZ42">
        <v>94.109709928925795</v>
      </c>
      <c r="FA42">
        <v>661.65908849936295</v>
      </c>
      <c r="FB42">
        <v>709.55676269531205</v>
      </c>
      <c r="FC42">
        <v>0.405895178923457</v>
      </c>
      <c r="FD42">
        <v>0.74023489984305302</v>
      </c>
      <c r="FE42">
        <v>0</v>
      </c>
      <c r="FF42">
        <v>1</v>
      </c>
      <c r="FG42" s="159">
        <v>5.8970943399671198E-13</v>
      </c>
      <c r="FH42">
        <v>0</v>
      </c>
      <c r="FI42">
        <v>5.4512674794765098E-5</v>
      </c>
      <c r="FJ42">
        <v>-5.3172075414232101E-3</v>
      </c>
      <c r="FK42" s="159">
        <v>6.57534000000779E-6</v>
      </c>
      <c r="FL42" s="159">
        <v>2.6003053213752001E-6</v>
      </c>
      <c r="FM42" s="159">
        <v>4.1026939663788897E-6</v>
      </c>
      <c r="FN42">
        <v>0</v>
      </c>
      <c r="FO42">
        <v>0</v>
      </c>
      <c r="FP42">
        <v>0</v>
      </c>
      <c r="FQ42">
        <v>0</v>
      </c>
      <c r="FR42">
        <v>0</v>
      </c>
      <c r="FS42">
        <v>0</v>
      </c>
      <c r="FT42">
        <v>0</v>
      </c>
      <c r="FU42">
        <v>0</v>
      </c>
      <c r="FV42">
        <v>-999</v>
      </c>
      <c r="FW42">
        <v>0.48195784150664001</v>
      </c>
      <c r="FX42">
        <v>3.2036768832343198E-3</v>
      </c>
      <c r="FY42">
        <v>1.19877671183819</v>
      </c>
      <c r="FZ42">
        <v>9.4601515955281305E-4</v>
      </c>
      <c r="GA42">
        <v>42.582139507396199</v>
      </c>
      <c r="GB42">
        <v>1.06048887716211E-2</v>
      </c>
      <c r="GC42">
        <v>2.8661861544922E-3</v>
      </c>
      <c r="GD42">
        <v>0</v>
      </c>
      <c r="GE42">
        <v>7.0158781972793297E-3</v>
      </c>
      <c r="GF42">
        <v>0.41830284432251502</v>
      </c>
      <c r="GG42">
        <v>5.5877386772232199E-4</v>
      </c>
      <c r="GH42">
        <v>9.4342553216110996E-3</v>
      </c>
      <c r="GI42">
        <v>1.85334943124793E-2</v>
      </c>
      <c r="GJ42">
        <v>9.1270812239700305E-4</v>
      </c>
      <c r="GK42">
        <v>1.7706487213821401E-3</v>
      </c>
      <c r="GL42">
        <v>0.39410058331722703</v>
      </c>
      <c r="GM42">
        <v>6.5903328501119999E-3</v>
      </c>
      <c r="GN42">
        <v>5.4601197204322998E-4</v>
      </c>
      <c r="GO42">
        <v>0</v>
      </c>
      <c r="GP42">
        <v>0</v>
      </c>
      <c r="GQ42">
        <v>0</v>
      </c>
      <c r="GR42">
        <v>6.05510538538339E-2</v>
      </c>
      <c r="GS42">
        <v>1.12435177812713E-3</v>
      </c>
      <c r="GT42">
        <v>1.26128561104555E-4</v>
      </c>
      <c r="GU42">
        <v>3.8064641793739598E-2</v>
      </c>
      <c r="GV42">
        <v>7.0680929497734504E-4</v>
      </c>
      <c r="GW42">
        <v>7.9289098914678497E-5</v>
      </c>
      <c r="GX42">
        <v>0.121035901930096</v>
      </c>
      <c r="GY42">
        <v>0.131621092228633</v>
      </c>
      <c r="GZ42">
        <v>58.933275834353097</v>
      </c>
      <c r="HA42">
        <v>676.42347805127099</v>
      </c>
      <c r="HB42">
        <v>0</v>
      </c>
      <c r="HC42">
        <v>0.99981307148838405</v>
      </c>
      <c r="HD42">
        <v>0.416510720730284</v>
      </c>
      <c r="HE42">
        <v>1.08129207223521E-2</v>
      </c>
      <c r="HF42">
        <v>9.3618210091089198E-4</v>
      </c>
      <c r="HG42">
        <v>1.28311186482249E-2</v>
      </c>
      <c r="HH42" s="159">
        <v>4.7618766085771198E-7</v>
      </c>
      <c r="HI42" s="159">
        <v>3.3333254483643302E-7</v>
      </c>
      <c r="HJ42">
        <v>0</v>
      </c>
      <c r="HK42">
        <v>0</v>
      </c>
      <c r="HL42">
        <v>0</v>
      </c>
      <c r="HM42">
        <v>0</v>
      </c>
      <c r="HN42">
        <v>0</v>
      </c>
      <c r="HO42">
        <v>1.13496534071677E-2</v>
      </c>
      <c r="HP42">
        <v>0.548131812958918</v>
      </c>
      <c r="HQ42">
        <v>1.08129207223521E-2</v>
      </c>
      <c r="HR42">
        <v>9.3618210091089198E-4</v>
      </c>
      <c r="HS42">
        <v>0.72274834125523102</v>
      </c>
      <c r="HT42">
        <v>-999</v>
      </c>
      <c r="HU42">
        <v>0.999999999999999</v>
      </c>
      <c r="HV42">
        <v>0.79403423321217803</v>
      </c>
      <c r="HW42">
        <v>0.205965766787821</v>
      </c>
      <c r="HX42">
        <v>12517.034065633999</v>
      </c>
      <c r="HY42">
        <v>400.38248591365101</v>
      </c>
      <c r="HZ42">
        <v>40.2479317411265</v>
      </c>
      <c r="IA42">
        <v>-0.131621092228633</v>
      </c>
      <c r="IB42">
        <v>0</v>
      </c>
      <c r="IC42">
        <v>0</v>
      </c>
      <c r="ID42">
        <v>0</v>
      </c>
      <c r="IE42">
        <v>0</v>
      </c>
      <c r="IF42">
        <v>0</v>
      </c>
      <c r="IG42">
        <v>0</v>
      </c>
      <c r="IH42">
        <v>0</v>
      </c>
      <c r="II42">
        <v>46.337800049999601</v>
      </c>
      <c r="IJ42">
        <v>463.37800049999902</v>
      </c>
      <c r="IK42">
        <v>1.0422524533524199E-2</v>
      </c>
      <c r="IL42">
        <v>2.2700393143573801E-3</v>
      </c>
      <c r="IM42">
        <v>1.26925638478816E-2</v>
      </c>
      <c r="IN42">
        <v>9.6023361365136801E-4</v>
      </c>
      <c r="IO42">
        <v>0.42302481909584899</v>
      </c>
      <c r="IP42">
        <v>1.8610076224861299E-2</v>
      </c>
      <c r="IQ42">
        <v>1.6783321558863E-3</v>
      </c>
      <c r="IR42">
        <v>0.29491409059727802</v>
      </c>
      <c r="IS42">
        <v>0.24111629292524001</v>
      </c>
      <c r="IT42">
        <v>0.267360222745961</v>
      </c>
      <c r="IU42">
        <v>0.298268839272118</v>
      </c>
      <c r="IV42">
        <v>1.41228836344666E-2</v>
      </c>
      <c r="IW42">
        <v>1.2296128968468201E-3</v>
      </c>
      <c r="IX42">
        <v>7.4969299325956404E-2</v>
      </c>
      <c r="IY42">
        <v>2.6964774347315599E-3</v>
      </c>
      <c r="IZ42">
        <v>2.69647743473154E-4</v>
      </c>
      <c r="JA42">
        <v>7.5089009764864406E-2</v>
      </c>
      <c r="JB42">
        <v>2.7007831505394902E-3</v>
      </c>
      <c r="JC42">
        <v>2.70078315053947E-4</v>
      </c>
      <c r="JD42">
        <v>1.73046068367322E-4</v>
      </c>
      <c r="JE42">
        <v>3.2142679971330001E-3</v>
      </c>
      <c r="JF42" s="159">
        <v>6.7762635780343997E-21</v>
      </c>
      <c r="JG42">
        <v>0</v>
      </c>
      <c r="JH42">
        <v>4.1311029371245301E-3</v>
      </c>
      <c r="JI42">
        <v>5.3945759824940804E-4</v>
      </c>
      <c r="JJ42">
        <v>-0.50497894126561704</v>
      </c>
      <c r="JK42">
        <v>1.73046068367322E-4</v>
      </c>
      <c r="JL42" s="159">
        <v>6.5753399999999896E-6</v>
      </c>
      <c r="JM42">
        <v>-0.50497894126561704</v>
      </c>
      <c r="JN42">
        <v>0</v>
      </c>
      <c r="JO42">
        <v>1.29666805419658</v>
      </c>
      <c r="JP42">
        <v>-1.2300675033068E-2</v>
      </c>
      <c r="JQ42">
        <v>8.3363852182771097E-4</v>
      </c>
      <c r="JR42">
        <v>3.7915535389515698E-2</v>
      </c>
      <c r="JS42">
        <v>1542.8446137606099</v>
      </c>
      <c r="JT42">
        <v>4.6949520144946098E-2</v>
      </c>
      <c r="JU42">
        <v>0</v>
      </c>
      <c r="JV42">
        <v>365</v>
      </c>
      <c r="JW42">
        <v>0</v>
      </c>
      <c r="JX42">
        <v>-0.40268092994350901</v>
      </c>
      <c r="JY42">
        <v>0</v>
      </c>
      <c r="JZ42">
        <v>1.3184521844130599</v>
      </c>
      <c r="KA42">
        <v>1.40246145823435</v>
      </c>
      <c r="KB42">
        <v>1.4279472936090001</v>
      </c>
      <c r="KC42">
        <v>0</v>
      </c>
      <c r="KD42">
        <v>0</v>
      </c>
      <c r="KE42">
        <v>0</v>
      </c>
      <c r="KF42">
        <v>3.5524946755019298E-3</v>
      </c>
      <c r="KG42">
        <v>2.2299648792632801E-2</v>
      </c>
      <c r="KH42">
        <v>3.9014440942836598E-2</v>
      </c>
      <c r="KI42">
        <v>0</v>
      </c>
      <c r="KJ42">
        <v>0</v>
      </c>
      <c r="KK42">
        <v>0</v>
      </c>
      <c r="KL42">
        <v>0</v>
      </c>
      <c r="KM42">
        <v>0</v>
      </c>
      <c r="KN42">
        <v>0</v>
      </c>
      <c r="KO42">
        <v>0</v>
      </c>
      <c r="KP42">
        <v>0</v>
      </c>
      <c r="KQ42">
        <v>0</v>
      </c>
      <c r="KR42">
        <v>0</v>
      </c>
      <c r="KS42">
        <v>0</v>
      </c>
      <c r="KT42">
        <v>0</v>
      </c>
      <c r="KU42">
        <v>0.34999999999999898</v>
      </c>
      <c r="KV42">
        <v>-0.115712180731948</v>
      </c>
      <c r="KW42">
        <v>1.8350881995017501E-3</v>
      </c>
      <c r="KX42">
        <v>33082.954424968098</v>
      </c>
      <c r="KY42">
        <v>0</v>
      </c>
      <c r="KZ42">
        <v>0.21029668698217399</v>
      </c>
      <c r="LA42">
        <v>1.73602675993533E-5</v>
      </c>
      <c r="LB42">
        <v>0</v>
      </c>
      <c r="LC42">
        <v>-12.1462417200029</v>
      </c>
      <c r="LD42">
        <v>1.5712091390997801E-2</v>
      </c>
      <c r="LE42">
        <v>3.4076333877338101E-3</v>
      </c>
      <c r="LF42">
        <v>1.5712091390997801E-2</v>
      </c>
      <c r="LG42">
        <v>0.94736765312097104</v>
      </c>
      <c r="LH42">
        <v>1.23450869672837</v>
      </c>
      <c r="LI42">
        <v>0</v>
      </c>
      <c r="LJ42">
        <v>0</v>
      </c>
      <c r="LK42">
        <v>0.242304775443339</v>
      </c>
      <c r="LL42">
        <v>0</v>
      </c>
      <c r="LM42">
        <v>0</v>
      </c>
      <c r="LN42">
        <v>0</v>
      </c>
      <c r="LO42">
        <v>0</v>
      </c>
      <c r="LP42">
        <v>0</v>
      </c>
      <c r="LQ42">
        <v>0</v>
      </c>
      <c r="LR42">
        <v>0</v>
      </c>
      <c r="LS42">
        <v>0</v>
      </c>
      <c r="LT42">
        <v>-999</v>
      </c>
      <c r="LU42">
        <v>0.42564024672051698</v>
      </c>
      <c r="LV42">
        <v>41</v>
      </c>
      <c r="LW42">
        <v>158.4</v>
      </c>
      <c r="LX42">
        <v>1.48</v>
      </c>
      <c r="LY42">
        <v>0</v>
      </c>
      <c r="LZ42">
        <v>-999</v>
      </c>
      <c r="MA42">
        <v>0</v>
      </c>
      <c r="MB42">
        <v>0</v>
      </c>
      <c r="MC42">
        <v>558.39999999999895</v>
      </c>
      <c r="MD42">
        <v>-23.6999999999999</v>
      </c>
      <c r="ME42">
        <v>-33.6</v>
      </c>
      <c r="MF42">
        <v>0</v>
      </c>
      <c r="MG42">
        <v>8.0706896550000007</v>
      </c>
      <c r="MH42">
        <v>0</v>
      </c>
      <c r="MI42">
        <v>0</v>
      </c>
      <c r="MJ42">
        <v>0</v>
      </c>
      <c r="MK42">
        <v>0</v>
      </c>
      <c r="ML42">
        <v>0</v>
      </c>
      <c r="MM42">
        <v>0</v>
      </c>
      <c r="MN42">
        <v>0</v>
      </c>
      <c r="MO42">
        <v>0</v>
      </c>
      <c r="MP42">
        <v>0</v>
      </c>
      <c r="MQ42">
        <v>0</v>
      </c>
      <c r="MR42">
        <v>0</v>
      </c>
      <c r="MS42">
        <v>0</v>
      </c>
      <c r="MT42">
        <v>0</v>
      </c>
      <c r="MU42">
        <v>0</v>
      </c>
      <c r="MV42">
        <v>0</v>
      </c>
    </row>
    <row r="43" spans="1:360" x14ac:dyDescent="0.25">
      <c r="A43">
        <v>15330</v>
      </c>
      <c r="B43">
        <v>0</v>
      </c>
      <c r="C43">
        <v>-33.6</v>
      </c>
      <c r="D43">
        <v>-23.6999999999999</v>
      </c>
      <c r="E43">
        <v>400</v>
      </c>
      <c r="F43">
        <v>0</v>
      </c>
      <c r="G43">
        <v>0</v>
      </c>
      <c r="H43">
        <v>0</v>
      </c>
      <c r="I43">
        <v>0</v>
      </c>
      <c r="J43">
        <v>0</v>
      </c>
      <c r="K43">
        <v>0</v>
      </c>
      <c r="L43" s="159">
        <v>6.5753399999999896E-6</v>
      </c>
      <c r="M43">
        <v>0</v>
      </c>
      <c r="N43">
        <v>0</v>
      </c>
      <c r="O43">
        <v>0</v>
      </c>
      <c r="P43">
        <v>0</v>
      </c>
      <c r="Q43">
        <v>0</v>
      </c>
      <c r="R43">
        <v>0</v>
      </c>
      <c r="S43">
        <v>0</v>
      </c>
      <c r="T43">
        <v>0</v>
      </c>
      <c r="U43">
        <v>696.59066613136099</v>
      </c>
      <c r="V43">
        <v>13.8342075216949</v>
      </c>
      <c r="W43">
        <v>1.3385094506411299</v>
      </c>
      <c r="X43">
        <v>0.33156600386247798</v>
      </c>
      <c r="Y43">
        <v>0.27662074237668799</v>
      </c>
      <c r="Z43">
        <v>0.39181325376083298</v>
      </c>
      <c r="AA43">
        <v>0.112466725249004</v>
      </c>
      <c r="AB43">
        <v>0.507030008494048</v>
      </c>
      <c r="AC43">
        <v>0.38050326625694703</v>
      </c>
      <c r="AD43">
        <v>0.88455622950687496</v>
      </c>
      <c r="AE43">
        <v>4.2135444323675102E-2</v>
      </c>
      <c r="AF43">
        <v>7.3308326169449406E-2</v>
      </c>
      <c r="AG43">
        <v>0</v>
      </c>
      <c r="AH43">
        <v>3413.5331449525502</v>
      </c>
      <c r="AI43">
        <v>79.925265913960104</v>
      </c>
      <c r="AJ43">
        <v>8.1134337210617709</v>
      </c>
      <c r="AK43">
        <v>403.73807727524297</v>
      </c>
      <c r="AL43">
        <v>7.4968740623051602</v>
      </c>
      <c r="AM43">
        <v>0.84099118857237798</v>
      </c>
      <c r="AN43">
        <v>8700.5105601401992</v>
      </c>
      <c r="AO43">
        <v>312.93783731468</v>
      </c>
      <c r="AP43">
        <v>31.293783731467801</v>
      </c>
      <c r="AQ43">
        <v>2.9911201360609301E-2</v>
      </c>
      <c r="AR43">
        <v>6.1662464851954899E-3</v>
      </c>
      <c r="AS43">
        <v>2.15225749055168E-2</v>
      </c>
      <c r="AT43">
        <v>9.48</v>
      </c>
      <c r="AU43">
        <v>5.9894828734192496</v>
      </c>
      <c r="AV43">
        <v>0</v>
      </c>
      <c r="AW43">
        <v>84.830808114384496</v>
      </c>
      <c r="AX43">
        <v>66.435340578425297</v>
      </c>
      <c r="AY43">
        <v>361.50500345361701</v>
      </c>
      <c r="AZ43">
        <v>0.54833294000257904</v>
      </c>
      <c r="BA43">
        <v>0.835397282242478</v>
      </c>
      <c r="BB43">
        <v>1.3992110572741899E-2</v>
      </c>
      <c r="BC43">
        <v>1.16946193593943E-3</v>
      </c>
      <c r="BD43">
        <v>0.59513088130302505</v>
      </c>
      <c r="BE43">
        <v>9.2351945654308206E-3</v>
      </c>
      <c r="BF43">
        <v>7.5472621797876898E-4</v>
      </c>
      <c r="BG43">
        <v>766.29999847710098</v>
      </c>
      <c r="BH43">
        <v>-1626.59999865293</v>
      </c>
      <c r="BI43">
        <v>425.63618063230399</v>
      </c>
      <c r="BJ43">
        <v>210.22941203205099</v>
      </c>
      <c r="BK43">
        <v>3.4586353279763999</v>
      </c>
      <c r="BL43">
        <v>4.63753092042767</v>
      </c>
      <c r="BM43">
        <v>192.355430804534</v>
      </c>
      <c r="BN43">
        <v>21.950482386373199</v>
      </c>
      <c r="BO43">
        <v>214.30591319090701</v>
      </c>
      <c r="BP43">
        <v>3.4678571078984999</v>
      </c>
      <c r="BQ43">
        <v>0.29159682865410302</v>
      </c>
      <c r="BR43">
        <v>206.770776704074</v>
      </c>
      <c r="BS43">
        <v>2.1974006474438199</v>
      </c>
      <c r="BT43">
        <v>0.29131992867856499</v>
      </c>
      <c r="BU43">
        <v>3.47780925923393</v>
      </c>
      <c r="BV43">
        <v>1.69453181612168</v>
      </c>
      <c r="BW43">
        <v>0.52989070786153503</v>
      </c>
      <c r="BX43">
        <v>1.25338673525072</v>
      </c>
      <c r="BY43">
        <v>0</v>
      </c>
      <c r="BZ43">
        <v>3.0602661192851102</v>
      </c>
      <c r="CA43">
        <v>0.40759098861339499</v>
      </c>
      <c r="CB43">
        <v>0.29269174762420702</v>
      </c>
      <c r="CC43">
        <v>0.245873714311167</v>
      </c>
      <c r="CD43">
        <v>4.5723114342936098E-2</v>
      </c>
      <c r="CE43">
        <v>21.568742067274599</v>
      </c>
      <c r="CF43">
        <v>164.26390198149801</v>
      </c>
      <c r="CG43">
        <v>42.208790784107897</v>
      </c>
      <c r="CH43">
        <v>0.40050258338765798</v>
      </c>
      <c r="CI43">
        <v>7.1840937969991403</v>
      </c>
      <c r="CJ43">
        <v>1.7150941373950499</v>
      </c>
      <c r="CK43">
        <v>9.5677117010225494</v>
      </c>
      <c r="CL43">
        <v>1.5181554705720299</v>
      </c>
      <c r="CM43">
        <v>9.7038716631364194E-2</v>
      </c>
      <c r="CN43">
        <v>4.4927944744736499E-2</v>
      </c>
      <c r="CO43">
        <v>0.62705310172374895</v>
      </c>
      <c r="CP43">
        <v>0.76548534232076804</v>
      </c>
      <c r="CQ43">
        <v>0.15181554705720199</v>
      </c>
      <c r="CR43">
        <v>42.506874722576597</v>
      </c>
      <c r="CS43">
        <v>1.52887688081546</v>
      </c>
      <c r="CT43">
        <v>0.15288768808154601</v>
      </c>
      <c r="CU43">
        <v>1.4699999999999099E-2</v>
      </c>
      <c r="CV43">
        <v>2.04515436644903E-3</v>
      </c>
      <c r="CW43">
        <v>2.2305940680199101</v>
      </c>
      <c r="CX43">
        <v>2.0299999999998701E-2</v>
      </c>
      <c r="CY43">
        <v>5.9024980037529302E-3</v>
      </c>
      <c r="CZ43">
        <v>0</v>
      </c>
      <c r="DA43">
        <v>2.3999991000029099E-3</v>
      </c>
      <c r="DB43">
        <v>1.49742740371533E-3</v>
      </c>
      <c r="DC43">
        <v>1.9999999999998699E-3</v>
      </c>
      <c r="DD43">
        <v>3.5571374111059602E-3</v>
      </c>
      <c r="DE43">
        <v>1.0633214092589901E-3</v>
      </c>
      <c r="DF43">
        <v>2.3999991000000702E-3</v>
      </c>
      <c r="DG43">
        <v>0</v>
      </c>
      <c r="DH43">
        <v>0</v>
      </c>
      <c r="DI43">
        <v>0.23180769399998499</v>
      </c>
      <c r="DJ43">
        <v>1.8846155199998799E-2</v>
      </c>
      <c r="DK43">
        <v>2.3816965264205399</v>
      </c>
      <c r="DL43">
        <v>0.15546321974024399</v>
      </c>
      <c r="DM43">
        <v>73.8226194275734</v>
      </c>
      <c r="DN43">
        <v>223.50398977215099</v>
      </c>
      <c r="DO43">
        <v>327.66000000000003</v>
      </c>
      <c r="DP43">
        <v>30.3002192251281</v>
      </c>
      <c r="DQ43">
        <v>157.94999999999899</v>
      </c>
      <c r="DR43">
        <v>169.71</v>
      </c>
      <c r="DS43">
        <v>155.95607389808001</v>
      </c>
      <c r="DT43">
        <v>0</v>
      </c>
      <c r="DU43">
        <v>0</v>
      </c>
      <c r="DV43">
        <v>0</v>
      </c>
      <c r="DW43">
        <v>0</v>
      </c>
      <c r="DX43">
        <v>0</v>
      </c>
      <c r="DY43">
        <v>0</v>
      </c>
      <c r="DZ43">
        <v>0</v>
      </c>
      <c r="EA43">
        <v>0</v>
      </c>
      <c r="EB43">
        <v>0</v>
      </c>
      <c r="EC43">
        <v>0</v>
      </c>
      <c r="ED43">
        <v>0</v>
      </c>
      <c r="EE43">
        <v>0</v>
      </c>
      <c r="EF43">
        <v>1.2790257787399</v>
      </c>
      <c r="EG43">
        <v>0</v>
      </c>
      <c r="EH43">
        <v>0</v>
      </c>
      <c r="EI43">
        <v>0</v>
      </c>
      <c r="EJ43">
        <v>0</v>
      </c>
      <c r="EK43">
        <v>0</v>
      </c>
      <c r="EL43">
        <v>0</v>
      </c>
      <c r="EM43">
        <v>0</v>
      </c>
      <c r="EN43">
        <v>0</v>
      </c>
      <c r="EO43">
        <v>0</v>
      </c>
      <c r="EP43">
        <v>0</v>
      </c>
      <c r="EQ43">
        <v>0</v>
      </c>
      <c r="ER43">
        <v>0</v>
      </c>
      <c r="ES43">
        <v>0</v>
      </c>
      <c r="ET43">
        <v>0</v>
      </c>
      <c r="EU43">
        <v>0</v>
      </c>
      <c r="EV43">
        <v>812.63357350154297</v>
      </c>
      <c r="EW43">
        <v>-28.649999999999899</v>
      </c>
      <c r="EX43">
        <v>1466.5066655397</v>
      </c>
      <c r="EY43">
        <v>833.61337865108101</v>
      </c>
      <c r="EZ43">
        <v>93.889716568818002</v>
      </c>
      <c r="FA43">
        <v>662.38580919596802</v>
      </c>
      <c r="FB43">
        <v>710.23114013671795</v>
      </c>
      <c r="FC43">
        <v>0.40494634756131198</v>
      </c>
      <c r="FD43">
        <v>0.738504507059902</v>
      </c>
      <c r="FE43">
        <v>0</v>
      </c>
      <c r="FF43">
        <v>1</v>
      </c>
      <c r="FG43" s="159">
        <v>5.8970943399671198E-13</v>
      </c>
      <c r="FH43">
        <v>0</v>
      </c>
      <c r="FI43">
        <v>5.4512674794765098E-5</v>
      </c>
      <c r="FJ43">
        <v>-5.3043245633523804E-3</v>
      </c>
      <c r="FK43" s="159">
        <v>6.57534000000779E-6</v>
      </c>
      <c r="FL43" s="159">
        <v>2.5888282612946201E-6</v>
      </c>
      <c r="FM43" s="159">
        <v>4.1023966327012496E-6</v>
      </c>
      <c r="FN43">
        <v>0</v>
      </c>
      <c r="FO43">
        <v>0</v>
      </c>
      <c r="FP43">
        <v>0</v>
      </c>
      <c r="FQ43">
        <v>0</v>
      </c>
      <c r="FR43">
        <v>0</v>
      </c>
      <c r="FS43">
        <v>0</v>
      </c>
      <c r="FT43">
        <v>0</v>
      </c>
      <c r="FU43">
        <v>0</v>
      </c>
      <c r="FV43">
        <v>-999</v>
      </c>
      <c r="FW43">
        <v>0.48233836965655402</v>
      </c>
      <c r="FX43">
        <v>3.20492859592328E-3</v>
      </c>
      <c r="FY43">
        <v>1.2000103562070601</v>
      </c>
      <c r="FZ43">
        <v>9.4482591444433205E-4</v>
      </c>
      <c r="GA43">
        <v>42.5516929877123</v>
      </c>
      <c r="GB43">
        <v>1.06014068933545E-2</v>
      </c>
      <c r="GC43">
        <v>2.8652451063120401E-3</v>
      </c>
      <c r="GD43">
        <v>0</v>
      </c>
      <c r="GE43">
        <v>7.0149996166796597E-3</v>
      </c>
      <c r="GF43">
        <v>0.41645656618098098</v>
      </c>
      <c r="GG43">
        <v>5.5880489404112703E-4</v>
      </c>
      <c r="GH43">
        <v>9.4334433294945806E-3</v>
      </c>
      <c r="GI43">
        <v>1.85302364169691E-2</v>
      </c>
      <c r="GJ43">
        <v>9.1271965010028197E-4</v>
      </c>
      <c r="GK43">
        <v>1.77035945541386E-3</v>
      </c>
      <c r="GL43">
        <v>0.39444914680605703</v>
      </c>
      <c r="GM43">
        <v>6.5967618210556397E-3</v>
      </c>
      <c r="GN43">
        <v>5.4660050183877101E-4</v>
      </c>
      <c r="GO43">
        <v>0</v>
      </c>
      <c r="GP43">
        <v>0</v>
      </c>
      <c r="GQ43">
        <v>0</v>
      </c>
      <c r="GR43">
        <v>6.0579821507877898E-2</v>
      </c>
      <c r="GS43">
        <v>1.1248859548411399E-3</v>
      </c>
      <c r="GT43">
        <v>1.2618848446806401E-4</v>
      </c>
      <c r="GU43">
        <v>3.8100832652390899E-2</v>
      </c>
      <c r="GV43">
        <v>7.0748131063498902E-4</v>
      </c>
      <c r="GW43">
        <v>7.9364484901152903E-5</v>
      </c>
      <c r="GX43">
        <v>0.121158108091642</v>
      </c>
      <c r="GY43">
        <v>0.13173797783091101</v>
      </c>
      <c r="GZ43">
        <v>58.928998255309402</v>
      </c>
      <c r="HA43">
        <v>676.33236806051502</v>
      </c>
      <c r="HB43">
        <v>0</v>
      </c>
      <c r="HC43">
        <v>0.99981306911837897</v>
      </c>
      <c r="HD43">
        <v>0.41688409198929199</v>
      </c>
      <c r="HE43">
        <v>1.082219475212E-2</v>
      </c>
      <c r="HF43">
        <v>9.3700282546942105E-4</v>
      </c>
      <c r="HG43">
        <v>1.2847744420287599E-2</v>
      </c>
      <c r="HH43" s="159">
        <v>4.76187665031261E-7</v>
      </c>
      <c r="HI43" s="159">
        <v>3.3333254464291002E-7</v>
      </c>
      <c r="HJ43">
        <v>0</v>
      </c>
      <c r="HK43">
        <v>0</v>
      </c>
      <c r="HL43">
        <v>0</v>
      </c>
      <c r="HM43">
        <v>0</v>
      </c>
      <c r="HN43">
        <v>0</v>
      </c>
      <c r="HO43">
        <v>1.13645968625074E-2</v>
      </c>
      <c r="HP43">
        <v>0.54862206982020301</v>
      </c>
      <c r="HQ43">
        <v>1.082219475212E-2</v>
      </c>
      <c r="HR43">
        <v>9.3700282546942105E-4</v>
      </c>
      <c r="HS43">
        <v>0.72256788060238097</v>
      </c>
      <c r="HT43">
        <v>-999</v>
      </c>
      <c r="HU43">
        <v>1</v>
      </c>
      <c r="HV43">
        <v>0.79459594358695795</v>
      </c>
      <c r="HW43">
        <v>0.20540405641304099</v>
      </c>
      <c r="HX43">
        <v>12517.7817823679</v>
      </c>
      <c r="HY43">
        <v>400.35997729094601</v>
      </c>
      <c r="HZ43">
        <v>40.248208641101897</v>
      </c>
      <c r="IA43">
        <v>-0.13173797783091101</v>
      </c>
      <c r="IB43">
        <v>0</v>
      </c>
      <c r="IC43">
        <v>0</v>
      </c>
      <c r="ID43">
        <v>0</v>
      </c>
      <c r="IE43">
        <v>0</v>
      </c>
      <c r="IF43">
        <v>0</v>
      </c>
      <c r="IG43">
        <v>0</v>
      </c>
      <c r="IH43">
        <v>0</v>
      </c>
      <c r="II43">
        <v>46.337800049999601</v>
      </c>
      <c r="IJ43">
        <v>463.37800049999902</v>
      </c>
      <c r="IK43">
        <v>1.0437244309746701E-2</v>
      </c>
      <c r="IL43">
        <v>2.2737517561754201E-3</v>
      </c>
      <c r="IM43">
        <v>1.27109960659221E-2</v>
      </c>
      <c r="IN43">
        <v>9.5639282062014999E-4</v>
      </c>
      <c r="IO43">
        <v>0.42310897402491199</v>
      </c>
      <c r="IP43">
        <v>1.8627425381078099E-2</v>
      </c>
      <c r="IQ43">
        <v>1.67454351894952E-3</v>
      </c>
      <c r="IR43">
        <v>0.29477214026985399</v>
      </c>
      <c r="IS43">
        <v>0.24082367388891501</v>
      </c>
      <c r="IT43">
        <v>0.26788942566132601</v>
      </c>
      <c r="IU43">
        <v>0.29838823618420601</v>
      </c>
      <c r="IV43">
        <v>1.4141500365715201E-2</v>
      </c>
      <c r="IW43">
        <v>1.22595101741323E-3</v>
      </c>
      <c r="IX43">
        <v>7.4971626911739905E-2</v>
      </c>
      <c r="IY43">
        <v>2.6965611527681298E-3</v>
      </c>
      <c r="IZ43">
        <v>2.6965611527681198E-4</v>
      </c>
      <c r="JA43">
        <v>7.5086764634972894E-2</v>
      </c>
      <c r="JB43">
        <v>2.7007023982562901E-3</v>
      </c>
      <c r="JC43">
        <v>2.7007023982562699E-4</v>
      </c>
      <c r="JD43">
        <v>1.73294293524769E-4</v>
      </c>
      <c r="JE43">
        <v>3.2168024689685801E-3</v>
      </c>
      <c r="JF43" s="159">
        <v>1.41623908780919E-18</v>
      </c>
      <c r="JG43">
        <v>0</v>
      </c>
      <c r="JH43">
        <v>4.1312066980493996E-3</v>
      </c>
      <c r="JI43">
        <v>5.3962843661871298E-4</v>
      </c>
      <c r="JJ43">
        <v>-0.50521297865009096</v>
      </c>
      <c r="JK43">
        <v>1.73294293524769E-4</v>
      </c>
      <c r="JL43" s="159">
        <v>6.5753399999999896E-6</v>
      </c>
      <c r="JM43">
        <v>-0.50521297865009096</v>
      </c>
      <c r="JN43">
        <v>0</v>
      </c>
      <c r="JO43">
        <v>1.3087464955555099</v>
      </c>
      <c r="JP43">
        <v>-1.2526000279085601E-2</v>
      </c>
      <c r="JQ43">
        <v>8.42861688893986E-4</v>
      </c>
      <c r="JR43">
        <v>3.3171575146567898E-2</v>
      </c>
      <c r="JS43">
        <v>1543.8445184242501</v>
      </c>
      <c r="JT43">
        <v>4.6839769698366999E-2</v>
      </c>
      <c r="JU43">
        <v>0</v>
      </c>
      <c r="JV43">
        <v>365</v>
      </c>
      <c r="JW43">
        <v>0</v>
      </c>
      <c r="JX43">
        <v>-0.40268092994350901</v>
      </c>
      <c r="JY43">
        <v>0</v>
      </c>
      <c r="JZ43">
        <v>1.3186225509251499</v>
      </c>
      <c r="KA43">
        <v>1.40258238762675</v>
      </c>
      <c r="KB43">
        <v>1.4282137890439099</v>
      </c>
      <c r="KC43">
        <v>0</v>
      </c>
      <c r="KD43">
        <v>0</v>
      </c>
      <c r="KE43">
        <v>0</v>
      </c>
      <c r="KF43">
        <v>3.5539525994059298E-3</v>
      </c>
      <c r="KG43">
        <v>2.2313009275670499E-2</v>
      </c>
      <c r="KH43">
        <v>3.8970379793415298E-2</v>
      </c>
      <c r="KI43">
        <v>0</v>
      </c>
      <c r="KJ43">
        <v>0</v>
      </c>
      <c r="KK43">
        <v>0</v>
      </c>
      <c r="KL43">
        <v>0</v>
      </c>
      <c r="KM43">
        <v>0</v>
      </c>
      <c r="KN43">
        <v>0</v>
      </c>
      <c r="KO43">
        <v>0</v>
      </c>
      <c r="KP43">
        <v>0</v>
      </c>
      <c r="KQ43">
        <v>0</v>
      </c>
      <c r="KR43">
        <v>0</v>
      </c>
      <c r="KS43">
        <v>0</v>
      </c>
      <c r="KT43">
        <v>0</v>
      </c>
      <c r="KU43">
        <v>0.34999999999999898</v>
      </c>
      <c r="KV43">
        <v>-0.11564520433327601</v>
      </c>
      <c r="KW43">
        <v>1.8340812617490001E-3</v>
      </c>
      <c r="KX43">
        <v>33119.290459798402</v>
      </c>
      <c r="KY43">
        <v>0</v>
      </c>
      <c r="KZ43">
        <v>0.21030304043067199</v>
      </c>
      <c r="LA43">
        <v>1.73602675993533E-5</v>
      </c>
      <c r="LB43">
        <v>0</v>
      </c>
      <c r="LC43">
        <v>-12.1456961395783</v>
      </c>
      <c r="LD43">
        <v>1.57124266432602E-2</v>
      </c>
      <c r="LE43">
        <v>3.4079496634530802E-3</v>
      </c>
      <c r="LF43">
        <v>1.57124266432602E-2</v>
      </c>
      <c r="LG43">
        <v>0.94761688695663804</v>
      </c>
      <c r="LH43">
        <v>1.2347919169961701</v>
      </c>
      <c r="LI43">
        <v>0</v>
      </c>
      <c r="LJ43">
        <v>0</v>
      </c>
      <c r="LK43">
        <v>0.24237373746967</v>
      </c>
      <c r="LL43">
        <v>0</v>
      </c>
      <c r="LM43">
        <v>0</v>
      </c>
      <c r="LN43">
        <v>0</v>
      </c>
      <c r="LO43">
        <v>0</v>
      </c>
      <c r="LP43">
        <v>0</v>
      </c>
      <c r="LQ43">
        <v>0</v>
      </c>
      <c r="LR43">
        <v>0</v>
      </c>
      <c r="LS43">
        <v>0</v>
      </c>
      <c r="LT43">
        <v>-999</v>
      </c>
      <c r="LU43">
        <v>0.42564210247207501</v>
      </c>
      <c r="LV43">
        <v>42</v>
      </c>
      <c r="LW43">
        <v>162.35999999999899</v>
      </c>
      <c r="LX43">
        <v>1.5169999999999899</v>
      </c>
      <c r="LY43">
        <v>0</v>
      </c>
      <c r="LZ43">
        <v>-999</v>
      </c>
      <c r="MA43">
        <v>0</v>
      </c>
      <c r="MB43">
        <v>0</v>
      </c>
      <c r="MC43">
        <v>562.36</v>
      </c>
      <c r="MD43">
        <v>-23.6999999999999</v>
      </c>
      <c r="ME43">
        <v>-33.6</v>
      </c>
      <c r="MF43">
        <v>0</v>
      </c>
      <c r="MG43">
        <v>8.0706896550000007</v>
      </c>
      <c r="MH43">
        <v>0</v>
      </c>
      <c r="MI43">
        <v>0</v>
      </c>
      <c r="MJ43">
        <v>0</v>
      </c>
      <c r="MK43">
        <v>0</v>
      </c>
      <c r="ML43">
        <v>0</v>
      </c>
      <c r="MM43">
        <v>0</v>
      </c>
      <c r="MN43">
        <v>0</v>
      </c>
      <c r="MO43">
        <v>0</v>
      </c>
      <c r="MP43">
        <v>0</v>
      </c>
      <c r="MQ43">
        <v>0</v>
      </c>
      <c r="MR43">
        <v>0</v>
      </c>
      <c r="MS43">
        <v>0</v>
      </c>
      <c r="MT43">
        <v>0</v>
      </c>
      <c r="MU43">
        <v>0</v>
      </c>
      <c r="MV43">
        <v>0</v>
      </c>
    </row>
    <row r="44" spans="1:360" x14ac:dyDescent="0.25">
      <c r="A44">
        <v>15695</v>
      </c>
      <c r="B44">
        <v>0</v>
      </c>
      <c r="C44">
        <v>-33.6</v>
      </c>
      <c r="D44">
        <v>-23.6999999999999</v>
      </c>
      <c r="E44">
        <v>400</v>
      </c>
      <c r="F44">
        <v>0</v>
      </c>
      <c r="G44">
        <v>0</v>
      </c>
      <c r="H44">
        <v>0</v>
      </c>
      <c r="I44">
        <v>0</v>
      </c>
      <c r="J44">
        <v>0</v>
      </c>
      <c r="K44">
        <v>0</v>
      </c>
      <c r="L44" s="159">
        <v>6.5753399999999896E-6</v>
      </c>
      <c r="M44">
        <v>0</v>
      </c>
      <c r="N44">
        <v>0</v>
      </c>
      <c r="O44">
        <v>0</v>
      </c>
      <c r="P44">
        <v>0</v>
      </c>
      <c r="Q44">
        <v>0</v>
      </c>
      <c r="R44">
        <v>0</v>
      </c>
      <c r="S44">
        <v>0</v>
      </c>
      <c r="T44">
        <v>0</v>
      </c>
      <c r="U44">
        <v>697.215484645689</v>
      </c>
      <c r="V44">
        <v>13.8445678718309</v>
      </c>
      <c r="W44">
        <v>1.3396313496918799</v>
      </c>
      <c r="X44">
        <v>0.33024971677634601</v>
      </c>
      <c r="Y44">
        <v>0.27641162786657397</v>
      </c>
      <c r="Z44">
        <v>0.39333865535707901</v>
      </c>
      <c r="AA44">
        <v>0.112456509577831</v>
      </c>
      <c r="AB44">
        <v>0.50781754089410802</v>
      </c>
      <c r="AC44">
        <v>0.37972594952805899</v>
      </c>
      <c r="AD44">
        <v>0.88456926033207095</v>
      </c>
      <c r="AE44">
        <v>4.20571552800727E-2</v>
      </c>
      <c r="AF44">
        <v>7.3373584387856003E-2</v>
      </c>
      <c r="AG44">
        <v>0</v>
      </c>
      <c r="AH44">
        <v>3414.15622089509</v>
      </c>
      <c r="AI44">
        <v>79.905844509953397</v>
      </c>
      <c r="AJ44">
        <v>8.1139809927899194</v>
      </c>
      <c r="AK44">
        <v>404.110482204454</v>
      </c>
      <c r="AL44">
        <v>7.5037891218737798</v>
      </c>
      <c r="AM44">
        <v>0.84176691244306401</v>
      </c>
      <c r="AN44">
        <v>8700.2153132490403</v>
      </c>
      <c r="AO44">
        <v>312.92721794666102</v>
      </c>
      <c r="AP44">
        <v>31.292721794665901</v>
      </c>
      <c r="AQ44">
        <v>2.9930409514021501E-2</v>
      </c>
      <c r="AR44">
        <v>6.17178758221037E-3</v>
      </c>
      <c r="AS44">
        <v>2.14303536743971E-2</v>
      </c>
      <c r="AT44">
        <v>9.48</v>
      </c>
      <c r="AU44">
        <v>5.9890439518032004</v>
      </c>
      <c r="AV44">
        <v>0</v>
      </c>
      <c r="AW44">
        <v>84.854498816236699</v>
      </c>
      <c r="AX44">
        <v>66.444188514296897</v>
      </c>
      <c r="AY44">
        <v>361.50250485211097</v>
      </c>
      <c r="AZ44">
        <v>0.54833294000258004</v>
      </c>
      <c r="BA44">
        <v>0.83580412294206596</v>
      </c>
      <c r="BB44">
        <v>1.39965661225285E-2</v>
      </c>
      <c r="BC44">
        <v>1.1699533907934699E-3</v>
      </c>
      <c r="BD44">
        <v>0.59532116105886801</v>
      </c>
      <c r="BE44">
        <v>9.2380984127693102E-3</v>
      </c>
      <c r="BF44">
        <v>7.5487008751195996E-4</v>
      </c>
      <c r="BG44">
        <v>766.29999847710098</v>
      </c>
      <c r="BH44">
        <v>-1626.59999865293</v>
      </c>
      <c r="BI44">
        <v>425.88975116064501</v>
      </c>
      <c r="BJ44">
        <v>210.338972760986</v>
      </c>
      <c r="BK44">
        <v>3.4802250875416498</v>
      </c>
      <c r="BL44">
        <v>4.6410457597223296</v>
      </c>
      <c r="BM44">
        <v>192.39313943976501</v>
      </c>
      <c r="BN44">
        <v>21.962060566612699</v>
      </c>
      <c r="BO44">
        <v>214.355200006378</v>
      </c>
      <c r="BP44">
        <v>3.4690663890420099</v>
      </c>
      <c r="BQ44">
        <v>0.291742113666426</v>
      </c>
      <c r="BR44">
        <v>206.85874767344399</v>
      </c>
      <c r="BS44">
        <v>2.1980748175107001</v>
      </c>
      <c r="BT44">
        <v>0.291481054869484</v>
      </c>
      <c r="BU44">
        <v>3.4794267391780802</v>
      </c>
      <c r="BV44">
        <v>1.69587757557472</v>
      </c>
      <c r="BW44">
        <v>0.52921247178651998</v>
      </c>
      <c r="BX44">
        <v>1.2543366918168399</v>
      </c>
      <c r="BY44">
        <v>0</v>
      </c>
      <c r="BZ44">
        <v>3.0612604091656799</v>
      </c>
      <c r="CA44">
        <v>0.407805979876327</v>
      </c>
      <c r="CB44">
        <v>0.29286401271717</v>
      </c>
      <c r="CC44">
        <v>0.24599488183715701</v>
      </c>
      <c r="CD44">
        <v>4.5747231829270103E-2</v>
      </c>
      <c r="CE44">
        <v>21.589655637401599</v>
      </c>
      <c r="CF44">
        <v>164.351803488374</v>
      </c>
      <c r="CG44">
        <v>42.211697293907001</v>
      </c>
      <c r="CH44">
        <v>0.40089092030770801</v>
      </c>
      <c r="CI44">
        <v>7.1886974717668402</v>
      </c>
      <c r="CJ44">
        <v>1.71578752860383</v>
      </c>
      <c r="CK44">
        <v>9.5736804386559609</v>
      </c>
      <c r="CL44">
        <v>1.51826001120609</v>
      </c>
      <c r="CM44">
        <v>9.7181365331768396E-2</v>
      </c>
      <c r="CN44">
        <v>4.4971507958583498E-2</v>
      </c>
      <c r="CO44">
        <v>0.62438514487873198</v>
      </c>
      <c r="CP44">
        <v>0.76297826182567297</v>
      </c>
      <c r="CQ44">
        <v>0.15182600112060801</v>
      </c>
      <c r="CR44">
        <v>42.5069441850695</v>
      </c>
      <c r="CS44">
        <v>1.52887937922543</v>
      </c>
      <c r="CT44">
        <v>0.15288793792254199</v>
      </c>
      <c r="CU44">
        <v>1.4699999999997699E-2</v>
      </c>
      <c r="CV44">
        <v>2.0489930987735001E-3</v>
      </c>
      <c r="CW44">
        <v>2.2306165692876201</v>
      </c>
      <c r="CX44">
        <v>2.02999999999968E-2</v>
      </c>
      <c r="CY44">
        <v>5.9110278002559502E-3</v>
      </c>
      <c r="CZ44">
        <v>0</v>
      </c>
      <c r="DA44">
        <v>2.3999991000028201E-3</v>
      </c>
      <c r="DB44">
        <v>1.4973182971499801E-3</v>
      </c>
      <c r="DC44">
        <v>1.99999999999969E-3</v>
      </c>
      <c r="DD44">
        <v>3.5481840994557499E-3</v>
      </c>
      <c r="DE44">
        <v>1.05839668113089E-3</v>
      </c>
      <c r="DF44">
        <v>2.39999909999997E-3</v>
      </c>
      <c r="DG44">
        <v>0</v>
      </c>
      <c r="DH44">
        <v>0</v>
      </c>
      <c r="DI44">
        <v>0.23180769399996401</v>
      </c>
      <c r="DJ44">
        <v>1.8846155199997001E-2</v>
      </c>
      <c r="DK44">
        <v>2.3869802866197598</v>
      </c>
      <c r="DL44">
        <v>0.15580811270363901</v>
      </c>
      <c r="DM44">
        <v>73.359151413629206</v>
      </c>
      <c r="DN44">
        <v>224.00633590832399</v>
      </c>
      <c r="DO44">
        <v>327.66000000000003</v>
      </c>
      <c r="DP44">
        <v>30.261978291811499</v>
      </c>
      <c r="DQ44">
        <v>157.94999999999899</v>
      </c>
      <c r="DR44">
        <v>169.71</v>
      </c>
      <c r="DS44">
        <v>155.981060509922</v>
      </c>
      <c r="DT44">
        <v>0</v>
      </c>
      <c r="DU44">
        <v>0</v>
      </c>
      <c r="DV44">
        <v>0</v>
      </c>
      <c r="DW44">
        <v>0</v>
      </c>
      <c r="DX44">
        <v>0</v>
      </c>
      <c r="DY44">
        <v>0</v>
      </c>
      <c r="DZ44">
        <v>0</v>
      </c>
      <c r="EA44">
        <v>0</v>
      </c>
      <c r="EB44">
        <v>0</v>
      </c>
      <c r="EC44">
        <v>0</v>
      </c>
      <c r="ED44">
        <v>0</v>
      </c>
      <c r="EE44">
        <v>0</v>
      </c>
      <c r="EF44">
        <v>1.277945330958</v>
      </c>
      <c r="EG44">
        <v>0</v>
      </c>
      <c r="EH44">
        <v>0</v>
      </c>
      <c r="EI44">
        <v>0</v>
      </c>
      <c r="EJ44">
        <v>0</v>
      </c>
      <c r="EK44">
        <v>0</v>
      </c>
      <c r="EL44">
        <v>0</v>
      </c>
      <c r="EM44">
        <v>0</v>
      </c>
      <c r="EN44">
        <v>0</v>
      </c>
      <c r="EO44">
        <v>0</v>
      </c>
      <c r="EP44">
        <v>0</v>
      </c>
      <c r="EQ44">
        <v>0</v>
      </c>
      <c r="ER44">
        <v>0</v>
      </c>
      <c r="ES44">
        <v>0</v>
      </c>
      <c r="ET44">
        <v>0</v>
      </c>
      <c r="EU44">
        <v>0</v>
      </c>
      <c r="EV44">
        <v>813.26832800816806</v>
      </c>
      <c r="EW44">
        <v>-28.649999999999899</v>
      </c>
      <c r="EX44">
        <v>1467.8220729382899</v>
      </c>
      <c r="EY44">
        <v>833.98408814173501</v>
      </c>
      <c r="EZ44">
        <v>93.675963158314602</v>
      </c>
      <c r="FA44">
        <v>663.14634281519295</v>
      </c>
      <c r="FB44">
        <v>710.999755859375</v>
      </c>
      <c r="FC44">
        <v>0.40402442910181102</v>
      </c>
      <c r="FD44">
        <v>0.73682319559337395</v>
      </c>
      <c r="FE44">
        <v>0</v>
      </c>
      <c r="FF44">
        <v>1</v>
      </c>
      <c r="FG44" s="159">
        <v>5.8973481094111301E-13</v>
      </c>
      <c r="FH44">
        <v>0</v>
      </c>
      <c r="FI44">
        <v>5.4512674794765098E-5</v>
      </c>
      <c r="FJ44">
        <v>-5.2917135477669602E-3</v>
      </c>
      <c r="FK44" s="159">
        <v>6.57534000000779E-6</v>
      </c>
      <c r="FL44" s="159">
        <v>2.57766966629919E-6</v>
      </c>
      <c r="FM44" s="159">
        <v>4.1020960006437399E-6</v>
      </c>
      <c r="FN44">
        <v>0</v>
      </c>
      <c r="FO44">
        <v>0</v>
      </c>
      <c r="FP44">
        <v>0</v>
      </c>
      <c r="FQ44">
        <v>0</v>
      </c>
      <c r="FR44">
        <v>0</v>
      </c>
      <c r="FS44">
        <v>0</v>
      </c>
      <c r="FT44">
        <v>0</v>
      </c>
      <c r="FU44">
        <v>0</v>
      </c>
      <c r="FV44">
        <v>-999</v>
      </c>
      <c r="FW44">
        <v>0.482645717750319</v>
      </c>
      <c r="FX44">
        <v>3.2062512818157398E-3</v>
      </c>
      <c r="FY44">
        <v>1.2010142635243399</v>
      </c>
      <c r="FZ44">
        <v>9.4360859848856098E-4</v>
      </c>
      <c r="GA44">
        <v>42.521714415355099</v>
      </c>
      <c r="GB44">
        <v>1.06008465190744E-2</v>
      </c>
      <c r="GC44">
        <v>2.8650936538038999E-3</v>
      </c>
      <c r="GD44">
        <v>0</v>
      </c>
      <c r="GE44">
        <v>7.0149535341082004E-3</v>
      </c>
      <c r="GF44">
        <v>0.41466151850451799</v>
      </c>
      <c r="GG44">
        <v>5.5885499764081101E-4</v>
      </c>
      <c r="GH44">
        <v>9.4320477441225698E-3</v>
      </c>
      <c r="GI44">
        <v>1.8527005554818E-2</v>
      </c>
      <c r="GJ44">
        <v>9.1266603384032802E-4</v>
      </c>
      <c r="GK44">
        <v>1.7700820591154201E-3</v>
      </c>
      <c r="GL44">
        <v>0.39482242294866399</v>
      </c>
      <c r="GM44">
        <v>6.6031959458729902E-3</v>
      </c>
      <c r="GN44">
        <v>5.4718329883509504E-4</v>
      </c>
      <c r="GO44">
        <v>0</v>
      </c>
      <c r="GP44">
        <v>0</v>
      </c>
      <c r="GQ44">
        <v>0</v>
      </c>
      <c r="GR44">
        <v>6.06125925382488E-2</v>
      </c>
      <c r="GS44">
        <v>1.1254944688788499E-3</v>
      </c>
      <c r="GT44">
        <v>1.2625674691179499E-4</v>
      </c>
      <c r="GU44">
        <v>3.81361369142336E-2</v>
      </c>
      <c r="GV44">
        <v>7.0813686338018305E-4</v>
      </c>
      <c r="GW44">
        <v>7.9438024095992001E-5</v>
      </c>
      <c r="GX44">
        <v>0.121281535726404</v>
      </c>
      <c r="GY44">
        <v>0.13185839474464101</v>
      </c>
      <c r="GZ44">
        <v>58.927837841404298</v>
      </c>
      <c r="HA44">
        <v>676.28145721836904</v>
      </c>
      <c r="HB44">
        <v>0</v>
      </c>
      <c r="HC44">
        <v>0.99981306744491205</v>
      </c>
      <c r="HD44">
        <v>0.41726907484382902</v>
      </c>
      <c r="HE44">
        <v>1.08319221967536E-2</v>
      </c>
      <c r="HF44">
        <v>9.3786362924902305E-4</v>
      </c>
      <c r="HG44">
        <v>1.2863076943727699E-2</v>
      </c>
      <c r="HH44" s="159">
        <v>4.7618766881191701E-7</v>
      </c>
      <c r="HI44" s="159">
        <v>3.33332544498381E-7</v>
      </c>
      <c r="HJ44">
        <v>0</v>
      </c>
      <c r="HK44">
        <v>0</v>
      </c>
      <c r="HL44">
        <v>0</v>
      </c>
      <c r="HM44">
        <v>0</v>
      </c>
      <c r="HN44">
        <v>0</v>
      </c>
      <c r="HO44">
        <v>1.137832694261E-2</v>
      </c>
      <c r="HP44">
        <v>0.54912746958847103</v>
      </c>
      <c r="HQ44">
        <v>1.08319221967536E-2</v>
      </c>
      <c r="HR44">
        <v>9.3786362924902305E-4</v>
      </c>
      <c r="HS44">
        <v>0.722403718393689</v>
      </c>
      <c r="HT44">
        <v>-999</v>
      </c>
      <c r="HU44">
        <v>1</v>
      </c>
      <c r="HV44">
        <v>0.79515467050792399</v>
      </c>
      <c r="HW44">
        <v>0.20484532949207501</v>
      </c>
      <c r="HX44">
        <v>12518.4820163485</v>
      </c>
      <c r="HY44">
        <v>400.33685157848799</v>
      </c>
      <c r="HZ44">
        <v>40.248469699898898</v>
      </c>
      <c r="IA44">
        <v>-0.13185839474464101</v>
      </c>
      <c r="IB44">
        <v>0</v>
      </c>
      <c r="IC44">
        <v>0</v>
      </c>
      <c r="ID44">
        <v>0</v>
      </c>
      <c r="IE44">
        <v>0</v>
      </c>
      <c r="IF44">
        <v>0</v>
      </c>
      <c r="IG44">
        <v>0</v>
      </c>
      <c r="IH44">
        <v>0</v>
      </c>
      <c r="II44">
        <v>46.337800049999601</v>
      </c>
      <c r="IJ44">
        <v>463.37800049999902</v>
      </c>
      <c r="IK44">
        <v>1.0450227654189501E-2</v>
      </c>
      <c r="IL44">
        <v>2.2770030027163702E-3</v>
      </c>
      <c r="IM44">
        <v>1.27272306569059E-2</v>
      </c>
      <c r="IN44">
        <v>9.5264167259133804E-4</v>
      </c>
      <c r="IO44">
        <v>0.423187983867992</v>
      </c>
      <c r="IP44">
        <v>1.86425322937382E-2</v>
      </c>
      <c r="IQ44">
        <v>1.6708438317000699E-3</v>
      </c>
      <c r="IR44">
        <v>0.29462686079469003</v>
      </c>
      <c r="IS44">
        <v>0.24055484059471299</v>
      </c>
      <c r="IT44">
        <v>0.26840039141413602</v>
      </c>
      <c r="IU44">
        <v>0.29850543665493201</v>
      </c>
      <c r="IV44">
        <v>1.41579809095362E-2</v>
      </c>
      <c r="IW44">
        <v>1.2223886932798799E-3</v>
      </c>
      <c r="IX44">
        <v>7.4972462486268598E-2</v>
      </c>
      <c r="IY44">
        <v>2.6965912065085602E-3</v>
      </c>
      <c r="IZ44">
        <v>2.69659120650854E-4</v>
      </c>
      <c r="JA44">
        <v>7.5084532301987097E-2</v>
      </c>
      <c r="JB44">
        <v>2.7006221062490701E-3</v>
      </c>
      <c r="JC44">
        <v>2.70062210624905E-4</v>
      </c>
      <c r="JD44">
        <v>1.73538024398425E-4</v>
      </c>
      <c r="JE44">
        <v>3.2188517269097399E-3</v>
      </c>
      <c r="JF44" s="159">
        <v>4.87890977618477E-19</v>
      </c>
      <c r="JG44">
        <v>0</v>
      </c>
      <c r="JH44">
        <v>4.1313723588793597E-3</v>
      </c>
      <c r="JI44">
        <v>5.3980923131344803E-4</v>
      </c>
      <c r="JJ44">
        <v>-0.50544836370156099</v>
      </c>
      <c r="JK44">
        <v>1.73538024398425E-4</v>
      </c>
      <c r="JL44" s="159">
        <v>6.5753399999999896E-6</v>
      </c>
      <c r="JM44">
        <v>-0.50544836370156099</v>
      </c>
      <c r="JN44">
        <v>0</v>
      </c>
      <c r="JO44">
        <v>1.32505249492189</v>
      </c>
      <c r="JP44">
        <v>-1.2740613070909E-2</v>
      </c>
      <c r="JQ44">
        <v>8.5181500054391302E-4</v>
      </c>
      <c r="JR44">
        <v>3.2534386234416901E-2</v>
      </c>
      <c r="JS44">
        <v>1544.9838551048099</v>
      </c>
      <c r="JT44">
        <v>4.6733132242363203E-2</v>
      </c>
      <c r="JU44">
        <v>0</v>
      </c>
      <c r="JV44">
        <v>365</v>
      </c>
      <c r="JW44">
        <v>0</v>
      </c>
      <c r="JX44">
        <v>-0.40268092994350901</v>
      </c>
      <c r="JY44">
        <v>0</v>
      </c>
      <c r="JZ44">
        <v>1.3188012433465299</v>
      </c>
      <c r="KA44">
        <v>1.4025869113087901</v>
      </c>
      <c r="KB44">
        <v>1.4284777920531899</v>
      </c>
      <c r="KC44">
        <v>0</v>
      </c>
      <c r="KD44">
        <v>0</v>
      </c>
      <c r="KE44">
        <v>0</v>
      </c>
      <c r="KF44">
        <v>3.5555040373887801E-3</v>
      </c>
      <c r="KG44">
        <v>2.23261675720943E-2</v>
      </c>
      <c r="KH44">
        <v>3.8933785023566703E-2</v>
      </c>
      <c r="KI44">
        <v>0</v>
      </c>
      <c r="KJ44">
        <v>0</v>
      </c>
      <c r="KK44">
        <v>0</v>
      </c>
      <c r="KL44">
        <v>0</v>
      </c>
      <c r="KM44">
        <v>0</v>
      </c>
      <c r="KN44">
        <v>0</v>
      </c>
      <c r="KO44">
        <v>0</v>
      </c>
      <c r="KP44">
        <v>0</v>
      </c>
      <c r="KQ44">
        <v>0</v>
      </c>
      <c r="KR44">
        <v>0</v>
      </c>
      <c r="KS44">
        <v>0</v>
      </c>
      <c r="KT44">
        <v>0</v>
      </c>
      <c r="KU44">
        <v>0.34999999999999898</v>
      </c>
      <c r="KV44">
        <v>-0.115575203517294</v>
      </c>
      <c r="KW44">
        <v>1.83302924612948E-3</v>
      </c>
      <c r="KX44">
        <v>33157.317140759602</v>
      </c>
      <c r="KY44">
        <v>0</v>
      </c>
      <c r="KZ44">
        <v>0.21030873163073099</v>
      </c>
      <c r="LA44">
        <v>1.73602675993533E-5</v>
      </c>
      <c r="LB44">
        <v>0</v>
      </c>
      <c r="LC44">
        <v>-12.1451611747315</v>
      </c>
      <c r="LD44">
        <v>1.5712758315097702E-2</v>
      </c>
      <c r="LE44">
        <v>3.4082625614129999E-3</v>
      </c>
      <c r="LF44">
        <v>1.5712758315097702E-2</v>
      </c>
      <c r="LG44">
        <v>0.94786200372187901</v>
      </c>
      <c r="LH44">
        <v>1.23507045877486</v>
      </c>
      <c r="LI44">
        <v>0</v>
      </c>
      <c r="LJ44">
        <v>0</v>
      </c>
      <c r="LK44">
        <v>0.242441425189247</v>
      </c>
      <c r="LL44">
        <v>0</v>
      </c>
      <c r="LM44">
        <v>0</v>
      </c>
      <c r="LN44">
        <v>0</v>
      </c>
      <c r="LO44">
        <v>0</v>
      </c>
      <c r="LP44">
        <v>0</v>
      </c>
      <c r="LQ44">
        <v>0</v>
      </c>
      <c r="LR44">
        <v>0</v>
      </c>
      <c r="LS44">
        <v>0</v>
      </c>
      <c r="LT44">
        <v>-999</v>
      </c>
      <c r="LU44">
        <v>0.42564389209674403</v>
      </c>
      <c r="LV44">
        <v>43</v>
      </c>
      <c r="LW44">
        <v>166.319999999999</v>
      </c>
      <c r="LX44">
        <v>1.5539999999999901</v>
      </c>
      <c r="LY44">
        <v>0</v>
      </c>
      <c r="LZ44">
        <v>-999</v>
      </c>
      <c r="MA44">
        <v>0</v>
      </c>
      <c r="MB44">
        <v>0</v>
      </c>
      <c r="MC44">
        <v>566.31999999999903</v>
      </c>
      <c r="MD44">
        <v>-23.6999999999999</v>
      </c>
      <c r="ME44">
        <v>-33.6</v>
      </c>
      <c r="MF44">
        <v>0</v>
      </c>
      <c r="MG44">
        <v>8.0706896550000007</v>
      </c>
      <c r="MH44">
        <v>0</v>
      </c>
      <c r="MI44">
        <v>0</v>
      </c>
      <c r="MJ44">
        <v>0</v>
      </c>
      <c r="MK44">
        <v>0</v>
      </c>
      <c r="ML44">
        <v>0</v>
      </c>
      <c r="MM44">
        <v>0</v>
      </c>
      <c r="MN44">
        <v>0</v>
      </c>
      <c r="MO44">
        <v>0</v>
      </c>
      <c r="MP44">
        <v>0</v>
      </c>
      <c r="MQ44">
        <v>0</v>
      </c>
      <c r="MR44">
        <v>0</v>
      </c>
      <c r="MS44">
        <v>0</v>
      </c>
      <c r="MT44">
        <v>0</v>
      </c>
      <c r="MU44">
        <v>0</v>
      </c>
      <c r="MV44">
        <v>0</v>
      </c>
    </row>
    <row r="45" spans="1:360" x14ac:dyDescent="0.25">
      <c r="A45">
        <v>16060</v>
      </c>
      <c r="B45">
        <v>0</v>
      </c>
      <c r="C45">
        <v>-33.6</v>
      </c>
      <c r="D45">
        <v>-23.6999999999999</v>
      </c>
      <c r="E45">
        <v>400</v>
      </c>
      <c r="F45">
        <v>0</v>
      </c>
      <c r="G45">
        <v>0</v>
      </c>
      <c r="H45">
        <v>0</v>
      </c>
      <c r="I45">
        <v>0</v>
      </c>
      <c r="J45">
        <v>0</v>
      </c>
      <c r="K45">
        <v>0</v>
      </c>
      <c r="L45" s="159">
        <v>6.5753399999999896E-6</v>
      </c>
      <c r="M45">
        <v>0</v>
      </c>
      <c r="N45">
        <v>0</v>
      </c>
      <c r="O45">
        <v>0</v>
      </c>
      <c r="P45">
        <v>0</v>
      </c>
      <c r="Q45">
        <v>0</v>
      </c>
      <c r="R45">
        <v>0</v>
      </c>
      <c r="S45">
        <v>0</v>
      </c>
      <c r="T45">
        <v>0</v>
      </c>
      <c r="U45">
        <v>697.90543017225502</v>
      </c>
      <c r="V45">
        <v>13.8555316316288</v>
      </c>
      <c r="W45">
        <v>1.3407842187688599</v>
      </c>
      <c r="X45">
        <v>0.32893892762823201</v>
      </c>
      <c r="Y45">
        <v>0.27620715508149002</v>
      </c>
      <c r="Z45">
        <v>0.39485391729027602</v>
      </c>
      <c r="AA45">
        <v>0.112447792379091</v>
      </c>
      <c r="AB45">
        <v>0.508607503098786</v>
      </c>
      <c r="AC45">
        <v>0.37894470452212098</v>
      </c>
      <c r="AD45">
        <v>0.88457697569808103</v>
      </c>
      <c r="AE45">
        <v>4.1976847795929001E-2</v>
      </c>
      <c r="AF45">
        <v>7.3446176505989197E-2</v>
      </c>
      <c r="AG45">
        <v>0</v>
      </c>
      <c r="AH45">
        <v>3414.7522542196498</v>
      </c>
      <c r="AI45">
        <v>79.8856816012634</v>
      </c>
      <c r="AJ45">
        <v>8.1145184419501497</v>
      </c>
      <c r="AK45">
        <v>404.475581218998</v>
      </c>
      <c r="AL45">
        <v>7.5105685204154797</v>
      </c>
      <c r="AM45">
        <v>0.84252741800711495</v>
      </c>
      <c r="AN45">
        <v>8699.9220689336798</v>
      </c>
      <c r="AO45">
        <v>312.91667060679902</v>
      </c>
      <c r="AP45">
        <v>31.2916670606797</v>
      </c>
      <c r="AQ45">
        <v>2.9948070477835299E-2</v>
      </c>
      <c r="AR45">
        <v>6.1769832809807201E-3</v>
      </c>
      <c r="AS45">
        <v>2.13387262605109E-2</v>
      </c>
      <c r="AT45">
        <v>9.48</v>
      </c>
      <c r="AU45">
        <v>5.9886002947429198</v>
      </c>
      <c r="AV45">
        <v>0</v>
      </c>
      <c r="AW45">
        <v>84.877698394315303</v>
      </c>
      <c r="AX45">
        <v>66.452749332486306</v>
      </c>
      <c r="AY45">
        <v>361.50005154033198</v>
      </c>
      <c r="AZ45">
        <v>0.54833294000258004</v>
      </c>
      <c r="BA45">
        <v>0.83624074244687197</v>
      </c>
      <c r="BB45">
        <v>1.40016465657147E-2</v>
      </c>
      <c r="BC45">
        <v>1.1704925980003699E-3</v>
      </c>
      <c r="BD45">
        <v>0.59554260257904101</v>
      </c>
      <c r="BE45">
        <v>9.2416434968170692E-3</v>
      </c>
      <c r="BF45">
        <v>7.5502871201752299E-4</v>
      </c>
      <c r="BG45">
        <v>766.29999847710098</v>
      </c>
      <c r="BH45">
        <v>-1626.59999865293</v>
      </c>
      <c r="BI45">
        <v>426.16782166691502</v>
      </c>
      <c r="BJ45">
        <v>210.462646309116</v>
      </c>
      <c r="BK45">
        <v>3.5181089987196099</v>
      </c>
      <c r="BL45">
        <v>4.6454724268180598</v>
      </c>
      <c r="BM45">
        <v>192.44304704280501</v>
      </c>
      <c r="BN45">
        <v>21.975126166563602</v>
      </c>
      <c r="BO45">
        <v>214.418173209369</v>
      </c>
      <c r="BP45">
        <v>3.4703293837629401</v>
      </c>
      <c r="BQ45">
        <v>0.29188798450040498</v>
      </c>
      <c r="BR45">
        <v>206.94453731039701</v>
      </c>
      <c r="BS45">
        <v>2.1987542290576099</v>
      </c>
      <c r="BT45">
        <v>0.29164476376236897</v>
      </c>
      <c r="BU45">
        <v>3.4812931435608498</v>
      </c>
      <c r="BV45">
        <v>1.6972397444577301</v>
      </c>
      <c r="BW45">
        <v>0.52852031077391004</v>
      </c>
      <c r="BX45">
        <v>1.2555330883292</v>
      </c>
      <c r="BY45">
        <v>0</v>
      </c>
      <c r="BZ45">
        <v>3.0622807932365599</v>
      </c>
      <c r="CA45">
        <v>0.40804859052638198</v>
      </c>
      <c r="CB45">
        <v>0.29304085357738302</v>
      </c>
      <c r="CC45">
        <v>0.246113536871956</v>
      </c>
      <c r="CD45">
        <v>4.5774447628449101E-2</v>
      </c>
      <c r="CE45">
        <v>21.6100271520197</v>
      </c>
      <c r="CF45">
        <v>164.437709746774</v>
      </c>
      <c r="CG45">
        <v>42.213583248254203</v>
      </c>
      <c r="CH45">
        <v>0.40126919198468503</v>
      </c>
      <c r="CI45">
        <v>7.1926164256161798</v>
      </c>
      <c r="CJ45">
        <v>1.7163086606906199</v>
      </c>
      <c r="CK45">
        <v>9.5788041307506795</v>
      </c>
      <c r="CL45">
        <v>1.5183278447510999</v>
      </c>
      <c r="CM45">
        <v>9.73221256981016E-2</v>
      </c>
      <c r="CN45">
        <v>4.50139420643959E-2</v>
      </c>
      <c r="CO45">
        <v>0.62174389990097501</v>
      </c>
      <c r="CP45">
        <v>0.76050114520196999</v>
      </c>
      <c r="CQ45">
        <v>0.15183278447510901</v>
      </c>
      <c r="CR45">
        <v>42.506827563622899</v>
      </c>
      <c r="CS45">
        <v>1.52887518461375</v>
      </c>
      <c r="CT45">
        <v>0.152887518461373</v>
      </c>
      <c r="CU45">
        <v>1.4699999999999699E-2</v>
      </c>
      <c r="CV45">
        <v>2.0525607056978601E-3</v>
      </c>
      <c r="CW45">
        <v>2.2304529236209798</v>
      </c>
      <c r="CX45">
        <v>2.02999999999997E-2</v>
      </c>
      <c r="CY45">
        <v>5.9187564576806597E-3</v>
      </c>
      <c r="CZ45">
        <v>0</v>
      </c>
      <c r="DA45">
        <v>2.39999910000286E-3</v>
      </c>
      <c r="DB45">
        <v>1.49720799814321E-3</v>
      </c>
      <c r="DC45">
        <v>1.9999999999999701E-3</v>
      </c>
      <c r="DD45">
        <v>3.5391937591434E-3</v>
      </c>
      <c r="DE45">
        <v>1.0535509378751401E-3</v>
      </c>
      <c r="DF45">
        <v>2.3999991000000099E-3</v>
      </c>
      <c r="DG45">
        <v>0</v>
      </c>
      <c r="DH45">
        <v>0</v>
      </c>
      <c r="DI45">
        <v>0.23180769399999601</v>
      </c>
      <c r="DJ45">
        <v>1.8846155199999701E-2</v>
      </c>
      <c r="DK45">
        <v>2.3920831424098798</v>
      </c>
      <c r="DL45">
        <v>0.15614119728524001</v>
      </c>
      <c r="DM45">
        <v>72.906484553130696</v>
      </c>
      <c r="DN45">
        <v>224.49594608057799</v>
      </c>
      <c r="DO45">
        <v>327.66000000000003</v>
      </c>
      <c r="DP45">
        <v>30.225813908388201</v>
      </c>
      <c r="DQ45">
        <v>157.94999999999899</v>
      </c>
      <c r="DR45">
        <v>169.71</v>
      </c>
      <c r="DS45">
        <v>156.005113948294</v>
      </c>
      <c r="DT45">
        <v>0</v>
      </c>
      <c r="DU45">
        <v>0</v>
      </c>
      <c r="DV45">
        <v>0</v>
      </c>
      <c r="DW45">
        <v>0</v>
      </c>
      <c r="DX45">
        <v>0</v>
      </c>
      <c r="DY45">
        <v>0</v>
      </c>
      <c r="DZ45">
        <v>0</v>
      </c>
      <c r="EA45">
        <v>0</v>
      </c>
      <c r="EB45">
        <v>0</v>
      </c>
      <c r="EC45">
        <v>0</v>
      </c>
      <c r="ED45">
        <v>0</v>
      </c>
      <c r="EE45">
        <v>0</v>
      </c>
      <c r="EF45">
        <v>1.2769578740734899</v>
      </c>
      <c r="EG45">
        <v>0</v>
      </c>
      <c r="EH45">
        <v>0</v>
      </c>
      <c r="EI45">
        <v>0</v>
      </c>
      <c r="EJ45">
        <v>0</v>
      </c>
      <c r="EK45">
        <v>0</v>
      </c>
      <c r="EL45">
        <v>0</v>
      </c>
      <c r="EM45">
        <v>0</v>
      </c>
      <c r="EN45">
        <v>0</v>
      </c>
      <c r="EO45">
        <v>0</v>
      </c>
      <c r="EP45">
        <v>0</v>
      </c>
      <c r="EQ45">
        <v>0</v>
      </c>
      <c r="ER45">
        <v>0</v>
      </c>
      <c r="ES45">
        <v>0</v>
      </c>
      <c r="ET45">
        <v>0</v>
      </c>
      <c r="EU45">
        <v>0</v>
      </c>
      <c r="EV45">
        <v>813.97525108394996</v>
      </c>
      <c r="EW45">
        <v>-28.649999999999899</v>
      </c>
      <c r="EX45">
        <v>1469.27458983632</v>
      </c>
      <c r="EY45">
        <v>834.40080280887696</v>
      </c>
      <c r="EZ45">
        <v>93.468353141005593</v>
      </c>
      <c r="FA45">
        <v>663.94167784628405</v>
      </c>
      <c r="FB45">
        <v>711.86456298828102</v>
      </c>
      <c r="FC45">
        <v>0.40312900709715699</v>
      </c>
      <c r="FD45">
        <v>0.73519020596366202</v>
      </c>
      <c r="FE45">
        <v>0</v>
      </c>
      <c r="FF45">
        <v>1</v>
      </c>
      <c r="FG45" s="159">
        <v>5.8976018788551505E-13</v>
      </c>
      <c r="FH45">
        <v>0</v>
      </c>
      <c r="FI45">
        <v>5.4512674794765098E-5</v>
      </c>
      <c r="FJ45">
        <v>-5.2793964237416603E-3</v>
      </c>
      <c r="FK45" s="159">
        <v>6.57534000000779E-6</v>
      </c>
      <c r="FL45" s="159">
        <v>2.5665840098475099E-6</v>
      </c>
      <c r="FM45" s="159">
        <v>4.1017921251224898E-6</v>
      </c>
      <c r="FN45">
        <v>0</v>
      </c>
      <c r="FO45">
        <v>0</v>
      </c>
      <c r="FP45">
        <v>0</v>
      </c>
      <c r="FQ45">
        <v>0</v>
      </c>
      <c r="FR45">
        <v>0</v>
      </c>
      <c r="FS45">
        <v>0</v>
      </c>
      <c r="FT45">
        <v>0</v>
      </c>
      <c r="FU45">
        <v>0</v>
      </c>
      <c r="FV45">
        <v>-999</v>
      </c>
      <c r="FW45">
        <v>0.48292815209984402</v>
      </c>
      <c r="FX45">
        <v>3.2076149413319999E-3</v>
      </c>
      <c r="FY45">
        <v>1.20195224278332</v>
      </c>
      <c r="FZ45">
        <v>9.4235886449064901E-4</v>
      </c>
      <c r="GA45">
        <v>42.491947144462202</v>
      </c>
      <c r="GB45">
        <v>1.06021224967796E-2</v>
      </c>
      <c r="GC45">
        <v>2.8654385126431498E-3</v>
      </c>
      <c r="GD45">
        <v>0</v>
      </c>
      <c r="GE45">
        <v>7.0154123184658001E-3</v>
      </c>
      <c r="GF45">
        <v>0.41287820421953603</v>
      </c>
      <c r="GG45">
        <v>5.5891789685496099E-4</v>
      </c>
      <c r="GH45">
        <v>9.4301852951613804E-3</v>
      </c>
      <c r="GI45">
        <v>1.8523800636846E-2</v>
      </c>
      <c r="GJ45">
        <v>9.1254842903001497E-4</v>
      </c>
      <c r="GK45">
        <v>1.7698165696108301E-3</v>
      </c>
      <c r="GL45">
        <v>0.39522100953338901</v>
      </c>
      <c r="GM45">
        <v>6.6097262071476703E-3</v>
      </c>
      <c r="GN45">
        <v>5.4776178969991604E-4</v>
      </c>
      <c r="GO45">
        <v>0</v>
      </c>
      <c r="GP45">
        <v>0</v>
      </c>
      <c r="GQ45">
        <v>0</v>
      </c>
      <c r="GR45">
        <v>6.0649443656680402E-2</v>
      </c>
      <c r="GS45">
        <v>1.12617874467419E-3</v>
      </c>
      <c r="GT45">
        <v>1.26333508227199E-4</v>
      </c>
      <c r="GU45">
        <v>3.8170738531338497E-2</v>
      </c>
      <c r="GV45">
        <v>7.0877936895592201E-4</v>
      </c>
      <c r="GW45">
        <v>7.9510099673534498E-5</v>
      </c>
      <c r="GX45">
        <v>0.121407854270488</v>
      </c>
      <c r="GY45">
        <v>0.13198312342384799</v>
      </c>
      <c r="GZ45">
        <v>58.929169376972297</v>
      </c>
      <c r="HA45">
        <v>676.270038660556</v>
      </c>
      <c r="HB45">
        <v>0</v>
      </c>
      <c r="HC45">
        <v>0.99981306645089796</v>
      </c>
      <c r="HD45">
        <v>0.41766767298368102</v>
      </c>
      <c r="HE45">
        <v>1.0842166218168201E-2</v>
      </c>
      <c r="HF45">
        <v>9.3876624478507497E-4</v>
      </c>
      <c r="HG45">
        <v>1.2878460786226001E-2</v>
      </c>
      <c r="HH45" s="159">
        <v>4.7618767258596702E-7</v>
      </c>
      <c r="HI45" s="159">
        <v>3.3333254439931198E-7</v>
      </c>
      <c r="HJ45">
        <v>0</v>
      </c>
      <c r="HK45">
        <v>0</v>
      </c>
      <c r="HL45">
        <v>0</v>
      </c>
      <c r="HM45">
        <v>0</v>
      </c>
      <c r="HN45">
        <v>0</v>
      </c>
      <c r="HO45">
        <v>1.1392034364784399E-2</v>
      </c>
      <c r="HP45">
        <v>0.54965079640753001</v>
      </c>
      <c r="HQ45">
        <v>1.0842166218168201E-2</v>
      </c>
      <c r="HR45">
        <v>9.3876624478507497E-4</v>
      </c>
      <c r="HS45">
        <v>0.72224220453694798</v>
      </c>
      <c r="HT45">
        <v>-999</v>
      </c>
      <c r="HU45">
        <v>1</v>
      </c>
      <c r="HV45">
        <v>0.79571073710767104</v>
      </c>
      <c r="HW45">
        <v>0.20428926289232799</v>
      </c>
      <c r="HX45">
        <v>12519.1499043723</v>
      </c>
      <c r="HY45">
        <v>400.31292072847799</v>
      </c>
      <c r="HZ45">
        <v>40.248712920636898</v>
      </c>
      <c r="IA45">
        <v>-0.13198312342384799</v>
      </c>
      <c r="IB45">
        <v>0</v>
      </c>
      <c r="IC45">
        <v>0</v>
      </c>
      <c r="ID45">
        <v>0</v>
      </c>
      <c r="IE45">
        <v>0</v>
      </c>
      <c r="IF45">
        <v>0</v>
      </c>
      <c r="IG45">
        <v>0</v>
      </c>
      <c r="IH45">
        <v>0</v>
      </c>
      <c r="II45">
        <v>46.337800049999601</v>
      </c>
      <c r="IJ45">
        <v>463.37800049999902</v>
      </c>
      <c r="IK45">
        <v>1.0462615939661E-2</v>
      </c>
      <c r="IL45">
        <v>2.2801194027021001E-3</v>
      </c>
      <c r="IM45">
        <v>1.27427353423631E-2</v>
      </c>
      <c r="IN45">
        <v>9.4889960901595302E-4</v>
      </c>
      <c r="IO45">
        <v>0.42326349297829402</v>
      </c>
      <c r="IP45">
        <v>1.86568534024356E-2</v>
      </c>
      <c r="IQ45">
        <v>1.6671521063328901E-3</v>
      </c>
      <c r="IR45">
        <v>0.29447945100224199</v>
      </c>
      <c r="IS45">
        <v>0.24029279320658001</v>
      </c>
      <c r="IT45">
        <v>0.26890812178968099</v>
      </c>
      <c r="IU45">
        <v>0.29862109193675401</v>
      </c>
      <c r="IV45">
        <v>1.41737459859186E-2</v>
      </c>
      <c r="IW45">
        <v>1.2188413646812E-3</v>
      </c>
      <c r="IX45">
        <v>7.4971883953502599E-2</v>
      </c>
      <c r="IY45">
        <v>2.6965703979834302E-3</v>
      </c>
      <c r="IZ45">
        <v>2.6965703979834102E-4</v>
      </c>
      <c r="JA45">
        <v>7.5082290726690606E-2</v>
      </c>
      <c r="JB45">
        <v>2.7005414818166702E-3</v>
      </c>
      <c r="JC45">
        <v>2.70054148181665E-4</v>
      </c>
      <c r="JD45">
        <v>1.7378117711526101E-4</v>
      </c>
      <c r="JE45">
        <v>3.2207348315083499E-3</v>
      </c>
      <c r="JF45" s="159">
        <v>-5.0821976835258001E-19</v>
      </c>
      <c r="JG45">
        <v>0</v>
      </c>
      <c r="JH45">
        <v>4.1315521253722102E-3</v>
      </c>
      <c r="JI45">
        <v>5.39995903846919E-4</v>
      </c>
      <c r="JJ45">
        <v>-0.50568650608729304</v>
      </c>
      <c r="JK45">
        <v>1.7378117711526101E-4</v>
      </c>
      <c r="JL45" s="159">
        <v>6.5753399999999896E-6</v>
      </c>
      <c r="JM45">
        <v>-0.50568650608729304</v>
      </c>
      <c r="JN45">
        <v>0</v>
      </c>
      <c r="JO45">
        <v>1.35783355030979</v>
      </c>
      <c r="JP45">
        <v>-1.29442335505179E-2</v>
      </c>
      <c r="JQ45">
        <v>8.6080534085658002E-4</v>
      </c>
      <c r="JR45">
        <v>3.1755457902466498E-2</v>
      </c>
      <c r="JS45">
        <v>1546.26536165625</v>
      </c>
      <c r="JT45">
        <v>4.66295596067988E-2</v>
      </c>
      <c r="JU45">
        <v>0</v>
      </c>
      <c r="JV45">
        <v>365</v>
      </c>
      <c r="JW45">
        <v>0</v>
      </c>
      <c r="JX45">
        <v>-0.40268092994350901</v>
      </c>
      <c r="JY45">
        <v>0</v>
      </c>
      <c r="JZ45">
        <v>1.31896194744735</v>
      </c>
      <c r="KA45">
        <v>1.40256342721643</v>
      </c>
      <c r="KB45">
        <v>1.4287661304014601</v>
      </c>
      <c r="KC45">
        <v>0</v>
      </c>
      <c r="KD45">
        <v>0</v>
      </c>
      <c r="KE45">
        <v>0</v>
      </c>
      <c r="KF45">
        <v>3.55712301559202E-3</v>
      </c>
      <c r="KG45">
        <v>2.2339684146429999E-2</v>
      </c>
      <c r="KH45">
        <v>3.8900098695397498E-2</v>
      </c>
      <c r="KI45">
        <v>0</v>
      </c>
      <c r="KJ45">
        <v>0</v>
      </c>
      <c r="KK45">
        <v>0</v>
      </c>
      <c r="KL45">
        <v>0</v>
      </c>
      <c r="KM45">
        <v>0</v>
      </c>
      <c r="KN45">
        <v>0</v>
      </c>
      <c r="KO45">
        <v>0</v>
      </c>
      <c r="KP45">
        <v>0</v>
      </c>
      <c r="KQ45">
        <v>0</v>
      </c>
      <c r="KR45">
        <v>0</v>
      </c>
      <c r="KS45">
        <v>0</v>
      </c>
      <c r="KT45">
        <v>0</v>
      </c>
      <c r="KU45">
        <v>0.34999999999999898</v>
      </c>
      <c r="KV45">
        <v>-0.115502099781015</v>
      </c>
      <c r="KW45">
        <v>1.8319310252474701E-3</v>
      </c>
      <c r="KX45">
        <v>33197.0838923142</v>
      </c>
      <c r="KY45">
        <v>0</v>
      </c>
      <c r="KZ45">
        <v>0.21031398812895699</v>
      </c>
      <c r="LA45">
        <v>1.73602675993533E-5</v>
      </c>
      <c r="LB45">
        <v>0</v>
      </c>
      <c r="LC45">
        <v>-12.1446406123292</v>
      </c>
      <c r="LD45">
        <v>1.5713084632462401E-2</v>
      </c>
      <c r="LE45">
        <v>3.40857040798347E-3</v>
      </c>
      <c r="LF45">
        <v>1.5713084632462401E-2</v>
      </c>
      <c r="LG45">
        <v>0.94810232322363397</v>
      </c>
      <c r="LH45">
        <v>1.23534354911776</v>
      </c>
      <c r="LI45">
        <v>0</v>
      </c>
      <c r="LJ45">
        <v>0</v>
      </c>
      <c r="LK45">
        <v>0.242507709698043</v>
      </c>
      <c r="LL45">
        <v>0</v>
      </c>
      <c r="LM45">
        <v>0</v>
      </c>
      <c r="LN45">
        <v>0</v>
      </c>
      <c r="LO45">
        <v>0</v>
      </c>
      <c r="LP45">
        <v>0</v>
      </c>
      <c r="LQ45">
        <v>0</v>
      </c>
      <c r="LR45">
        <v>0</v>
      </c>
      <c r="LS45">
        <v>0</v>
      </c>
      <c r="LT45">
        <v>-999</v>
      </c>
      <c r="LU45">
        <v>0.42564553147124601</v>
      </c>
      <c r="LV45">
        <v>44</v>
      </c>
      <c r="LW45">
        <v>170.28</v>
      </c>
      <c r="LX45">
        <v>1.591</v>
      </c>
      <c r="LY45">
        <v>0</v>
      </c>
      <c r="LZ45">
        <v>-999</v>
      </c>
      <c r="MA45">
        <v>0</v>
      </c>
      <c r="MB45">
        <v>0</v>
      </c>
      <c r="MC45">
        <v>570.27999999999895</v>
      </c>
      <c r="MD45">
        <v>-23.6999999999999</v>
      </c>
      <c r="ME45">
        <v>-33.6</v>
      </c>
      <c r="MF45">
        <v>0</v>
      </c>
      <c r="MG45">
        <v>8.0706896550000007</v>
      </c>
      <c r="MH45">
        <v>0</v>
      </c>
      <c r="MI45">
        <v>0</v>
      </c>
      <c r="MJ45">
        <v>0</v>
      </c>
      <c r="MK45">
        <v>0</v>
      </c>
      <c r="ML45">
        <v>0</v>
      </c>
      <c r="MM45">
        <v>0</v>
      </c>
      <c r="MN45">
        <v>0</v>
      </c>
      <c r="MO45">
        <v>0</v>
      </c>
      <c r="MP45">
        <v>0</v>
      </c>
      <c r="MQ45">
        <v>0</v>
      </c>
      <c r="MR45">
        <v>0</v>
      </c>
      <c r="MS45">
        <v>0</v>
      </c>
      <c r="MT45">
        <v>0</v>
      </c>
      <c r="MU45">
        <v>0</v>
      </c>
      <c r="MV45">
        <v>0</v>
      </c>
    </row>
    <row r="46" spans="1:360" x14ac:dyDescent="0.25">
      <c r="A46">
        <v>16425</v>
      </c>
      <c r="B46">
        <v>0</v>
      </c>
      <c r="C46">
        <v>-33.6</v>
      </c>
      <c r="D46">
        <v>-23.6999999999999</v>
      </c>
      <c r="E46">
        <v>400</v>
      </c>
      <c r="F46">
        <v>0</v>
      </c>
      <c r="G46">
        <v>0</v>
      </c>
      <c r="H46">
        <v>0</v>
      </c>
      <c r="I46">
        <v>0</v>
      </c>
      <c r="J46">
        <v>0</v>
      </c>
      <c r="K46">
        <v>0</v>
      </c>
      <c r="L46" s="159">
        <v>6.5753399999999896E-6</v>
      </c>
      <c r="M46">
        <v>0</v>
      </c>
      <c r="N46">
        <v>0</v>
      </c>
      <c r="O46">
        <v>0</v>
      </c>
      <c r="P46">
        <v>0</v>
      </c>
      <c r="Q46">
        <v>0</v>
      </c>
      <c r="R46">
        <v>0</v>
      </c>
      <c r="S46">
        <v>0</v>
      </c>
      <c r="T46">
        <v>0</v>
      </c>
      <c r="U46">
        <v>698.65213564384703</v>
      </c>
      <c r="V46">
        <v>13.867187878469201</v>
      </c>
      <c r="W46">
        <v>1.3419707184163401</v>
      </c>
      <c r="X46">
        <v>0.32762748918656498</v>
      </c>
      <c r="Y46">
        <v>0.27599300883870398</v>
      </c>
      <c r="Z46">
        <v>0.39637950197472999</v>
      </c>
      <c r="AA46">
        <v>0.11244054520269101</v>
      </c>
      <c r="AB46">
        <v>0.50939998250756402</v>
      </c>
      <c r="AC46">
        <v>0.378159472289743</v>
      </c>
      <c r="AD46">
        <v>0.88458019201863403</v>
      </c>
      <c r="AE46">
        <v>4.1893882696765798E-2</v>
      </c>
      <c r="AF46">
        <v>7.35259252845996E-2</v>
      </c>
      <c r="AG46">
        <v>0</v>
      </c>
      <c r="AH46">
        <v>3415.3324924724202</v>
      </c>
      <c r="AI46">
        <v>79.864690344611304</v>
      </c>
      <c r="AJ46">
        <v>8.1150438841831605</v>
      </c>
      <c r="AK46">
        <v>404.83515404464998</v>
      </c>
      <c r="AL46">
        <v>7.5172453050485704</v>
      </c>
      <c r="AM46">
        <v>0.84327641245436602</v>
      </c>
      <c r="AN46">
        <v>8699.6300726689406</v>
      </c>
      <c r="AO46">
        <v>312.906168156516</v>
      </c>
      <c r="AP46">
        <v>31.290616815651401</v>
      </c>
      <c r="AQ46">
        <v>2.9965753592954499E-2</v>
      </c>
      <c r="AR46">
        <v>6.1822662934705201E-3</v>
      </c>
      <c r="AS46">
        <v>2.1246509322408999E-2</v>
      </c>
      <c r="AT46">
        <v>9.48</v>
      </c>
      <c r="AU46">
        <v>5.9881518977103898</v>
      </c>
      <c r="AV46">
        <v>0</v>
      </c>
      <c r="AW46">
        <v>84.900534572960595</v>
      </c>
      <c r="AX46">
        <v>66.461158047053104</v>
      </c>
      <c r="AY46">
        <v>361.49763436049398</v>
      </c>
      <c r="AZ46">
        <v>0.54833294000258004</v>
      </c>
      <c r="BA46">
        <v>0.83670773779539498</v>
      </c>
      <c r="BB46">
        <v>1.4007300664572101E-2</v>
      </c>
      <c r="BC46">
        <v>1.1710728027324101E-3</v>
      </c>
      <c r="BD46">
        <v>0.59577814146673702</v>
      </c>
      <c r="BE46">
        <v>9.2455859514216105E-3</v>
      </c>
      <c r="BF46">
        <v>7.5519592421546702E-4</v>
      </c>
      <c r="BG46">
        <v>766.29999847710098</v>
      </c>
      <c r="BH46">
        <v>-1626.59999865293</v>
      </c>
      <c r="BI46">
        <v>426.45717735692898</v>
      </c>
      <c r="BJ46">
        <v>210.58912021914099</v>
      </c>
      <c r="BK46">
        <v>3.5597554455118599</v>
      </c>
      <c r="BL46">
        <v>4.6505387784163297</v>
      </c>
      <c r="BM46">
        <v>192.50337505473701</v>
      </c>
      <c r="BN46">
        <v>21.9895784712268</v>
      </c>
      <c r="BO46">
        <v>214.492953525964</v>
      </c>
      <c r="BP46">
        <v>3.4716756916932501</v>
      </c>
      <c r="BQ46">
        <v>0.29203521759145601</v>
      </c>
      <c r="BR46">
        <v>207.02936477362999</v>
      </c>
      <c r="BS46">
        <v>2.19943461009774</v>
      </c>
      <c r="BT46">
        <v>0.29181102593939001</v>
      </c>
      <c r="BU46">
        <v>3.4833319385336701</v>
      </c>
      <c r="BV46">
        <v>1.6986210264891699</v>
      </c>
      <c r="BW46">
        <v>0.52780853949954498</v>
      </c>
      <c r="BX46">
        <v>1.25690237254495</v>
      </c>
      <c r="BY46">
        <v>0</v>
      </c>
      <c r="BZ46">
        <v>3.0633587412719998</v>
      </c>
      <c r="CA46">
        <v>0.40831695042124699</v>
      </c>
      <c r="CB46">
        <v>0.29322171723894103</v>
      </c>
      <c r="CC46">
        <v>0.246230665641515</v>
      </c>
      <c r="CD46">
        <v>4.5804551949940001E-2</v>
      </c>
      <c r="CE46">
        <v>21.630005645575402</v>
      </c>
      <c r="CF46">
        <v>164.522753287575</v>
      </c>
      <c r="CG46">
        <v>42.214615221332501</v>
      </c>
      <c r="CH46">
        <v>0.40164016578817702</v>
      </c>
      <c r="CI46">
        <v>7.1963361116993099</v>
      </c>
      <c r="CJ46">
        <v>1.71679301340476</v>
      </c>
      <c r="CK46">
        <v>9.5836963224132692</v>
      </c>
      <c r="CL46">
        <v>1.5183649625065601</v>
      </c>
      <c r="CM46">
        <v>9.7463151713273993E-2</v>
      </c>
      <c r="CN46">
        <v>4.5055557502688498E-2</v>
      </c>
      <c r="CO46">
        <v>0.61908710273671297</v>
      </c>
      <c r="CP46">
        <v>0.75801138739724805</v>
      </c>
      <c r="CQ46">
        <v>0.15183649625065501</v>
      </c>
      <c r="CR46">
        <v>42.5066114860537</v>
      </c>
      <c r="CS46">
        <v>1.52886741278855</v>
      </c>
      <c r="CT46">
        <v>0.15288674127885299</v>
      </c>
      <c r="CU46">
        <v>1.4700000000000501E-2</v>
      </c>
      <c r="CV46">
        <v>2.0559831127109698E-3</v>
      </c>
      <c r="CW46">
        <v>2.23023293078549</v>
      </c>
      <c r="CX46">
        <v>2.0300000000000699E-2</v>
      </c>
      <c r="CY46">
        <v>5.9260948687034102E-3</v>
      </c>
      <c r="CZ46">
        <v>0</v>
      </c>
      <c r="DA46">
        <v>2.3999991000028501E-3</v>
      </c>
      <c r="DB46">
        <v>1.49709651558161E-3</v>
      </c>
      <c r="DC46">
        <v>2.0000000000000699E-3</v>
      </c>
      <c r="DD46">
        <v>3.5299217710657699E-3</v>
      </c>
      <c r="DE46">
        <v>1.0486994830687399E-3</v>
      </c>
      <c r="DF46">
        <v>2.3999990999999999E-3</v>
      </c>
      <c r="DG46">
        <v>0</v>
      </c>
      <c r="DH46">
        <v>0</v>
      </c>
      <c r="DI46">
        <v>0.231807694000008</v>
      </c>
      <c r="DJ46">
        <v>1.8846155200000599E-2</v>
      </c>
      <c r="DK46">
        <v>2.39704285421546</v>
      </c>
      <c r="DL46">
        <v>0.156464938264717</v>
      </c>
      <c r="DM46">
        <v>72.4620354269356</v>
      </c>
      <c r="DN46">
        <v>224.97585736958399</v>
      </c>
      <c r="DO46">
        <v>327.66000000000003</v>
      </c>
      <c r="DP46">
        <v>30.190866518766502</v>
      </c>
      <c r="DQ46">
        <v>157.94999999999899</v>
      </c>
      <c r="DR46">
        <v>169.71</v>
      </c>
      <c r="DS46">
        <v>156.02841895661899</v>
      </c>
      <c r="DT46">
        <v>0</v>
      </c>
      <c r="DU46">
        <v>0</v>
      </c>
      <c r="DV46">
        <v>0</v>
      </c>
      <c r="DW46">
        <v>0</v>
      </c>
      <c r="DX46">
        <v>0</v>
      </c>
      <c r="DY46">
        <v>0</v>
      </c>
      <c r="DZ46">
        <v>0</v>
      </c>
      <c r="EA46">
        <v>0</v>
      </c>
      <c r="EB46">
        <v>0</v>
      </c>
      <c r="EC46">
        <v>0</v>
      </c>
      <c r="ED46">
        <v>0</v>
      </c>
      <c r="EE46">
        <v>0</v>
      </c>
      <c r="EF46">
        <v>1.27602343515407</v>
      </c>
      <c r="EG46">
        <v>0</v>
      </c>
      <c r="EH46">
        <v>0</v>
      </c>
      <c r="EI46">
        <v>0</v>
      </c>
      <c r="EJ46">
        <v>0</v>
      </c>
      <c r="EK46">
        <v>0</v>
      </c>
      <c r="EL46">
        <v>0</v>
      </c>
      <c r="EM46">
        <v>0</v>
      </c>
      <c r="EN46">
        <v>0</v>
      </c>
      <c r="EO46">
        <v>0</v>
      </c>
      <c r="EP46">
        <v>0</v>
      </c>
      <c r="EQ46">
        <v>0</v>
      </c>
      <c r="ER46">
        <v>0</v>
      </c>
      <c r="ES46">
        <v>0</v>
      </c>
      <c r="ET46">
        <v>0</v>
      </c>
      <c r="EU46">
        <v>0</v>
      </c>
      <c r="EV46">
        <v>814.74536979062896</v>
      </c>
      <c r="EW46">
        <v>-28.649999999999899</v>
      </c>
      <c r="EX46">
        <v>1470.8466013554601</v>
      </c>
      <c r="EY46">
        <v>834.85704106121102</v>
      </c>
      <c r="EZ46">
        <v>93.264379928210005</v>
      </c>
      <c r="FA46">
        <v>664.76990398757198</v>
      </c>
      <c r="FB46">
        <v>712.81231689453102</v>
      </c>
      <c r="FC46">
        <v>0.40224927063036903</v>
      </c>
      <c r="FD46">
        <v>0.73358582219860202</v>
      </c>
      <c r="FE46">
        <v>0</v>
      </c>
      <c r="FF46">
        <v>1</v>
      </c>
      <c r="FG46" s="159">
        <v>5.8978556482991597E-13</v>
      </c>
      <c r="FH46">
        <v>0</v>
      </c>
      <c r="FI46">
        <v>5.4512674794765098E-5</v>
      </c>
      <c r="FJ46">
        <v>-5.2673035118363703E-3</v>
      </c>
      <c r="FK46" s="159">
        <v>6.57534000000779E-6</v>
      </c>
      <c r="FL46" s="159">
        <v>2.5554283810594101E-6</v>
      </c>
      <c r="FM46" s="159">
        <v>4.1014850030361204E-6</v>
      </c>
      <c r="FN46">
        <v>0</v>
      </c>
      <c r="FO46">
        <v>0</v>
      </c>
      <c r="FP46">
        <v>0</v>
      </c>
      <c r="FQ46">
        <v>0</v>
      </c>
      <c r="FR46">
        <v>0</v>
      </c>
      <c r="FS46">
        <v>0</v>
      </c>
      <c r="FT46">
        <v>0</v>
      </c>
      <c r="FU46">
        <v>0</v>
      </c>
      <c r="FV46">
        <v>-999</v>
      </c>
      <c r="FW46">
        <v>0.48321098076935798</v>
      </c>
      <c r="FX46">
        <v>3.20900322779094E-3</v>
      </c>
      <c r="FY46">
        <v>1.2029083433312</v>
      </c>
      <c r="FZ46">
        <v>9.4107184817545297E-4</v>
      </c>
      <c r="GA46">
        <v>42.462140189201101</v>
      </c>
      <c r="GB46">
        <v>1.06045203350535E-2</v>
      </c>
      <c r="GC46">
        <v>2.8660865770415E-3</v>
      </c>
      <c r="GD46">
        <v>0</v>
      </c>
      <c r="GE46">
        <v>7.0161616530078899E-3</v>
      </c>
      <c r="GF46">
        <v>0.41108363370740902</v>
      </c>
      <c r="GG46">
        <v>5.5898762204703903E-4</v>
      </c>
      <c r="GH46">
        <v>9.4280313566960806E-3</v>
      </c>
      <c r="GI46">
        <v>1.8520598054531899E-2</v>
      </c>
      <c r="GJ46">
        <v>9.1237979350099804E-4</v>
      </c>
      <c r="GK46">
        <v>1.76955913322217E-3</v>
      </c>
      <c r="GL46">
        <v>0.39564242154936002</v>
      </c>
      <c r="GM46">
        <v>6.6164397844104099E-3</v>
      </c>
      <c r="GN46">
        <v>5.4834096050563501E-4</v>
      </c>
      <c r="GO46">
        <v>0</v>
      </c>
      <c r="GP46">
        <v>0</v>
      </c>
      <c r="GQ46">
        <v>0</v>
      </c>
      <c r="GR46">
        <v>6.0689803600719898E-2</v>
      </c>
      <c r="GS46">
        <v>1.1269281746503501E-3</v>
      </c>
      <c r="GT46">
        <v>1.2641757846783001E-4</v>
      </c>
      <c r="GU46">
        <v>3.8204814002823301E-2</v>
      </c>
      <c r="GV46">
        <v>7.0941210471386603E-4</v>
      </c>
      <c r="GW46">
        <v>7.9581079283529404E-5</v>
      </c>
      <c r="GX46">
        <v>0.12153848889071001</v>
      </c>
      <c r="GY46">
        <v>0.13211299950300301</v>
      </c>
      <c r="GZ46">
        <v>58.932008340906798</v>
      </c>
      <c r="HA46">
        <v>676.28966332803202</v>
      </c>
      <c r="HB46">
        <v>0</v>
      </c>
      <c r="HC46">
        <v>0.999813066031636</v>
      </c>
      <c r="HD46">
        <v>0.418080831309604</v>
      </c>
      <c r="HE46">
        <v>1.08529272348041E-2</v>
      </c>
      <c r="HF46">
        <v>9.3970838053199495E-4</v>
      </c>
      <c r="HG46">
        <v>1.28944998659229E-2</v>
      </c>
      <c r="HH46" s="159">
        <v>4.7618767652815899E-7</v>
      </c>
      <c r="HI46" s="159">
        <v>3.3333254433567201E-7</v>
      </c>
      <c r="HJ46">
        <v>0</v>
      </c>
      <c r="HK46">
        <v>0</v>
      </c>
      <c r="HL46">
        <v>0</v>
      </c>
      <c r="HM46">
        <v>0</v>
      </c>
      <c r="HN46">
        <v>0</v>
      </c>
      <c r="HO46">
        <v>1.14062636253168E-2</v>
      </c>
      <c r="HP46">
        <v>0.55019383081260698</v>
      </c>
      <c r="HQ46">
        <v>1.08529272348041E-2</v>
      </c>
      <c r="HR46">
        <v>9.3970838053199495E-4</v>
      </c>
      <c r="HS46">
        <v>0.72207286032817097</v>
      </c>
      <c r="HT46">
        <v>-999</v>
      </c>
      <c r="HU46">
        <v>1</v>
      </c>
      <c r="HV46">
        <v>0.79626794923183897</v>
      </c>
      <c r="HW46">
        <v>0.20373205076816001</v>
      </c>
      <c r="HX46">
        <v>12519.797719186001</v>
      </c>
      <c r="HY46">
        <v>400.28810380617603</v>
      </c>
      <c r="HZ46">
        <v>40.2489371122889</v>
      </c>
      <c r="IA46">
        <v>-0.13211299950300301</v>
      </c>
      <c r="IB46">
        <v>0</v>
      </c>
      <c r="IC46">
        <v>0</v>
      </c>
      <c r="ID46">
        <v>0</v>
      </c>
      <c r="IE46">
        <v>0</v>
      </c>
      <c r="IF46">
        <v>0</v>
      </c>
      <c r="IG46">
        <v>0</v>
      </c>
      <c r="IH46">
        <v>0</v>
      </c>
      <c r="II46">
        <v>46.337800049999601</v>
      </c>
      <c r="IJ46">
        <v>463.37800049999902</v>
      </c>
      <c r="IK46">
        <v>1.0475034237410899E-2</v>
      </c>
      <c r="IL46">
        <v>2.2832745428885901E-3</v>
      </c>
      <c r="IM46">
        <v>1.27583087802995E-2</v>
      </c>
      <c r="IN46">
        <v>9.4512174266901802E-4</v>
      </c>
      <c r="IO46">
        <v>0.42333699056128099</v>
      </c>
      <c r="IP46">
        <v>1.8671185208751401E-2</v>
      </c>
      <c r="IQ46">
        <v>1.66342342369161E-3</v>
      </c>
      <c r="IR46">
        <v>0.29433027753256902</v>
      </c>
      <c r="IS46">
        <v>0.240028388582155</v>
      </c>
      <c r="IT46">
        <v>0.269421148863562</v>
      </c>
      <c r="IU46">
        <v>0.29873609663957601</v>
      </c>
      <c r="IV46">
        <v>1.41895707101758E-2</v>
      </c>
      <c r="IW46">
        <v>1.2152619738340601E-3</v>
      </c>
      <c r="IX46">
        <v>7.4970053195210398E-2</v>
      </c>
      <c r="IY46">
        <v>2.69650454971664E-3</v>
      </c>
      <c r="IZ46">
        <v>2.6965045497166198E-4</v>
      </c>
      <c r="JA46">
        <v>7.5080050278521299E-2</v>
      </c>
      <c r="JB46">
        <v>2.7004608979245099E-3</v>
      </c>
      <c r="JC46">
        <v>2.70046089792449E-4</v>
      </c>
      <c r="JD46">
        <v>1.7402654452491301E-4</v>
      </c>
      <c r="JE46">
        <v>3.2226201341843501E-3</v>
      </c>
      <c r="JF46" s="159">
        <v>7.3861273000574903E-19</v>
      </c>
      <c r="JG46">
        <v>0</v>
      </c>
      <c r="JH46">
        <v>4.1317228278008201E-3</v>
      </c>
      <c r="JI46">
        <v>5.4018632095749204E-4</v>
      </c>
      <c r="JJ46">
        <v>-0.50592914642110098</v>
      </c>
      <c r="JK46">
        <v>1.7402654452491301E-4</v>
      </c>
      <c r="JL46" s="159">
        <v>6.5753399999999896E-6</v>
      </c>
      <c r="JM46">
        <v>-0.50592914642110098</v>
      </c>
      <c r="JN46">
        <v>0</v>
      </c>
      <c r="JO46">
        <v>1.3945202852969101</v>
      </c>
      <c r="JP46">
        <v>-1.31377093328556E-2</v>
      </c>
      <c r="JQ46">
        <v>8.7007732893429996E-4</v>
      </c>
      <c r="JR46">
        <v>3.1240684713001302E-2</v>
      </c>
      <c r="JS46">
        <v>1547.6693584992699</v>
      </c>
      <c r="JT46">
        <v>4.6527801302899997E-2</v>
      </c>
      <c r="JU46">
        <v>0</v>
      </c>
      <c r="JV46">
        <v>365</v>
      </c>
      <c r="JW46">
        <v>0</v>
      </c>
      <c r="JX46">
        <v>-0.40268092994350901</v>
      </c>
      <c r="JY46">
        <v>0</v>
      </c>
      <c r="JZ46">
        <v>1.31913604073853</v>
      </c>
      <c r="KA46">
        <v>1.4025376698041401</v>
      </c>
      <c r="KB46">
        <v>1.4290815266288499</v>
      </c>
      <c r="KC46">
        <v>0</v>
      </c>
      <c r="KD46">
        <v>0</v>
      </c>
      <c r="KE46">
        <v>0</v>
      </c>
      <c r="KF46">
        <v>3.5587918154663502E-3</v>
      </c>
      <c r="KG46">
        <v>2.23537961714242E-2</v>
      </c>
      <c r="KH46">
        <v>3.8866803804464202E-2</v>
      </c>
      <c r="KI46">
        <v>0</v>
      </c>
      <c r="KJ46">
        <v>0</v>
      </c>
      <c r="KK46">
        <v>0</v>
      </c>
      <c r="KL46">
        <v>0</v>
      </c>
      <c r="KM46">
        <v>0</v>
      </c>
      <c r="KN46">
        <v>0</v>
      </c>
      <c r="KO46">
        <v>0</v>
      </c>
      <c r="KP46">
        <v>0</v>
      </c>
      <c r="KQ46">
        <v>0</v>
      </c>
      <c r="KR46">
        <v>0</v>
      </c>
      <c r="KS46">
        <v>0</v>
      </c>
      <c r="KT46">
        <v>0</v>
      </c>
      <c r="KU46">
        <v>0.34999999999999898</v>
      </c>
      <c r="KV46">
        <v>-0.115426081514502</v>
      </c>
      <c r="KW46">
        <v>1.83078948286566E-3</v>
      </c>
      <c r="KX46">
        <v>33238.495199378602</v>
      </c>
      <c r="KY46">
        <v>0</v>
      </c>
      <c r="KZ46">
        <v>0.210318992087002</v>
      </c>
      <c r="LA46">
        <v>1.73602675993533E-5</v>
      </c>
      <c r="LB46">
        <v>0</v>
      </c>
      <c r="LC46">
        <v>-12.144128677993301</v>
      </c>
      <c r="LD46">
        <v>1.5713406736115501E-2</v>
      </c>
      <c r="LE46">
        <v>3.4088742793543202E-3</v>
      </c>
      <c r="LF46">
        <v>1.5713406736115501E-2</v>
      </c>
      <c r="LG46">
        <v>0.94833904603910302</v>
      </c>
      <c r="LH46">
        <v>1.2356125523171599</v>
      </c>
      <c r="LI46">
        <v>0</v>
      </c>
      <c r="LJ46">
        <v>0</v>
      </c>
      <c r="LK46">
        <v>0.242572955922744</v>
      </c>
      <c r="LL46">
        <v>0</v>
      </c>
      <c r="LM46">
        <v>0</v>
      </c>
      <c r="LN46">
        <v>0</v>
      </c>
      <c r="LO46">
        <v>0</v>
      </c>
      <c r="LP46">
        <v>0</v>
      </c>
      <c r="LQ46">
        <v>0</v>
      </c>
      <c r="LR46">
        <v>0</v>
      </c>
      <c r="LS46">
        <v>0</v>
      </c>
      <c r="LT46">
        <v>-999</v>
      </c>
      <c r="LU46">
        <v>0.425647116282801</v>
      </c>
      <c r="LV46">
        <v>45</v>
      </c>
      <c r="LW46">
        <v>174.24</v>
      </c>
      <c r="LX46">
        <v>1.6279999999999899</v>
      </c>
      <c r="LY46">
        <v>0</v>
      </c>
      <c r="LZ46">
        <v>-999</v>
      </c>
      <c r="MA46">
        <v>0</v>
      </c>
      <c r="MB46">
        <v>0</v>
      </c>
      <c r="MC46">
        <v>574.24</v>
      </c>
      <c r="MD46">
        <v>-23.6999999999999</v>
      </c>
      <c r="ME46">
        <v>-33.6</v>
      </c>
      <c r="MF46">
        <v>0</v>
      </c>
      <c r="MG46">
        <v>8.0706896550000007</v>
      </c>
      <c r="MH46">
        <v>0</v>
      </c>
      <c r="MI46">
        <v>0</v>
      </c>
      <c r="MJ46">
        <v>0</v>
      </c>
      <c r="MK46">
        <v>0</v>
      </c>
      <c r="ML46">
        <v>0</v>
      </c>
      <c r="MM46">
        <v>0</v>
      </c>
      <c r="MN46">
        <v>0</v>
      </c>
      <c r="MO46">
        <v>0</v>
      </c>
      <c r="MP46">
        <v>0</v>
      </c>
      <c r="MQ46">
        <v>0</v>
      </c>
      <c r="MR46">
        <v>0</v>
      </c>
      <c r="MS46">
        <v>0</v>
      </c>
      <c r="MT46">
        <v>0</v>
      </c>
      <c r="MU46">
        <v>0</v>
      </c>
      <c r="MV46">
        <v>0</v>
      </c>
    </row>
    <row r="47" spans="1:360" x14ac:dyDescent="0.25">
      <c r="A47">
        <v>16790</v>
      </c>
      <c r="B47">
        <v>0</v>
      </c>
      <c r="C47">
        <v>-33.6</v>
      </c>
      <c r="D47">
        <v>-23.6999999999999</v>
      </c>
      <c r="E47">
        <v>400</v>
      </c>
      <c r="F47">
        <v>0</v>
      </c>
      <c r="G47">
        <v>0</v>
      </c>
      <c r="H47">
        <v>0</v>
      </c>
      <c r="I47">
        <v>0</v>
      </c>
      <c r="J47">
        <v>0</v>
      </c>
      <c r="K47">
        <v>0</v>
      </c>
      <c r="L47" s="159">
        <v>6.5753399999999896E-6</v>
      </c>
      <c r="M47">
        <v>0</v>
      </c>
      <c r="N47">
        <v>0</v>
      </c>
      <c r="O47">
        <v>0</v>
      </c>
      <c r="P47">
        <v>0</v>
      </c>
      <c r="Q47">
        <v>0</v>
      </c>
      <c r="R47">
        <v>0</v>
      </c>
      <c r="S47">
        <v>0</v>
      </c>
      <c r="T47">
        <v>0</v>
      </c>
      <c r="U47">
        <v>699.443196679371</v>
      </c>
      <c r="V47">
        <v>13.879519459659001</v>
      </c>
      <c r="W47">
        <v>1.3431904086386099</v>
      </c>
      <c r="X47">
        <v>0.32631584025594501</v>
      </c>
      <c r="Y47">
        <v>0.27576165034251598</v>
      </c>
      <c r="Z47">
        <v>0.397922509401538</v>
      </c>
      <c r="AA47">
        <v>0.112434675837058</v>
      </c>
      <c r="AB47">
        <v>0.51019466983976702</v>
      </c>
      <c r="AC47">
        <v>0.37737065432317402</v>
      </c>
      <c r="AD47">
        <v>0.884580108992986</v>
      </c>
      <c r="AE47">
        <v>4.1808216555182701E-2</v>
      </c>
      <c r="AF47">
        <v>7.3611674451830506E-2</v>
      </c>
      <c r="AG47">
        <v>0</v>
      </c>
      <c r="AH47">
        <v>3415.90592516994</v>
      </c>
      <c r="AI47">
        <v>79.842892575891497</v>
      </c>
      <c r="AJ47">
        <v>8.1155577999028594</v>
      </c>
      <c r="AK47">
        <v>405.19063412750398</v>
      </c>
      <c r="AL47">
        <v>7.5238460929425202</v>
      </c>
      <c r="AM47">
        <v>0.84401688166997801</v>
      </c>
      <c r="AN47">
        <v>8699.3386791306293</v>
      </c>
      <c r="AO47">
        <v>312.89568738495001</v>
      </c>
      <c r="AP47">
        <v>31.2895687384948</v>
      </c>
      <c r="AQ47">
        <v>2.9984366185985399E-2</v>
      </c>
      <c r="AR47">
        <v>6.1878771793422403E-3</v>
      </c>
      <c r="AS47">
        <v>2.1153390781892299E-2</v>
      </c>
      <c r="AT47">
        <v>9.48</v>
      </c>
      <c r="AU47">
        <v>5.9876987222703697</v>
      </c>
      <c r="AV47">
        <v>0</v>
      </c>
      <c r="AW47">
        <v>84.923064882666495</v>
      </c>
      <c r="AX47">
        <v>66.4694640623878</v>
      </c>
      <c r="AY47">
        <v>361.49524958805802</v>
      </c>
      <c r="AZ47">
        <v>0.54833294000258004</v>
      </c>
      <c r="BA47">
        <v>0.83720310636844697</v>
      </c>
      <c r="BB47">
        <v>1.40134519464342E-2</v>
      </c>
      <c r="BC47">
        <v>1.171686644896E-3</v>
      </c>
      <c r="BD47">
        <v>0.59601770667828402</v>
      </c>
      <c r="BE47">
        <v>9.2496829135868697E-3</v>
      </c>
      <c r="BF47">
        <v>7.5536598318850904E-4</v>
      </c>
      <c r="BG47">
        <v>766.29999847710098</v>
      </c>
      <c r="BH47">
        <v>-1626.59999865293</v>
      </c>
      <c r="BI47">
        <v>426.75027270179902</v>
      </c>
      <c r="BJ47">
        <v>210.71238441325201</v>
      </c>
      <c r="BK47">
        <v>3.5986598502642599</v>
      </c>
      <c r="BL47">
        <v>4.6559660170754</v>
      </c>
      <c r="BM47">
        <v>192.572114641339</v>
      </c>
      <c r="BN47">
        <v>22.005174753463599</v>
      </c>
      <c r="BO47">
        <v>214.57728939480299</v>
      </c>
      <c r="BP47">
        <v>3.4731239995058201</v>
      </c>
      <c r="BQ47">
        <v>0.29218491203602998</v>
      </c>
      <c r="BR47">
        <v>207.11372456298801</v>
      </c>
      <c r="BS47">
        <v>2.2001033468033802</v>
      </c>
      <c r="BT47">
        <v>0.29197860425727601</v>
      </c>
      <c r="BU47">
        <v>3.48545558069564</v>
      </c>
      <c r="BV47">
        <v>1.70001314625318</v>
      </c>
      <c r="BW47">
        <v>0.52707324063829897</v>
      </c>
      <c r="BX47">
        <v>1.2583691938041599</v>
      </c>
      <c r="BY47">
        <v>0</v>
      </c>
      <c r="BZ47">
        <v>3.0645174470619998</v>
      </c>
      <c r="CA47">
        <v>0.40860655244382099</v>
      </c>
      <c r="CB47">
        <v>0.29340460225829501</v>
      </c>
      <c r="CC47">
        <v>0.24634787284578799</v>
      </c>
      <c r="CD47">
        <v>4.5837039190242297E-2</v>
      </c>
      <c r="CE47">
        <v>21.649694670610099</v>
      </c>
      <c r="CF47">
        <v>164.60739750942301</v>
      </c>
      <c r="CG47">
        <v>42.214933515267603</v>
      </c>
      <c r="CH47">
        <v>0.40200576454985598</v>
      </c>
      <c r="CI47">
        <v>7.2001974627627403</v>
      </c>
      <c r="CJ47">
        <v>1.7173357865300001</v>
      </c>
      <c r="CK47">
        <v>9.5887794137058204</v>
      </c>
      <c r="CL47">
        <v>1.51837641082502</v>
      </c>
      <c r="CM47">
        <v>9.7605786686812204E-2</v>
      </c>
      <c r="CN47">
        <v>4.5096569974629498E-2</v>
      </c>
      <c r="CO47">
        <v>0.61640038688125498</v>
      </c>
      <c r="CP47">
        <v>0.75549327289950197</v>
      </c>
      <c r="CQ47">
        <v>0.151837641082501</v>
      </c>
      <c r="CR47">
        <v>42.506327053564704</v>
      </c>
      <c r="CS47">
        <v>1.5288571823903001</v>
      </c>
      <c r="CT47">
        <v>0.15288571823902899</v>
      </c>
      <c r="CU47">
        <v>1.4700000000001601E-2</v>
      </c>
      <c r="CV47">
        <v>2.0593605515393E-3</v>
      </c>
      <c r="CW47">
        <v>2.23004801393563</v>
      </c>
      <c r="CX47">
        <v>2.0300000000002202E-2</v>
      </c>
      <c r="CY47">
        <v>5.93337588145858E-3</v>
      </c>
      <c r="CZ47">
        <v>0</v>
      </c>
      <c r="DA47">
        <v>2.39999910000289E-3</v>
      </c>
      <c r="DB47">
        <v>1.4969838433577501E-3</v>
      </c>
      <c r="DC47">
        <v>2.0000000000002199E-3</v>
      </c>
      <c r="DD47">
        <v>3.52029507951644E-3</v>
      </c>
      <c r="DE47">
        <v>1.04380840334193E-3</v>
      </c>
      <c r="DF47">
        <v>2.3999991000000398E-3</v>
      </c>
      <c r="DG47">
        <v>0</v>
      </c>
      <c r="DH47">
        <v>0</v>
      </c>
      <c r="DI47">
        <v>0.23180769400002499</v>
      </c>
      <c r="DJ47">
        <v>1.8846155200002001E-2</v>
      </c>
      <c r="DK47">
        <v>2.4018872666561699</v>
      </c>
      <c r="DL47">
        <v>0.15678115317599001</v>
      </c>
      <c r="DM47">
        <v>72.024316025921905</v>
      </c>
      <c r="DN47">
        <v>225.44811407078299</v>
      </c>
      <c r="DO47">
        <v>327.66000000000003</v>
      </c>
      <c r="DP47">
        <v>30.156737775548901</v>
      </c>
      <c r="DQ47">
        <v>157.94999999999899</v>
      </c>
      <c r="DR47">
        <v>169.71</v>
      </c>
      <c r="DS47">
        <v>156.051267979171</v>
      </c>
      <c r="DT47">
        <v>0</v>
      </c>
      <c r="DU47">
        <v>0</v>
      </c>
      <c r="DV47">
        <v>0</v>
      </c>
      <c r="DW47">
        <v>0</v>
      </c>
      <c r="DX47">
        <v>0</v>
      </c>
      <c r="DY47">
        <v>0</v>
      </c>
      <c r="DZ47">
        <v>0</v>
      </c>
      <c r="EA47">
        <v>0</v>
      </c>
      <c r="EB47">
        <v>0</v>
      </c>
      <c r="EC47">
        <v>0</v>
      </c>
      <c r="ED47">
        <v>0</v>
      </c>
      <c r="EE47">
        <v>0</v>
      </c>
      <c r="EF47">
        <v>1.2751254472403599</v>
      </c>
      <c r="EG47">
        <v>0</v>
      </c>
      <c r="EH47">
        <v>0</v>
      </c>
      <c r="EI47">
        <v>0</v>
      </c>
      <c r="EJ47">
        <v>0</v>
      </c>
      <c r="EK47">
        <v>0</v>
      </c>
      <c r="EL47">
        <v>0</v>
      </c>
      <c r="EM47">
        <v>0</v>
      </c>
      <c r="EN47">
        <v>0</v>
      </c>
      <c r="EO47">
        <v>0</v>
      </c>
      <c r="EP47">
        <v>0</v>
      </c>
      <c r="EQ47">
        <v>0</v>
      </c>
      <c r="ER47">
        <v>0</v>
      </c>
      <c r="ES47">
        <v>0</v>
      </c>
      <c r="ET47">
        <v>0</v>
      </c>
      <c r="EU47">
        <v>0</v>
      </c>
      <c r="EV47">
        <v>815.56535489126702</v>
      </c>
      <c r="EW47">
        <v>-28.649999999999899</v>
      </c>
      <c r="EX47">
        <v>1472.5119930092001</v>
      </c>
      <c r="EY47">
        <v>835.34398528126201</v>
      </c>
      <c r="EZ47">
        <v>93.063081337586894</v>
      </c>
      <c r="FA47">
        <v>665.62395836267297</v>
      </c>
      <c r="FB47">
        <v>713.824951171875</v>
      </c>
      <c r="FC47">
        <v>0.401381069809012</v>
      </c>
      <c r="FD47">
        <v>0.73200247609987301</v>
      </c>
      <c r="FE47">
        <v>0</v>
      </c>
      <c r="FF47">
        <v>1</v>
      </c>
      <c r="FG47" s="159">
        <v>5.8978556482991597E-13</v>
      </c>
      <c r="FH47">
        <v>0</v>
      </c>
      <c r="FI47">
        <v>5.4512674794765098E-5</v>
      </c>
      <c r="FJ47">
        <v>-5.2554028954798597E-3</v>
      </c>
      <c r="FK47" s="159">
        <v>6.57534000000779E-6</v>
      </c>
      <c r="FL47" s="159">
        <v>2.54416506073146E-6</v>
      </c>
      <c r="FM47" s="159">
        <v>4.1011746080590501E-6</v>
      </c>
      <c r="FN47">
        <v>0</v>
      </c>
      <c r="FO47">
        <v>0</v>
      </c>
      <c r="FP47">
        <v>0</v>
      </c>
      <c r="FQ47">
        <v>0</v>
      </c>
      <c r="FR47">
        <v>0</v>
      </c>
      <c r="FS47">
        <v>0</v>
      </c>
      <c r="FT47">
        <v>0</v>
      </c>
      <c r="FU47">
        <v>0</v>
      </c>
      <c r="FV47">
        <v>-999</v>
      </c>
      <c r="FW47">
        <v>0.48350883733961197</v>
      </c>
      <c r="FX47">
        <v>3.2103966419786902E-3</v>
      </c>
      <c r="FY47">
        <v>1.20392932380023</v>
      </c>
      <c r="FZ47">
        <v>9.3974684204192695E-4</v>
      </c>
      <c r="GA47">
        <v>42.432164256864901</v>
      </c>
      <c r="GB47">
        <v>1.06074387291826E-2</v>
      </c>
      <c r="GC47">
        <v>2.8668753322115201E-3</v>
      </c>
      <c r="GD47">
        <v>0</v>
      </c>
      <c r="GE47">
        <v>7.0170188162321503E-3</v>
      </c>
      <c r="GF47">
        <v>0.40927173919988002</v>
      </c>
      <c r="GG47">
        <v>5.5905961327219604E-4</v>
      </c>
      <c r="GH47">
        <v>9.4257428975468502E-3</v>
      </c>
      <c r="GI47">
        <v>1.8517397770448699E-2</v>
      </c>
      <c r="GJ47">
        <v>9.1217620977992E-4</v>
      </c>
      <c r="GK47">
        <v>1.7693079942109201E-3</v>
      </c>
      <c r="GL47">
        <v>0.39608169602024501</v>
      </c>
      <c r="GM47">
        <v>6.6233615626835798E-3</v>
      </c>
      <c r="GN47">
        <v>5.4892355734430199E-4</v>
      </c>
      <c r="GO47">
        <v>0</v>
      </c>
      <c r="GP47">
        <v>0</v>
      </c>
      <c r="GQ47">
        <v>0</v>
      </c>
      <c r="GR47">
        <v>6.0732896826566303E-2</v>
      </c>
      <c r="GS47">
        <v>1.1277283580001299E-3</v>
      </c>
      <c r="GT47">
        <v>1.2650734216678201E-4</v>
      </c>
      <c r="GU47">
        <v>3.82384999992419E-2</v>
      </c>
      <c r="GV47">
        <v>7.1003760844271196E-4</v>
      </c>
      <c r="GW47">
        <v>7.9651247612356698E-5</v>
      </c>
      <c r="GX47">
        <v>0.121673689474754</v>
      </c>
      <c r="GY47">
        <v>0.132247783839677</v>
      </c>
      <c r="GZ47">
        <v>58.935530037885997</v>
      </c>
      <c r="HA47">
        <v>676.33061084039798</v>
      </c>
      <c r="HB47">
        <v>0</v>
      </c>
      <c r="HC47">
        <v>0.99981306603363895</v>
      </c>
      <c r="HD47">
        <v>0.418506947903587</v>
      </c>
      <c r="HE47">
        <v>1.0864130114112599E-2</v>
      </c>
      <c r="HF47">
        <v>9.4068295337637901E-4</v>
      </c>
      <c r="HG47">
        <v>1.29114594519265E-2</v>
      </c>
      <c r="HH47" s="159">
        <v>4.7618768071615199E-7</v>
      </c>
      <c r="HI47" s="159">
        <v>3.33332544297049E-7</v>
      </c>
      <c r="HJ47">
        <v>0</v>
      </c>
      <c r="HK47">
        <v>0</v>
      </c>
      <c r="HL47">
        <v>0</v>
      </c>
      <c r="HM47">
        <v>0</v>
      </c>
      <c r="HN47">
        <v>0</v>
      </c>
      <c r="HO47">
        <v>1.1421264654968099E-2</v>
      </c>
      <c r="HP47">
        <v>0.55075473174326395</v>
      </c>
      <c r="HQ47">
        <v>1.0864130114112599E-2</v>
      </c>
      <c r="HR47">
        <v>9.4068295337637901E-4</v>
      </c>
      <c r="HS47">
        <v>0.72188917645875905</v>
      </c>
      <c r="HT47">
        <v>-999</v>
      </c>
      <c r="HU47">
        <v>1</v>
      </c>
      <c r="HV47">
        <v>0.79682618189745602</v>
      </c>
      <c r="HW47">
        <v>0.20317381810254301</v>
      </c>
      <c r="HX47">
        <v>12520.435238427999</v>
      </c>
      <c r="HY47">
        <v>400.262426053784</v>
      </c>
      <c r="HZ47">
        <v>40.249143420067703</v>
      </c>
      <c r="IA47">
        <v>-0.132247783839677</v>
      </c>
      <c r="IB47">
        <v>0</v>
      </c>
      <c r="IC47">
        <v>0</v>
      </c>
      <c r="ID47">
        <v>0</v>
      </c>
      <c r="IE47">
        <v>0</v>
      </c>
      <c r="IF47">
        <v>0</v>
      </c>
      <c r="IG47">
        <v>0</v>
      </c>
      <c r="IH47">
        <v>0</v>
      </c>
      <c r="II47">
        <v>46.337800049999601</v>
      </c>
      <c r="IJ47">
        <v>463.37800049999902</v>
      </c>
      <c r="IK47">
        <v>1.0487849841762801E-2</v>
      </c>
      <c r="IL47">
        <v>2.2865667341310301E-3</v>
      </c>
      <c r="IM47">
        <v>1.27744165758938E-2</v>
      </c>
      <c r="IN47">
        <v>9.4129938946989995E-4</v>
      </c>
      <c r="IO47">
        <v>0.42340960648283599</v>
      </c>
      <c r="IP47">
        <v>1.8685996745118501E-2</v>
      </c>
      <c r="IQ47">
        <v>1.6596491687304901E-3</v>
      </c>
      <c r="IR47">
        <v>0.29418027555614401</v>
      </c>
      <c r="IS47">
        <v>0.23975701734055799</v>
      </c>
      <c r="IT47">
        <v>0.269942523399201</v>
      </c>
      <c r="IU47">
        <v>0.29885085177459603</v>
      </c>
      <c r="IV47">
        <v>1.4205897899473499E-2</v>
      </c>
      <c r="IW47">
        <v>1.21163928416599E-3</v>
      </c>
      <c r="IX47">
        <v>7.4967194885086297E-2</v>
      </c>
      <c r="IY47">
        <v>2.6964017427167E-3</v>
      </c>
      <c r="IZ47">
        <v>2.6964017427166798E-4</v>
      </c>
      <c r="JA47">
        <v>7.5077808163121998E-2</v>
      </c>
      <c r="JB47">
        <v>2.7003802540658301E-3</v>
      </c>
      <c r="JC47">
        <v>2.7003802540658098E-4</v>
      </c>
      <c r="JD47">
        <v>1.74275772920106E-4</v>
      </c>
      <c r="JE47">
        <v>3.22460467775569E-3</v>
      </c>
      <c r="JF47" s="159">
        <v>-8.1992789294216196E-19</v>
      </c>
      <c r="JG47">
        <v>0</v>
      </c>
      <c r="JH47">
        <v>4.1318615776454997E-3</v>
      </c>
      <c r="JI47">
        <v>5.4037792010268098E-4</v>
      </c>
      <c r="JJ47">
        <v>-0.50617644377739601</v>
      </c>
      <c r="JK47">
        <v>1.74275772920106E-4</v>
      </c>
      <c r="JL47" s="159">
        <v>6.5753399999999896E-6</v>
      </c>
      <c r="JM47">
        <v>-0.50617644377739601</v>
      </c>
      <c r="JN47">
        <v>0</v>
      </c>
      <c r="JO47">
        <v>1.4285802776081999</v>
      </c>
      <c r="JP47">
        <v>-1.3321947722170199E-2</v>
      </c>
      <c r="JQ47">
        <v>8.7970402048381802E-4</v>
      </c>
      <c r="JR47">
        <v>3.08321277455085E-2</v>
      </c>
      <c r="JS47">
        <v>1549.16893858862</v>
      </c>
      <c r="JT47">
        <v>4.6427377316440498E-2</v>
      </c>
      <c r="JU47">
        <v>0</v>
      </c>
      <c r="JV47">
        <v>365</v>
      </c>
      <c r="JW47">
        <v>0</v>
      </c>
      <c r="JX47">
        <v>-0.40268092994350901</v>
      </c>
      <c r="JY47">
        <v>0</v>
      </c>
      <c r="JZ47">
        <v>1.31933900148549</v>
      </c>
      <c r="KA47">
        <v>1.40253317200896</v>
      </c>
      <c r="KB47">
        <v>1.4294254635432799</v>
      </c>
      <c r="KC47">
        <v>0</v>
      </c>
      <c r="KD47">
        <v>0</v>
      </c>
      <c r="KE47">
        <v>0</v>
      </c>
      <c r="KF47">
        <v>3.5604853667937299E-3</v>
      </c>
      <c r="KG47">
        <v>2.23685185934532E-2</v>
      </c>
      <c r="KH47">
        <v>3.8832321725364799E-2</v>
      </c>
      <c r="KI47">
        <v>0</v>
      </c>
      <c r="KJ47">
        <v>0</v>
      </c>
      <c r="KK47">
        <v>0</v>
      </c>
      <c r="KL47">
        <v>0</v>
      </c>
      <c r="KM47">
        <v>0</v>
      </c>
      <c r="KN47">
        <v>0</v>
      </c>
      <c r="KO47">
        <v>0</v>
      </c>
      <c r="KP47">
        <v>0</v>
      </c>
      <c r="KQ47">
        <v>0</v>
      </c>
      <c r="KR47">
        <v>0</v>
      </c>
      <c r="KS47">
        <v>0</v>
      </c>
      <c r="KT47">
        <v>0</v>
      </c>
      <c r="KU47">
        <v>0.34999999999999898</v>
      </c>
      <c r="KV47">
        <v>-0.11534780843647</v>
      </c>
      <c r="KW47">
        <v>1.82961457349877E-3</v>
      </c>
      <c r="KX47">
        <v>33281.197918133701</v>
      </c>
      <c r="KY47">
        <v>0</v>
      </c>
      <c r="KZ47">
        <v>0.210323888362279</v>
      </c>
      <c r="LA47">
        <v>1.73602675993533E-5</v>
      </c>
      <c r="LB47">
        <v>0</v>
      </c>
      <c r="LC47">
        <v>-12.1436237066271</v>
      </c>
      <c r="LD47">
        <v>1.57137246047141E-2</v>
      </c>
      <c r="LE47">
        <v>3.40917415539069E-3</v>
      </c>
      <c r="LF47">
        <v>1.57137246047141E-2</v>
      </c>
      <c r="LG47">
        <v>0.94857261297448803</v>
      </c>
      <c r="LH47">
        <v>1.2358779692891899</v>
      </c>
      <c r="LI47">
        <v>0</v>
      </c>
      <c r="LJ47">
        <v>0</v>
      </c>
      <c r="LK47">
        <v>0.24263732823619</v>
      </c>
      <c r="LL47">
        <v>0</v>
      </c>
      <c r="LM47">
        <v>0</v>
      </c>
      <c r="LN47">
        <v>0</v>
      </c>
      <c r="LO47">
        <v>0</v>
      </c>
      <c r="LP47">
        <v>0</v>
      </c>
      <c r="LQ47">
        <v>0</v>
      </c>
      <c r="LR47">
        <v>0</v>
      </c>
      <c r="LS47">
        <v>0</v>
      </c>
      <c r="LT47">
        <v>-999</v>
      </c>
      <c r="LU47">
        <v>0.42564866225777997</v>
      </c>
      <c r="LV47">
        <v>46</v>
      </c>
      <c r="LW47">
        <v>178.19999999999899</v>
      </c>
      <c r="LX47">
        <v>1.66499999999999</v>
      </c>
      <c r="LY47">
        <v>0</v>
      </c>
      <c r="LZ47">
        <v>-999</v>
      </c>
      <c r="MA47">
        <v>0</v>
      </c>
      <c r="MB47">
        <v>0</v>
      </c>
      <c r="MC47">
        <v>578.20000000000005</v>
      </c>
      <c r="MD47">
        <v>-23.6999999999999</v>
      </c>
      <c r="ME47">
        <v>-33.6</v>
      </c>
      <c r="MF47">
        <v>0</v>
      </c>
      <c r="MG47">
        <v>8.0706896550000007</v>
      </c>
      <c r="MH47">
        <v>0</v>
      </c>
      <c r="MI47">
        <v>0</v>
      </c>
      <c r="MJ47">
        <v>0</v>
      </c>
      <c r="MK47">
        <v>0</v>
      </c>
      <c r="ML47">
        <v>0</v>
      </c>
      <c r="MM47">
        <v>0</v>
      </c>
      <c r="MN47">
        <v>0</v>
      </c>
      <c r="MO47">
        <v>0</v>
      </c>
      <c r="MP47">
        <v>0</v>
      </c>
      <c r="MQ47">
        <v>0</v>
      </c>
      <c r="MR47">
        <v>0</v>
      </c>
      <c r="MS47">
        <v>0</v>
      </c>
      <c r="MT47">
        <v>0</v>
      </c>
      <c r="MU47">
        <v>0</v>
      </c>
      <c r="MV47">
        <v>0</v>
      </c>
    </row>
    <row r="48" spans="1:360" x14ac:dyDescent="0.25">
      <c r="A48">
        <v>17155</v>
      </c>
      <c r="B48">
        <v>0</v>
      </c>
      <c r="C48">
        <v>-33.6</v>
      </c>
      <c r="D48">
        <v>-23.6999999999999</v>
      </c>
      <c r="E48">
        <v>400</v>
      </c>
      <c r="F48">
        <v>0</v>
      </c>
      <c r="G48">
        <v>0</v>
      </c>
      <c r="H48">
        <v>0</v>
      </c>
      <c r="I48">
        <v>0</v>
      </c>
      <c r="J48">
        <v>0</v>
      </c>
      <c r="K48">
        <v>0</v>
      </c>
      <c r="L48" s="159">
        <v>6.5753399999999896E-6</v>
      </c>
      <c r="M48">
        <v>0</v>
      </c>
      <c r="N48">
        <v>0</v>
      </c>
      <c r="O48">
        <v>0</v>
      </c>
      <c r="P48">
        <v>0</v>
      </c>
      <c r="Q48">
        <v>0</v>
      </c>
      <c r="R48">
        <v>0</v>
      </c>
      <c r="S48">
        <v>0</v>
      </c>
      <c r="T48">
        <v>0</v>
      </c>
      <c r="U48">
        <v>700.26644448016498</v>
      </c>
      <c r="V48">
        <v>13.892440061921601</v>
      </c>
      <c r="W48">
        <v>1.34444047926917</v>
      </c>
      <c r="X48">
        <v>0.32500516153577502</v>
      </c>
      <c r="Y48">
        <v>0.27551243925954799</v>
      </c>
      <c r="Z48">
        <v>0.39948239920467599</v>
      </c>
      <c r="AA48">
        <v>0.11243007908087201</v>
      </c>
      <c r="AB48">
        <v>0.51099133739643199</v>
      </c>
      <c r="AC48">
        <v>0.37657858352269402</v>
      </c>
      <c r="AD48">
        <v>0.88457797800203297</v>
      </c>
      <c r="AE48">
        <v>4.1720179309572898E-2</v>
      </c>
      <c r="AF48">
        <v>7.3701842688393193E-2</v>
      </c>
      <c r="AG48">
        <v>0</v>
      </c>
      <c r="AH48">
        <v>3416.4793202938799</v>
      </c>
      <c r="AI48">
        <v>79.820381175905695</v>
      </c>
      <c r="AJ48">
        <v>8.1160627772673806</v>
      </c>
      <c r="AK48">
        <v>405.54309580295302</v>
      </c>
      <c r="AL48">
        <v>7.5303908330632998</v>
      </c>
      <c r="AM48">
        <v>0.84475106350727902</v>
      </c>
      <c r="AN48">
        <v>8699.0473823493703</v>
      </c>
      <c r="AO48">
        <v>312.88521009351899</v>
      </c>
      <c r="AP48">
        <v>31.288521009351602</v>
      </c>
      <c r="AQ48">
        <v>3.00041370723352E-2</v>
      </c>
      <c r="AR48">
        <v>6.19386158631882E-3</v>
      </c>
      <c r="AS48">
        <v>2.1059547213470701E-2</v>
      </c>
      <c r="AT48">
        <v>9.48</v>
      </c>
      <c r="AU48">
        <v>5.9872407295290104</v>
      </c>
      <c r="AV48">
        <v>0</v>
      </c>
      <c r="AW48">
        <v>84.945317926583101</v>
      </c>
      <c r="AX48">
        <v>66.477694846278396</v>
      </c>
      <c r="AY48">
        <v>361.49289571095397</v>
      </c>
      <c r="AZ48">
        <v>0.54833294000258004</v>
      </c>
      <c r="BA48">
        <v>0.83772285698601801</v>
      </c>
      <c r="BB48">
        <v>1.40200063125165E-2</v>
      </c>
      <c r="BC48">
        <v>1.17232682806911E-3</v>
      </c>
      <c r="BD48">
        <v>0.59625749766199398</v>
      </c>
      <c r="BE48">
        <v>9.2537691553776693E-3</v>
      </c>
      <c r="BF48">
        <v>7.5553538616203995E-4</v>
      </c>
      <c r="BG48">
        <v>766.29999847710098</v>
      </c>
      <c r="BH48">
        <v>-1626.59999865293</v>
      </c>
      <c r="BI48">
        <v>427.04385021393699</v>
      </c>
      <c r="BJ48">
        <v>210.830505378087</v>
      </c>
      <c r="BK48">
        <v>3.6326344611664299</v>
      </c>
      <c r="BL48">
        <v>4.6615362809408003</v>
      </c>
      <c r="BM48">
        <v>192.647159550694</v>
      </c>
      <c r="BN48">
        <v>22.021634307540499</v>
      </c>
      <c r="BO48">
        <v>214.66879385823401</v>
      </c>
      <c r="BP48">
        <v>3.4746746079712398</v>
      </c>
      <c r="BQ48">
        <v>0.29233767326617799</v>
      </c>
      <c r="BR48">
        <v>207.197870916921</v>
      </c>
      <c r="BS48">
        <v>2.2007497918009502</v>
      </c>
      <c r="BT48">
        <v>0.29214624320754101</v>
      </c>
      <c r="BU48">
        <v>3.4875952102338199</v>
      </c>
      <c r="BV48">
        <v>1.70140702257583</v>
      </c>
      <c r="BW48">
        <v>0.52631351713344998</v>
      </c>
      <c r="BX48">
        <v>1.2598746705245401</v>
      </c>
      <c r="BY48">
        <v>0</v>
      </c>
      <c r="BZ48">
        <v>3.0657624237057499</v>
      </c>
      <c r="CA48">
        <v>0.40891218426549403</v>
      </c>
      <c r="CB48">
        <v>0.29358774389673298</v>
      </c>
      <c r="CC48">
        <v>0.24646634863018199</v>
      </c>
      <c r="CD48">
        <v>4.5871324635994297E-2</v>
      </c>
      <c r="CE48">
        <v>21.669172632091598</v>
      </c>
      <c r="CF48">
        <v>164.69187607411899</v>
      </c>
      <c r="CG48">
        <v>42.214698061541903</v>
      </c>
      <c r="CH48">
        <v>0.40236744414471498</v>
      </c>
      <c r="CI48">
        <v>7.2043681648786704</v>
      </c>
      <c r="CJ48">
        <v>1.7179810754814</v>
      </c>
      <c r="CK48">
        <v>9.5942537986462497</v>
      </c>
      <c r="CL48">
        <v>1.5183679420829601</v>
      </c>
      <c r="CM48">
        <v>9.7750761972958497E-2</v>
      </c>
      <c r="CN48">
        <v>4.5137142798693901E-2</v>
      </c>
      <c r="CO48">
        <v>0.61368716853278404</v>
      </c>
      <c r="CP48">
        <v>0.752948888388844</v>
      </c>
      <c r="CQ48">
        <v>0.15183679420829499</v>
      </c>
      <c r="CR48">
        <v>42.505994842802501</v>
      </c>
      <c r="CS48">
        <v>1.5288452335148</v>
      </c>
      <c r="CT48">
        <v>0.15288452335147901</v>
      </c>
      <c r="CU48">
        <v>1.46999999999992E-2</v>
      </c>
      <c r="CV48">
        <v>2.0627421578355101E-3</v>
      </c>
      <c r="CW48">
        <v>2.22994133166234</v>
      </c>
      <c r="CX48">
        <v>2.0299999999998802E-2</v>
      </c>
      <c r="CY48">
        <v>5.9407546405163799E-3</v>
      </c>
      <c r="CZ48">
        <v>0</v>
      </c>
      <c r="DA48">
        <v>2.3999991000028102E-3</v>
      </c>
      <c r="DB48">
        <v>1.4968699713410201E-3</v>
      </c>
      <c r="DC48">
        <v>1.9999999999998899E-3</v>
      </c>
      <c r="DD48">
        <v>3.5103347205902901E-3</v>
      </c>
      <c r="DE48">
        <v>1.0388772299829399E-3</v>
      </c>
      <c r="DF48">
        <v>2.39999909999997E-3</v>
      </c>
      <c r="DG48">
        <v>0</v>
      </c>
      <c r="DH48">
        <v>0</v>
      </c>
      <c r="DI48">
        <v>0.23180769399998699</v>
      </c>
      <c r="DJ48">
        <v>1.8846155199998899E-2</v>
      </c>
      <c r="DK48">
        <v>2.4066343362537501</v>
      </c>
      <c r="DL48">
        <v>0.15709101411578</v>
      </c>
      <c r="DM48">
        <v>71.592591397660399</v>
      </c>
      <c r="DN48">
        <v>225.913728277823</v>
      </c>
      <c r="DO48">
        <v>327.66000000000003</v>
      </c>
      <c r="DP48">
        <v>30.123200925538601</v>
      </c>
      <c r="DQ48">
        <v>157.94999999999899</v>
      </c>
      <c r="DR48">
        <v>169.71</v>
      </c>
      <c r="DS48">
        <v>156.07378912586401</v>
      </c>
      <c r="DT48">
        <v>0</v>
      </c>
      <c r="DU48">
        <v>0</v>
      </c>
      <c r="DV48">
        <v>0</v>
      </c>
      <c r="DW48">
        <v>0</v>
      </c>
      <c r="DX48">
        <v>0</v>
      </c>
      <c r="DY48">
        <v>0</v>
      </c>
      <c r="DZ48">
        <v>0</v>
      </c>
      <c r="EA48">
        <v>0</v>
      </c>
      <c r="EB48">
        <v>0</v>
      </c>
      <c r="EC48">
        <v>0</v>
      </c>
      <c r="ED48">
        <v>0</v>
      </c>
      <c r="EE48">
        <v>0</v>
      </c>
      <c r="EF48">
        <v>1.2742527874270599</v>
      </c>
      <c r="EG48">
        <v>0</v>
      </c>
      <c r="EH48">
        <v>0</v>
      </c>
      <c r="EI48">
        <v>0</v>
      </c>
      <c r="EJ48">
        <v>0</v>
      </c>
      <c r="EK48">
        <v>0</v>
      </c>
      <c r="EL48">
        <v>0</v>
      </c>
      <c r="EM48">
        <v>0</v>
      </c>
      <c r="EN48">
        <v>0</v>
      </c>
      <c r="EO48">
        <v>0</v>
      </c>
      <c r="EP48">
        <v>0</v>
      </c>
      <c r="EQ48">
        <v>0</v>
      </c>
      <c r="ER48">
        <v>0</v>
      </c>
      <c r="ES48">
        <v>0</v>
      </c>
      <c r="ET48">
        <v>0</v>
      </c>
      <c r="EU48">
        <v>0</v>
      </c>
      <c r="EV48">
        <v>816.42200159412903</v>
      </c>
      <c r="EW48">
        <v>-28.649999999999899</v>
      </c>
      <c r="EX48">
        <v>1474.24514627403</v>
      </c>
      <c r="EY48">
        <v>835.85306988243406</v>
      </c>
      <c r="EZ48">
        <v>92.863757794059794</v>
      </c>
      <c r="FA48">
        <v>666.496551206714</v>
      </c>
      <c r="FB48">
        <v>714.88482666015602</v>
      </c>
      <c r="FC48">
        <v>0.40052138736578002</v>
      </c>
      <c r="FD48">
        <v>0.73043466504838295</v>
      </c>
      <c r="FE48">
        <v>0</v>
      </c>
      <c r="FF48">
        <v>1</v>
      </c>
      <c r="FG48" s="159">
        <v>5.89810941774317E-13</v>
      </c>
      <c r="FH48">
        <v>0</v>
      </c>
      <c r="FI48">
        <v>5.4512674794765098E-5</v>
      </c>
      <c r="FJ48">
        <v>-5.2436782140941598E-3</v>
      </c>
      <c r="FK48" s="159">
        <v>6.57534000000779E-6</v>
      </c>
      <c r="FL48" s="159">
        <v>2.5328153020746799E-6</v>
      </c>
      <c r="FM48" s="159">
        <v>4.1008609135515802E-6</v>
      </c>
      <c r="FN48">
        <v>0</v>
      </c>
      <c r="FO48">
        <v>0</v>
      </c>
      <c r="FP48">
        <v>0</v>
      </c>
      <c r="FQ48">
        <v>0</v>
      </c>
      <c r="FR48">
        <v>0</v>
      </c>
      <c r="FS48">
        <v>0</v>
      </c>
      <c r="FT48">
        <v>0</v>
      </c>
      <c r="FU48">
        <v>0</v>
      </c>
      <c r="FV48">
        <v>-999</v>
      </c>
      <c r="FW48">
        <v>0.48382541049274003</v>
      </c>
      <c r="FX48">
        <v>3.2117827628485298E-3</v>
      </c>
      <c r="FY48">
        <v>1.20502398983161</v>
      </c>
      <c r="FZ48">
        <v>9.3838571701725701E-4</v>
      </c>
      <c r="GA48">
        <v>42.401970280905097</v>
      </c>
      <c r="GB48">
        <v>1.0610501457961099E-2</v>
      </c>
      <c r="GC48">
        <v>2.86770309674624E-3</v>
      </c>
      <c r="GD48">
        <v>0</v>
      </c>
      <c r="GE48">
        <v>7.01787157661203E-3</v>
      </c>
      <c r="GF48">
        <v>0.40744593963339099</v>
      </c>
      <c r="GG48">
        <v>5.5913138508882599E-4</v>
      </c>
      <c r="GH48">
        <v>9.42342601366742E-3</v>
      </c>
      <c r="GI48">
        <v>1.85142021342533E-2</v>
      </c>
      <c r="GJ48">
        <v>9.1195177590855402E-4</v>
      </c>
      <c r="GK48">
        <v>1.76906170762116E-3</v>
      </c>
      <c r="GL48">
        <v>0.39653385367375099</v>
      </c>
      <c r="GM48">
        <v>6.6304801348768096E-3</v>
      </c>
      <c r="GN48">
        <v>5.4951107537976995E-4</v>
      </c>
      <c r="GO48">
        <v>0</v>
      </c>
      <c r="GP48">
        <v>0</v>
      </c>
      <c r="GQ48">
        <v>0</v>
      </c>
      <c r="GR48">
        <v>6.07779677033084E-2</v>
      </c>
      <c r="GS48">
        <v>1.1285652636719801E-3</v>
      </c>
      <c r="GT48">
        <v>1.2660122533593199E-4</v>
      </c>
      <c r="GU48">
        <v>3.8271900068038003E-2</v>
      </c>
      <c r="GV48">
        <v>7.1065780287947803E-4</v>
      </c>
      <c r="GW48">
        <v>7.9720820350565502E-5</v>
      </c>
      <c r="GX48">
        <v>0.121813048813543</v>
      </c>
      <c r="GY48">
        <v>0.13238676810951799</v>
      </c>
      <c r="GZ48">
        <v>58.939186186820301</v>
      </c>
      <c r="HA48">
        <v>676.38441260862805</v>
      </c>
      <c r="HB48">
        <v>0</v>
      </c>
      <c r="HC48">
        <v>0.99981306629697897</v>
      </c>
      <c r="HD48">
        <v>0.41894361557123799</v>
      </c>
      <c r="HE48">
        <v>1.08756790035532E-2</v>
      </c>
      <c r="HF48">
        <v>9.4168226561890795E-4</v>
      </c>
      <c r="HG48">
        <v>1.29293054030562E-2</v>
      </c>
      <c r="HH48" s="159">
        <v>4.7618768513972899E-7</v>
      </c>
      <c r="HI48" s="159">
        <v>3.33332544274586E-7</v>
      </c>
      <c r="HJ48">
        <v>0</v>
      </c>
      <c r="HK48">
        <v>0</v>
      </c>
      <c r="HL48">
        <v>0</v>
      </c>
      <c r="HM48">
        <v>0</v>
      </c>
      <c r="HN48">
        <v>0</v>
      </c>
      <c r="HO48">
        <v>1.1437023264264601E-2</v>
      </c>
      <c r="HP48">
        <v>0.55133038368075704</v>
      </c>
      <c r="HQ48">
        <v>1.08756790035532E-2</v>
      </c>
      <c r="HR48">
        <v>9.4168226561890795E-4</v>
      </c>
      <c r="HS48">
        <v>0.72168951713609597</v>
      </c>
      <c r="HT48">
        <v>-999</v>
      </c>
      <c r="HU48">
        <v>1</v>
      </c>
      <c r="HV48">
        <v>0.79738482183293102</v>
      </c>
      <c r="HW48">
        <v>0.20261517816706801</v>
      </c>
      <c r="HX48">
        <v>12521.0697984462</v>
      </c>
      <c r="HY48">
        <v>400.23598210248798</v>
      </c>
      <c r="HZ48">
        <v>40.249334850126303</v>
      </c>
      <c r="IA48">
        <v>-0.13238676810951799</v>
      </c>
      <c r="IB48">
        <v>0</v>
      </c>
      <c r="IC48">
        <v>0</v>
      </c>
      <c r="ID48">
        <v>0</v>
      </c>
      <c r="IE48">
        <v>0</v>
      </c>
      <c r="IF48">
        <v>0</v>
      </c>
      <c r="IG48">
        <v>0</v>
      </c>
      <c r="IH48">
        <v>0</v>
      </c>
      <c r="II48">
        <v>46.337800049999601</v>
      </c>
      <c r="IJ48">
        <v>463.37800049999902</v>
      </c>
      <c r="IK48">
        <v>1.05011729600009E-2</v>
      </c>
      <c r="IL48">
        <v>2.2900191474854799E-3</v>
      </c>
      <c r="IM48">
        <v>1.27911921074864E-2</v>
      </c>
      <c r="IN48">
        <v>9.3744370485506704E-4</v>
      </c>
      <c r="IO48">
        <v>0.42348220367673201</v>
      </c>
      <c r="IP48">
        <v>1.87014291631677E-2</v>
      </c>
      <c r="IQ48">
        <v>1.6558407667566001E-3</v>
      </c>
      <c r="IR48">
        <v>0.294030179025347</v>
      </c>
      <c r="IS48">
        <v>0.239477995601238</v>
      </c>
      <c r="IT48">
        <v>0.27047170602318099</v>
      </c>
      <c r="IU48">
        <v>0.29896565551561299</v>
      </c>
      <c r="IV48">
        <v>1.4222848392293701E-2</v>
      </c>
      <c r="IW48">
        <v>1.20798268966921E-3</v>
      </c>
      <c r="IX48">
        <v>7.4963572507374093E-2</v>
      </c>
      <c r="IY48">
        <v>2.6962714539204998E-3</v>
      </c>
      <c r="IZ48">
        <v>2.69627145392048E-4</v>
      </c>
      <c r="JA48">
        <v>7.5075564278560394E-2</v>
      </c>
      <c r="JB48">
        <v>2.7002995465743502E-3</v>
      </c>
      <c r="JC48">
        <v>2.7002995465743299E-4</v>
      </c>
      <c r="JD48">
        <v>1.74529635829609E-4</v>
      </c>
      <c r="JE48">
        <v>3.2267130750837101E-3</v>
      </c>
      <c r="JF48" s="159">
        <v>6.3019251275719897E-19</v>
      </c>
      <c r="JG48">
        <v>0</v>
      </c>
      <c r="JH48">
        <v>4.1319558313816802E-3</v>
      </c>
      <c r="JI48">
        <v>5.4056893947157698E-4</v>
      </c>
      <c r="JJ48">
        <v>-0.50642798790369303</v>
      </c>
      <c r="JK48">
        <v>1.74529635829609E-4</v>
      </c>
      <c r="JL48" s="159">
        <v>6.5753399999999896E-6</v>
      </c>
      <c r="JM48">
        <v>-0.50642798790369303</v>
      </c>
      <c r="JN48">
        <v>0</v>
      </c>
      <c r="JO48">
        <v>1.4578078189123</v>
      </c>
      <c r="JP48">
        <v>-1.34975937411766E-2</v>
      </c>
      <c r="JQ48">
        <v>8.8966437940957198E-4</v>
      </c>
      <c r="JR48">
        <v>3.0479398977682499E-2</v>
      </c>
      <c r="JS48">
        <v>1550.73790715415</v>
      </c>
      <c r="JT48">
        <v>4.6327938642908802E-2</v>
      </c>
      <c r="JU48">
        <v>0</v>
      </c>
      <c r="JV48">
        <v>365</v>
      </c>
      <c r="JW48">
        <v>0</v>
      </c>
      <c r="JX48">
        <v>-0.40268092994350901</v>
      </c>
      <c r="JY48">
        <v>0</v>
      </c>
      <c r="JZ48">
        <v>1.31957250801232</v>
      </c>
      <c r="KA48">
        <v>1.40256251095134</v>
      </c>
      <c r="KB48">
        <v>1.42979608335065</v>
      </c>
      <c r="KC48">
        <v>0</v>
      </c>
      <c r="KD48">
        <v>0</v>
      </c>
      <c r="KE48">
        <v>0</v>
      </c>
      <c r="KF48">
        <v>3.5621844695276801E-3</v>
      </c>
      <c r="KG48">
        <v>2.23837240933904E-2</v>
      </c>
      <c r="KH48">
        <v>3.8796123770152E-2</v>
      </c>
      <c r="KI48">
        <v>0</v>
      </c>
      <c r="KJ48">
        <v>0</v>
      </c>
      <c r="KK48">
        <v>0</v>
      </c>
      <c r="KL48">
        <v>0</v>
      </c>
      <c r="KM48">
        <v>0</v>
      </c>
      <c r="KN48">
        <v>0</v>
      </c>
      <c r="KO48">
        <v>0</v>
      </c>
      <c r="KP48">
        <v>0</v>
      </c>
      <c r="KQ48">
        <v>0</v>
      </c>
      <c r="KR48">
        <v>0</v>
      </c>
      <c r="KS48">
        <v>0</v>
      </c>
      <c r="KT48">
        <v>0</v>
      </c>
      <c r="KU48">
        <v>0.34999999999999898</v>
      </c>
      <c r="KV48">
        <v>-0.115267957457861</v>
      </c>
      <c r="KW48">
        <v>1.8284164941762199E-3</v>
      </c>
      <c r="KX48">
        <v>33324.827560335703</v>
      </c>
      <c r="KY48">
        <v>0</v>
      </c>
      <c r="KZ48">
        <v>0.21032878566499799</v>
      </c>
      <c r="LA48">
        <v>1.73602675993533E-5</v>
      </c>
      <c r="LB48">
        <v>0</v>
      </c>
      <c r="LC48">
        <v>-12.143124323467701</v>
      </c>
      <c r="LD48">
        <v>1.5714038274716399E-2</v>
      </c>
      <c r="LE48">
        <v>3.4094700704872202E-3</v>
      </c>
      <c r="LF48">
        <v>1.5714038274716399E-2</v>
      </c>
      <c r="LG48">
        <v>0.94880325198313897</v>
      </c>
      <c r="LH48">
        <v>1.23614005907174</v>
      </c>
      <c r="LI48">
        <v>0</v>
      </c>
      <c r="LJ48">
        <v>0</v>
      </c>
      <c r="LK48">
        <v>0.242700908361666</v>
      </c>
      <c r="LL48">
        <v>0</v>
      </c>
      <c r="LM48">
        <v>0</v>
      </c>
      <c r="LN48">
        <v>0</v>
      </c>
      <c r="LO48">
        <v>0</v>
      </c>
      <c r="LP48">
        <v>0</v>
      </c>
      <c r="LQ48">
        <v>0</v>
      </c>
      <c r="LR48">
        <v>0</v>
      </c>
      <c r="LS48">
        <v>0</v>
      </c>
      <c r="LT48">
        <v>-999</v>
      </c>
      <c r="LU48">
        <v>0.425650193571458</v>
      </c>
      <c r="LV48">
        <v>47</v>
      </c>
      <c r="LW48">
        <v>182.16</v>
      </c>
      <c r="LX48">
        <v>1.702</v>
      </c>
      <c r="LY48">
        <v>0</v>
      </c>
      <c r="LZ48">
        <v>-999</v>
      </c>
      <c r="MA48">
        <v>0</v>
      </c>
      <c r="MB48">
        <v>0</v>
      </c>
      <c r="MC48">
        <v>582.15999999999894</v>
      </c>
      <c r="MD48">
        <v>-23.6999999999999</v>
      </c>
      <c r="ME48">
        <v>-33.6</v>
      </c>
      <c r="MF48">
        <v>0</v>
      </c>
      <c r="MG48">
        <v>8.0706896550000007</v>
      </c>
      <c r="MH48">
        <v>0</v>
      </c>
      <c r="MI48">
        <v>0</v>
      </c>
      <c r="MJ48">
        <v>0</v>
      </c>
      <c r="MK48">
        <v>0</v>
      </c>
      <c r="ML48">
        <v>0</v>
      </c>
      <c r="MM48">
        <v>0</v>
      </c>
      <c r="MN48">
        <v>0</v>
      </c>
      <c r="MO48">
        <v>0</v>
      </c>
      <c r="MP48">
        <v>0</v>
      </c>
      <c r="MQ48">
        <v>0</v>
      </c>
      <c r="MR48">
        <v>0</v>
      </c>
      <c r="MS48">
        <v>0</v>
      </c>
      <c r="MT48">
        <v>0</v>
      </c>
      <c r="MU48">
        <v>0</v>
      </c>
      <c r="MV48">
        <v>0</v>
      </c>
    </row>
    <row r="49" spans="1:360" x14ac:dyDescent="0.25">
      <c r="A49">
        <v>17520</v>
      </c>
      <c r="B49">
        <v>0</v>
      </c>
      <c r="C49">
        <v>-33.6</v>
      </c>
      <c r="D49">
        <v>-23.6999999999999</v>
      </c>
      <c r="E49">
        <v>400</v>
      </c>
      <c r="F49">
        <v>0</v>
      </c>
      <c r="G49">
        <v>0</v>
      </c>
      <c r="H49">
        <v>0</v>
      </c>
      <c r="I49">
        <v>0</v>
      </c>
      <c r="J49">
        <v>0</v>
      </c>
      <c r="K49">
        <v>0</v>
      </c>
      <c r="L49" s="159">
        <v>6.5753399999999896E-6</v>
      </c>
      <c r="M49">
        <v>0</v>
      </c>
      <c r="N49">
        <v>0</v>
      </c>
      <c r="O49">
        <v>0</v>
      </c>
      <c r="P49">
        <v>0</v>
      </c>
      <c r="Q49">
        <v>0</v>
      </c>
      <c r="R49">
        <v>0</v>
      </c>
      <c r="S49">
        <v>0</v>
      </c>
      <c r="T49">
        <v>0</v>
      </c>
      <c r="U49">
        <v>701.10943746178702</v>
      </c>
      <c r="V49">
        <v>13.9058336201117</v>
      </c>
      <c r="W49">
        <v>1.34571667373996</v>
      </c>
      <c r="X49">
        <v>0.32369807419235302</v>
      </c>
      <c r="Y49">
        <v>0.275247938095594</v>
      </c>
      <c r="Z49">
        <v>0.40105398771205097</v>
      </c>
      <c r="AA49">
        <v>0.112426652440305</v>
      </c>
      <c r="AB49">
        <v>0.51178973958589902</v>
      </c>
      <c r="AC49">
        <v>0.37578360797379401</v>
      </c>
      <c r="AD49">
        <v>0.88457484689133703</v>
      </c>
      <c r="AE49">
        <v>4.1630201316292997E-2</v>
      </c>
      <c r="AF49">
        <v>7.3794951792369501E-2</v>
      </c>
      <c r="AG49">
        <v>0</v>
      </c>
      <c r="AH49">
        <v>3417.0571742755601</v>
      </c>
      <c r="AI49">
        <v>79.7972792011427</v>
      </c>
      <c r="AJ49">
        <v>8.1165626662483508</v>
      </c>
      <c r="AK49">
        <v>405.89327464394802</v>
      </c>
      <c r="AL49">
        <v>7.5368931840130697</v>
      </c>
      <c r="AM49">
        <v>0.84548049017342397</v>
      </c>
      <c r="AN49">
        <v>8698.7558223646301</v>
      </c>
      <c r="AO49">
        <v>312.87472333524801</v>
      </c>
      <c r="AP49">
        <v>31.287472333524601</v>
      </c>
      <c r="AQ49">
        <v>3.0024983380279101E-2</v>
      </c>
      <c r="AR49">
        <v>6.2001815175516603E-3</v>
      </c>
      <c r="AS49">
        <v>2.09654289250675E-2</v>
      </c>
      <c r="AT49">
        <v>9.48</v>
      </c>
      <c r="AU49">
        <v>5.9867778966109899</v>
      </c>
      <c r="AV49">
        <v>0</v>
      </c>
      <c r="AW49">
        <v>84.967318653441794</v>
      </c>
      <c r="AX49">
        <v>66.485868501982196</v>
      </c>
      <c r="AY49">
        <v>361.49057107231198</v>
      </c>
      <c r="AZ49">
        <v>0.54833294000258004</v>
      </c>
      <c r="BA49">
        <v>0.83826174960774003</v>
      </c>
      <c r="BB49">
        <v>1.4026852929918799E-2</v>
      </c>
      <c r="BC49">
        <v>1.17298533676024E-3</v>
      </c>
      <c r="BD49">
        <v>0.59649206915021102</v>
      </c>
      <c r="BE49">
        <v>9.2577499652501897E-3</v>
      </c>
      <c r="BF49">
        <v>7.5570196929336097E-4</v>
      </c>
      <c r="BG49">
        <v>766.29999847710098</v>
      </c>
      <c r="BH49">
        <v>-1626.59999865293</v>
      </c>
      <c r="BI49">
        <v>427.33345585494999</v>
      </c>
      <c r="BJ49">
        <v>210.94096834822199</v>
      </c>
      <c r="BK49">
        <v>3.6589618177018601</v>
      </c>
      <c r="BL49">
        <v>4.6671211596347097</v>
      </c>
      <c r="BM49">
        <v>192.726417963431</v>
      </c>
      <c r="BN49">
        <v>22.0386785628029</v>
      </c>
      <c r="BO49">
        <v>214.765096526234</v>
      </c>
      <c r="BP49">
        <v>3.4763176265512201</v>
      </c>
      <c r="BQ49">
        <v>0.29249378349022498</v>
      </c>
      <c r="BR49">
        <v>207.28200653051999</v>
      </c>
      <c r="BS49">
        <v>2.2013686504640502</v>
      </c>
      <c r="BT49">
        <v>0.292313143670133</v>
      </c>
      <c r="BU49">
        <v>3.48971118474133</v>
      </c>
      <c r="BV49">
        <v>1.7027965802646401</v>
      </c>
      <c r="BW49">
        <v>0.525530507278126</v>
      </c>
      <c r="BX49">
        <v>1.2613840971985699</v>
      </c>
      <c r="BY49">
        <v>0</v>
      </c>
      <c r="BZ49">
        <v>3.0670889533480299</v>
      </c>
      <c r="CA49">
        <v>0.409228673203199</v>
      </c>
      <c r="CB49">
        <v>0.293769977961018</v>
      </c>
      <c r="CC49">
        <v>0.24658695546899601</v>
      </c>
      <c r="CD49">
        <v>4.5906828021229203E-2</v>
      </c>
      <c r="CE49">
        <v>21.688499721806998</v>
      </c>
      <c r="CF49">
        <v>164.77636983803001</v>
      </c>
      <c r="CG49">
        <v>42.214076707745598</v>
      </c>
      <c r="CH49">
        <v>0.40272632225342497</v>
      </c>
      <c r="CI49">
        <v>7.2088756173441899</v>
      </c>
      <c r="CJ49">
        <v>1.7187316642941699</v>
      </c>
      <c r="CK49">
        <v>9.6001435804504904</v>
      </c>
      <c r="CL49">
        <v>1.51834559338148</v>
      </c>
      <c r="CM49">
        <v>9.7898386187068406E-2</v>
      </c>
      <c r="CN49">
        <v>4.51774013550853E-2</v>
      </c>
      <c r="CO49">
        <v>0.61095904515841104</v>
      </c>
      <c r="CP49">
        <v>0.75038895366335301</v>
      </c>
      <c r="CQ49">
        <v>0.15183455933814699</v>
      </c>
      <c r="CR49">
        <v>42.505636692490299</v>
      </c>
      <c r="CS49">
        <v>1.52883235165191</v>
      </c>
      <c r="CT49">
        <v>0.15288323516519001</v>
      </c>
      <c r="CU49">
        <v>1.4699999999999601E-2</v>
      </c>
      <c r="CV49">
        <v>2.06614115090891E-3</v>
      </c>
      <c r="CW49">
        <v>2.2299167470347201</v>
      </c>
      <c r="CX49">
        <v>2.0299999999999398E-2</v>
      </c>
      <c r="CY49">
        <v>5.94825553119373E-3</v>
      </c>
      <c r="CZ49">
        <v>0</v>
      </c>
      <c r="DA49">
        <v>2.3999991000028201E-3</v>
      </c>
      <c r="DB49">
        <v>1.49675489149942E-3</v>
      </c>
      <c r="DC49">
        <v>1.9999999999999402E-3</v>
      </c>
      <c r="DD49">
        <v>3.5001160155288999E-3</v>
      </c>
      <c r="DE49">
        <v>1.0339219734915E-3</v>
      </c>
      <c r="DF49">
        <v>2.39999909999998E-3</v>
      </c>
      <c r="DG49">
        <v>0</v>
      </c>
      <c r="DH49">
        <v>0</v>
      </c>
      <c r="DI49">
        <v>0.23180769399999299</v>
      </c>
      <c r="DJ49">
        <v>1.8846155199999399E-2</v>
      </c>
      <c r="DK49">
        <v>2.4113036921483402</v>
      </c>
      <c r="DL49">
        <v>0.157395802359552</v>
      </c>
      <c r="DM49">
        <v>71.165916161419204</v>
      </c>
      <c r="DN49">
        <v>226.37387698413301</v>
      </c>
      <c r="DO49">
        <v>327.66000000000003</v>
      </c>
      <c r="DP49">
        <v>30.090038343980499</v>
      </c>
      <c r="DQ49">
        <v>157.94999999999899</v>
      </c>
      <c r="DR49">
        <v>169.71</v>
      </c>
      <c r="DS49">
        <v>156.09608627360501</v>
      </c>
      <c r="DT49">
        <v>0</v>
      </c>
      <c r="DU49">
        <v>0</v>
      </c>
      <c r="DV49">
        <v>0</v>
      </c>
      <c r="DW49">
        <v>0</v>
      </c>
      <c r="DX49">
        <v>0</v>
      </c>
      <c r="DY49">
        <v>0</v>
      </c>
      <c r="DZ49">
        <v>0</v>
      </c>
      <c r="EA49">
        <v>0</v>
      </c>
      <c r="EB49">
        <v>0</v>
      </c>
      <c r="EC49">
        <v>0</v>
      </c>
      <c r="ED49">
        <v>0</v>
      </c>
      <c r="EE49">
        <v>0</v>
      </c>
      <c r="EF49">
        <v>1.2733943205895499</v>
      </c>
      <c r="EG49">
        <v>0</v>
      </c>
      <c r="EH49">
        <v>0</v>
      </c>
      <c r="EI49">
        <v>0</v>
      </c>
      <c r="EJ49">
        <v>0</v>
      </c>
      <c r="EK49">
        <v>0</v>
      </c>
      <c r="EL49">
        <v>0</v>
      </c>
      <c r="EM49">
        <v>0</v>
      </c>
      <c r="EN49">
        <v>0</v>
      </c>
      <c r="EO49">
        <v>0</v>
      </c>
      <c r="EP49">
        <v>0</v>
      </c>
      <c r="EQ49">
        <v>0</v>
      </c>
      <c r="ER49">
        <v>0</v>
      </c>
      <c r="ES49">
        <v>0</v>
      </c>
      <c r="ET49">
        <v>0</v>
      </c>
      <c r="EU49">
        <v>0</v>
      </c>
      <c r="EV49">
        <v>817.30170699253199</v>
      </c>
      <c r="EW49">
        <v>-28.649999999999899</v>
      </c>
      <c r="EX49">
        <v>1476.0198683405999</v>
      </c>
      <c r="EY49">
        <v>836.37567858939804</v>
      </c>
      <c r="EZ49">
        <v>92.666127866511104</v>
      </c>
      <c r="FA49">
        <v>667.37957949297197</v>
      </c>
      <c r="FB49">
        <v>715.97418212890602</v>
      </c>
      <c r="FC49">
        <v>0.39966900948826201</v>
      </c>
      <c r="FD49">
        <v>0.72888017540288796</v>
      </c>
      <c r="FE49">
        <v>0</v>
      </c>
      <c r="FF49">
        <v>1</v>
      </c>
      <c r="FG49" s="159">
        <v>5.89810941774317E-13</v>
      </c>
      <c r="FH49">
        <v>0</v>
      </c>
      <c r="FI49">
        <v>5.4512674794765098E-5</v>
      </c>
      <c r="FJ49">
        <v>-5.2321151970513204E-3</v>
      </c>
      <c r="FK49" s="159">
        <v>6.57534000000779E-6</v>
      </c>
      <c r="FL49" s="159">
        <v>2.52143336684385E-6</v>
      </c>
      <c r="FM49" s="159">
        <v>4.1005439038456502E-6</v>
      </c>
      <c r="FN49">
        <v>0</v>
      </c>
      <c r="FO49">
        <v>0</v>
      </c>
      <c r="FP49">
        <v>0</v>
      </c>
      <c r="FQ49">
        <v>0</v>
      </c>
      <c r="FR49">
        <v>0</v>
      </c>
      <c r="FS49">
        <v>0</v>
      </c>
      <c r="FT49">
        <v>0</v>
      </c>
      <c r="FU49">
        <v>0</v>
      </c>
      <c r="FV49">
        <v>-999</v>
      </c>
      <c r="FW49">
        <v>0.48415936018989197</v>
      </c>
      <c r="FX49">
        <v>3.2131514269238301E-3</v>
      </c>
      <c r="FY49">
        <v>1.20618483475684</v>
      </c>
      <c r="FZ49">
        <v>9.3699084330988098E-4</v>
      </c>
      <c r="GA49">
        <v>42.371555468333803</v>
      </c>
      <c r="GB49">
        <v>1.0613480822247799E-2</v>
      </c>
      <c r="GC49">
        <v>2.8685083303372398E-3</v>
      </c>
      <c r="GD49">
        <v>0</v>
      </c>
      <c r="GE49">
        <v>7.0186506005709502E-3</v>
      </c>
      <c r="GF49">
        <v>0.40561496392380297</v>
      </c>
      <c r="GG49">
        <v>5.5920128554284398E-4</v>
      </c>
      <c r="GH49">
        <v>9.4211696728345607E-3</v>
      </c>
      <c r="GI49">
        <v>1.8511019381074498E-2</v>
      </c>
      <c r="GJ49">
        <v>9.11719891177931E-4</v>
      </c>
      <c r="GK49">
        <v>1.76881945918799E-3</v>
      </c>
      <c r="GL49">
        <v>0.396993612109722</v>
      </c>
      <c r="GM49">
        <v>6.6377653249169001E-3</v>
      </c>
      <c r="GN49">
        <v>5.5010402850496395E-4</v>
      </c>
      <c r="GO49">
        <v>0</v>
      </c>
      <c r="GP49">
        <v>0</v>
      </c>
      <c r="GQ49">
        <v>0</v>
      </c>
      <c r="GR49">
        <v>6.0824257403171801E-2</v>
      </c>
      <c r="GS49">
        <v>1.12942480125288E-3</v>
      </c>
      <c r="GT49">
        <v>1.2669764732805501E-4</v>
      </c>
      <c r="GU49">
        <v>3.83050848797317E-2</v>
      </c>
      <c r="GV49">
        <v>7.1127400028084199E-4</v>
      </c>
      <c r="GW49">
        <v>7.9789944705685293E-5</v>
      </c>
      <c r="GX49">
        <v>0.121955823005323</v>
      </c>
      <c r="GY49">
        <v>0.13252902876728501</v>
      </c>
      <c r="GZ49">
        <v>58.942534182391199</v>
      </c>
      <c r="HA49">
        <v>676.44316771143303</v>
      </c>
      <c r="HB49">
        <v>0</v>
      </c>
      <c r="HC49">
        <v>0.999813066687817</v>
      </c>
      <c r="HD49">
        <v>0.41938781942384901</v>
      </c>
      <c r="HE49">
        <v>1.0887462973611E-2</v>
      </c>
      <c r="HF49">
        <v>9.42697736014336E-4</v>
      </c>
      <c r="HG49">
        <v>1.2947862110388999E-2</v>
      </c>
      <c r="HH49" s="159">
        <v>4.76187689750726E-7</v>
      </c>
      <c r="HI49" s="159">
        <v>3.3333254426012498E-7</v>
      </c>
      <c r="HJ49">
        <v>0</v>
      </c>
      <c r="HK49">
        <v>0</v>
      </c>
      <c r="HL49">
        <v>0</v>
      </c>
      <c r="HM49">
        <v>0</v>
      </c>
      <c r="HN49">
        <v>0</v>
      </c>
      <c r="HO49">
        <v>1.14533975659159E-2</v>
      </c>
      <c r="HP49">
        <v>0.55191684819113496</v>
      </c>
      <c r="HQ49">
        <v>1.0887462973611E-2</v>
      </c>
      <c r="HR49">
        <v>9.42697736014336E-4</v>
      </c>
      <c r="HS49">
        <v>0.72147412355107998</v>
      </c>
      <c r="HT49">
        <v>-999</v>
      </c>
      <c r="HU49">
        <v>1</v>
      </c>
      <c r="HV49">
        <v>0.79794235602181796</v>
      </c>
      <c r="HW49">
        <v>0.20205764397818099</v>
      </c>
      <c r="HX49">
        <v>12521.7062712841</v>
      </c>
      <c r="HY49">
        <v>400.20889572040397</v>
      </c>
      <c r="HZ49">
        <v>40.249515489946397</v>
      </c>
      <c r="IA49">
        <v>-0.13252902876728501</v>
      </c>
      <c r="IB49">
        <v>0</v>
      </c>
      <c r="IC49">
        <v>0</v>
      </c>
      <c r="ID49">
        <v>0</v>
      </c>
      <c r="IE49">
        <v>0</v>
      </c>
      <c r="IF49">
        <v>0</v>
      </c>
      <c r="IG49">
        <v>0</v>
      </c>
      <c r="IH49">
        <v>0</v>
      </c>
      <c r="II49">
        <v>46.337800049999601</v>
      </c>
      <c r="IJ49">
        <v>463.37800049999902</v>
      </c>
      <c r="IK49">
        <v>1.0514987752427801E-2</v>
      </c>
      <c r="IL49">
        <v>2.2936207692442001E-3</v>
      </c>
      <c r="IM49">
        <v>1.28086085216721E-2</v>
      </c>
      <c r="IN49">
        <v>9.3357636873050596E-4</v>
      </c>
      <c r="IO49">
        <v>0.423555353407647</v>
      </c>
      <c r="IP49">
        <v>1.8717464775400001E-2</v>
      </c>
      <c r="IQ49">
        <v>1.65202026206555E-3</v>
      </c>
      <c r="IR49">
        <v>0.29388074282905902</v>
      </c>
      <c r="IS49">
        <v>0.239192533078707</v>
      </c>
      <c r="IT49">
        <v>0.27100622887285902</v>
      </c>
      <c r="IU49">
        <v>0.29908059151898297</v>
      </c>
      <c r="IV49">
        <v>1.4240386962960601E-2</v>
      </c>
      <c r="IW49">
        <v>1.2043124808216101E-3</v>
      </c>
      <c r="IX49">
        <v>7.4959437872708298E-2</v>
      </c>
      <c r="IY49">
        <v>2.6961227403914001E-3</v>
      </c>
      <c r="IZ49">
        <v>2.6961227403913797E-4</v>
      </c>
      <c r="JA49">
        <v>7.5073317986628404E-2</v>
      </c>
      <c r="JB49">
        <v>2.7002187524951698E-3</v>
      </c>
      <c r="JC49">
        <v>2.7002187524951502E-4</v>
      </c>
      <c r="JD49">
        <v>1.7478826844748299E-4</v>
      </c>
      <c r="JE49">
        <v>3.2289365545577898E-3</v>
      </c>
      <c r="JF49" s="159">
        <v>3.3203691532368501E-19</v>
      </c>
      <c r="JG49">
        <v>0</v>
      </c>
      <c r="JH49">
        <v>4.1319971937836802E-3</v>
      </c>
      <c r="JI49">
        <v>5.4075798734062105E-4</v>
      </c>
      <c r="JJ49">
        <v>-0.50668293827289701</v>
      </c>
      <c r="JK49">
        <v>1.7478826844748299E-4</v>
      </c>
      <c r="JL49" s="159">
        <v>6.5753399999999896E-6</v>
      </c>
      <c r="JM49">
        <v>-0.50668293827289701</v>
      </c>
      <c r="JN49">
        <v>0</v>
      </c>
      <c r="JO49">
        <v>1.4794658195533601</v>
      </c>
      <c r="JP49">
        <v>-1.3665657654588E-2</v>
      </c>
      <c r="JQ49">
        <v>8.9988308447102802E-4</v>
      </c>
      <c r="JR49">
        <v>3.01685104665061E-2</v>
      </c>
      <c r="JS49">
        <v>1552.3498395690201</v>
      </c>
      <c r="JT49">
        <v>4.6229344881736897E-2</v>
      </c>
      <c r="JU49">
        <v>0</v>
      </c>
      <c r="JV49">
        <v>365</v>
      </c>
      <c r="JW49">
        <v>0</v>
      </c>
      <c r="JX49">
        <v>-0.40268092994350901</v>
      </c>
      <c r="JY49">
        <v>0</v>
      </c>
      <c r="JZ49">
        <v>1.31983959609391</v>
      </c>
      <c r="KA49">
        <v>1.4026282758842601</v>
      </c>
      <c r="KB49">
        <v>1.43018879077709</v>
      </c>
      <c r="KC49">
        <v>0</v>
      </c>
      <c r="KD49">
        <v>0</v>
      </c>
      <c r="KE49">
        <v>0</v>
      </c>
      <c r="KF49">
        <v>3.56387234863066E-3</v>
      </c>
      <c r="KG49">
        <v>2.2399240181937799E-2</v>
      </c>
      <c r="KH49">
        <v>3.8758167868475503E-2</v>
      </c>
      <c r="KI49">
        <v>0</v>
      </c>
      <c r="KJ49">
        <v>0</v>
      </c>
      <c r="KK49">
        <v>0</v>
      </c>
      <c r="KL49">
        <v>0</v>
      </c>
      <c r="KM49">
        <v>0</v>
      </c>
      <c r="KN49">
        <v>0</v>
      </c>
      <c r="KO49">
        <v>0</v>
      </c>
      <c r="KP49">
        <v>0</v>
      </c>
      <c r="KQ49">
        <v>0</v>
      </c>
      <c r="KR49">
        <v>0</v>
      </c>
      <c r="KS49">
        <v>0</v>
      </c>
      <c r="KT49">
        <v>0</v>
      </c>
      <c r="KU49">
        <v>0.34999999999999898</v>
      </c>
      <c r="KV49">
        <v>-0.11518727582561999</v>
      </c>
      <c r="KW49">
        <v>1.8272064797044099E-3</v>
      </c>
      <c r="KX49">
        <v>33368.978974648599</v>
      </c>
      <c r="KY49">
        <v>0</v>
      </c>
      <c r="KZ49">
        <v>0.21033375580539701</v>
      </c>
      <c r="LA49">
        <v>1.73602675993533E-5</v>
      </c>
      <c r="LB49">
        <v>0</v>
      </c>
      <c r="LC49">
        <v>-12.1426295697556</v>
      </c>
      <c r="LD49">
        <v>1.57143478264112E-2</v>
      </c>
      <c r="LE49">
        <v>3.4097621003880002E-3</v>
      </c>
      <c r="LF49">
        <v>1.57143478264112E-2</v>
      </c>
      <c r="LG49">
        <v>0.94903117095171996</v>
      </c>
      <c r="LH49">
        <v>1.23639905789968</v>
      </c>
      <c r="LI49">
        <v>0</v>
      </c>
      <c r="LJ49">
        <v>0</v>
      </c>
      <c r="LK49">
        <v>0.242763767581262</v>
      </c>
      <c r="LL49">
        <v>0</v>
      </c>
      <c r="LM49">
        <v>0</v>
      </c>
      <c r="LN49">
        <v>0</v>
      </c>
      <c r="LO49">
        <v>0</v>
      </c>
      <c r="LP49">
        <v>0</v>
      </c>
      <c r="LQ49">
        <v>0</v>
      </c>
      <c r="LR49">
        <v>0</v>
      </c>
      <c r="LS49">
        <v>0</v>
      </c>
      <c r="LT49">
        <v>-999</v>
      </c>
      <c r="LU49">
        <v>0.42565172421755398</v>
      </c>
      <c r="LV49">
        <v>48</v>
      </c>
      <c r="LW49">
        <v>186.12</v>
      </c>
      <c r="LX49">
        <v>1.7389999999999901</v>
      </c>
      <c r="LY49">
        <v>0</v>
      </c>
      <c r="LZ49">
        <v>-999</v>
      </c>
      <c r="MA49">
        <v>0</v>
      </c>
      <c r="MB49">
        <v>0</v>
      </c>
      <c r="MC49">
        <v>586.12</v>
      </c>
      <c r="MD49">
        <v>-23.6999999999999</v>
      </c>
      <c r="ME49">
        <v>-33.6</v>
      </c>
      <c r="MF49">
        <v>0</v>
      </c>
      <c r="MG49">
        <v>8.0706896550000007</v>
      </c>
      <c r="MH49">
        <v>0</v>
      </c>
      <c r="MI49">
        <v>0</v>
      </c>
      <c r="MJ49">
        <v>0</v>
      </c>
      <c r="MK49">
        <v>0</v>
      </c>
      <c r="ML49">
        <v>0</v>
      </c>
      <c r="MM49">
        <v>0</v>
      </c>
      <c r="MN49">
        <v>0</v>
      </c>
      <c r="MO49">
        <v>0</v>
      </c>
      <c r="MP49">
        <v>0</v>
      </c>
      <c r="MQ49">
        <v>0</v>
      </c>
      <c r="MR49">
        <v>0</v>
      </c>
      <c r="MS49">
        <v>0</v>
      </c>
      <c r="MT49">
        <v>0</v>
      </c>
      <c r="MU49">
        <v>0</v>
      </c>
      <c r="MV49">
        <v>0</v>
      </c>
    </row>
    <row r="50" spans="1:360" x14ac:dyDescent="0.25">
      <c r="A50">
        <v>17885</v>
      </c>
      <c r="B50">
        <v>0</v>
      </c>
      <c r="C50">
        <v>-33.6</v>
      </c>
      <c r="D50">
        <v>-23.6999999999999</v>
      </c>
      <c r="E50">
        <v>400</v>
      </c>
      <c r="F50">
        <v>0</v>
      </c>
      <c r="G50">
        <v>0</v>
      </c>
      <c r="H50">
        <v>0</v>
      </c>
      <c r="I50">
        <v>0</v>
      </c>
      <c r="J50">
        <v>0</v>
      </c>
      <c r="K50">
        <v>0</v>
      </c>
      <c r="L50" s="159">
        <v>6.5753399999999896E-6</v>
      </c>
      <c r="M50">
        <v>0</v>
      </c>
      <c r="N50">
        <v>0</v>
      </c>
      <c r="O50">
        <v>0</v>
      </c>
      <c r="P50">
        <v>0</v>
      </c>
      <c r="Q50">
        <v>0</v>
      </c>
      <c r="R50">
        <v>0</v>
      </c>
      <c r="S50">
        <v>0</v>
      </c>
      <c r="T50">
        <v>0</v>
      </c>
      <c r="U50">
        <v>701.96239036152303</v>
      </c>
      <c r="V50">
        <v>13.9195735083432</v>
      </c>
      <c r="W50">
        <v>1.3470138010980199</v>
      </c>
      <c r="X50">
        <v>0.32239715210994402</v>
      </c>
      <c r="Y50">
        <v>0.27497249967273202</v>
      </c>
      <c r="Z50">
        <v>0.40263034821732202</v>
      </c>
      <c r="AA50">
        <v>0.112424264917274</v>
      </c>
      <c r="AB50">
        <v>0.512589625654577</v>
      </c>
      <c r="AC50">
        <v>0.37498610942814697</v>
      </c>
      <c r="AD50">
        <v>0.88457149102204502</v>
      </c>
      <c r="AE50">
        <v>4.15387323535635E-2</v>
      </c>
      <c r="AF50">
        <v>7.3889776624391307E-2</v>
      </c>
      <c r="AG50">
        <v>0</v>
      </c>
      <c r="AH50">
        <v>3417.6422569321098</v>
      </c>
      <c r="AI50">
        <v>79.773720338261299</v>
      </c>
      <c r="AJ50">
        <v>8.1170621528663798</v>
      </c>
      <c r="AK50">
        <v>406.24162213917498</v>
      </c>
      <c r="AL50">
        <v>7.54336152933055</v>
      </c>
      <c r="AM50">
        <v>0.84620610212467695</v>
      </c>
      <c r="AN50">
        <v>8698.4637746569497</v>
      </c>
      <c r="AO50">
        <v>312.86421903467902</v>
      </c>
      <c r="AP50">
        <v>31.286421903467598</v>
      </c>
      <c r="AQ50">
        <v>3.00466150516768E-2</v>
      </c>
      <c r="AR50">
        <v>6.20674348213916E-3</v>
      </c>
      <c r="AS50">
        <v>2.0871564172335402E-2</v>
      </c>
      <c r="AT50">
        <v>9.48</v>
      </c>
      <c r="AU50">
        <v>5.98631022668871</v>
      </c>
      <c r="AV50">
        <v>0</v>
      </c>
      <c r="AW50">
        <v>84.989069641512998</v>
      </c>
      <c r="AX50">
        <v>66.493984229280002</v>
      </c>
      <c r="AY50">
        <v>361.48827576066702</v>
      </c>
      <c r="AZ50">
        <v>0.54833294000258004</v>
      </c>
      <c r="BA50">
        <v>0.83881468498419898</v>
      </c>
      <c r="BB50">
        <v>1.40338981488792E-2</v>
      </c>
      <c r="BC50">
        <v>1.17365582346843E-3</v>
      </c>
      <c r="BD50">
        <v>0.59672131883795498</v>
      </c>
      <c r="BE50">
        <v>9.2615776544284593E-3</v>
      </c>
      <c r="BF50">
        <v>7.5586484027049703E-4</v>
      </c>
      <c r="BG50">
        <v>766.29999847710098</v>
      </c>
      <c r="BH50">
        <v>-1626.59999865293</v>
      </c>
      <c r="BI50">
        <v>427.61866953360402</v>
      </c>
      <c r="BJ50">
        <v>211.044553325831</v>
      </c>
      <c r="BK50">
        <v>3.6784319467460098</v>
      </c>
      <c r="BL50">
        <v>4.67264172188316</v>
      </c>
      <c r="BM50">
        <v>192.80818347499701</v>
      </c>
      <c r="BN50">
        <v>22.0560586729822</v>
      </c>
      <c r="BO50">
        <v>214.86424214797901</v>
      </c>
      <c r="BP50">
        <v>3.47803744657014</v>
      </c>
      <c r="BQ50">
        <v>0.29265316499038502</v>
      </c>
      <c r="BR50">
        <v>207.36612137908401</v>
      </c>
      <c r="BS50">
        <v>2.2019547990972201</v>
      </c>
      <c r="BT50">
        <v>0.29247849647809199</v>
      </c>
      <c r="BU50">
        <v>3.4917773348016099</v>
      </c>
      <c r="BV50">
        <v>1.7041753112493001</v>
      </c>
      <c r="BW50">
        <v>0.52472588250280605</v>
      </c>
      <c r="BX50">
        <v>1.2628761410495</v>
      </c>
      <c r="BY50">
        <v>0</v>
      </c>
      <c r="BZ50">
        <v>3.0684860480543201</v>
      </c>
      <c r="CA50">
        <v>0.40955139851581401</v>
      </c>
      <c r="CB50">
        <v>0.29395029234844799</v>
      </c>
      <c r="CC50">
        <v>0.246710133994158</v>
      </c>
      <c r="CD50">
        <v>4.5943030996226798E-2</v>
      </c>
      <c r="CE50">
        <v>21.707711177754799</v>
      </c>
      <c r="CF50">
        <v>164.86086174666301</v>
      </c>
      <c r="CG50">
        <v>42.213211924747</v>
      </c>
      <c r="CH50">
        <v>0.403083053198314</v>
      </c>
      <c r="CI50">
        <v>7.2136930745322498</v>
      </c>
      <c r="CJ50">
        <v>1.71957643766802</v>
      </c>
      <c r="CK50">
        <v>9.6064055216500002</v>
      </c>
      <c r="CL50">
        <v>1.5183144890779501</v>
      </c>
      <c r="CM50">
        <v>9.8048623174409905E-2</v>
      </c>
      <c r="CN50">
        <v>4.5217419044971799E-2</v>
      </c>
      <c r="CO50">
        <v>0.60823238098786803</v>
      </c>
      <c r="CP50">
        <v>0.74782899850121098</v>
      </c>
      <c r="CQ50">
        <v>0.15183144890779399</v>
      </c>
      <c r="CR50">
        <v>42.505259632421499</v>
      </c>
      <c r="CS50">
        <v>1.52881878964752</v>
      </c>
      <c r="CT50">
        <v>0.15288187896475</v>
      </c>
      <c r="CU50">
        <v>1.47000000000001E-2</v>
      </c>
      <c r="CV50">
        <v>2.0695545095694699E-3</v>
      </c>
      <c r="CW50">
        <v>2.2299647393349802</v>
      </c>
      <c r="CX50">
        <v>2.0300000000000099E-2</v>
      </c>
      <c r="CY50">
        <v>5.95585719956232E-3</v>
      </c>
      <c r="CZ50">
        <v>0</v>
      </c>
      <c r="DA50">
        <v>2.3999991000028301E-3</v>
      </c>
      <c r="DB50">
        <v>1.4966386012239101E-3</v>
      </c>
      <c r="DC50">
        <v>2.00000000000002E-3</v>
      </c>
      <c r="DD50">
        <v>3.4897379046626301E-3</v>
      </c>
      <c r="DE50">
        <v>1.0289686789405901E-3</v>
      </c>
      <c r="DF50">
        <v>2.39999909999998E-3</v>
      </c>
      <c r="DG50">
        <v>0</v>
      </c>
      <c r="DH50">
        <v>0</v>
      </c>
      <c r="DI50">
        <v>0.23180769400000201</v>
      </c>
      <c r="DJ50">
        <v>1.88461552000001E-2</v>
      </c>
      <c r="DK50">
        <v>2.4159042969042499</v>
      </c>
      <c r="DL50">
        <v>0.15769610293108599</v>
      </c>
      <c r="DM50">
        <v>70.744139688559699</v>
      </c>
      <c r="DN50">
        <v>226.828805444164</v>
      </c>
      <c r="DO50">
        <v>327.66000000000003</v>
      </c>
      <c r="DP50">
        <v>30.057194076443999</v>
      </c>
      <c r="DQ50">
        <v>157.94999999999899</v>
      </c>
      <c r="DR50">
        <v>169.71</v>
      </c>
      <c r="DS50">
        <v>156.11819493971899</v>
      </c>
      <c r="DT50">
        <v>0</v>
      </c>
      <c r="DU50">
        <v>0</v>
      </c>
      <c r="DV50">
        <v>0</v>
      </c>
      <c r="DW50">
        <v>0</v>
      </c>
      <c r="DX50">
        <v>0</v>
      </c>
      <c r="DY50">
        <v>0</v>
      </c>
      <c r="DZ50">
        <v>0</v>
      </c>
      <c r="EA50">
        <v>0</v>
      </c>
      <c r="EB50">
        <v>0</v>
      </c>
      <c r="EC50">
        <v>0</v>
      </c>
      <c r="ED50">
        <v>0</v>
      </c>
      <c r="EE50">
        <v>0</v>
      </c>
      <c r="EF50">
        <v>1.2725461775613101</v>
      </c>
      <c r="EG50">
        <v>0</v>
      </c>
      <c r="EH50">
        <v>0</v>
      </c>
      <c r="EI50">
        <v>0</v>
      </c>
      <c r="EJ50">
        <v>0</v>
      </c>
      <c r="EK50">
        <v>0</v>
      </c>
      <c r="EL50">
        <v>0</v>
      </c>
      <c r="EM50">
        <v>0</v>
      </c>
      <c r="EN50">
        <v>0</v>
      </c>
      <c r="EO50">
        <v>0</v>
      </c>
      <c r="EP50">
        <v>0</v>
      </c>
      <c r="EQ50">
        <v>0</v>
      </c>
      <c r="ER50">
        <v>0</v>
      </c>
      <c r="ES50">
        <v>0</v>
      </c>
      <c r="ET50">
        <v>0</v>
      </c>
      <c r="EU50">
        <v>0</v>
      </c>
      <c r="EV50">
        <v>818.19372768814605</v>
      </c>
      <c r="EW50">
        <v>-28.649999999999899</v>
      </c>
      <c r="EX50">
        <v>1477.81555865583</v>
      </c>
      <c r="EY50">
        <v>836.90508772780902</v>
      </c>
      <c r="EZ50">
        <v>92.470117671951598</v>
      </c>
      <c r="FA50">
        <v>668.266454288212</v>
      </c>
      <c r="FB50">
        <v>717.07897949218705</v>
      </c>
      <c r="FC50">
        <v>0.39882361751912698</v>
      </c>
      <c r="FD50">
        <v>0.727338426024981</v>
      </c>
      <c r="FE50">
        <v>0</v>
      </c>
      <c r="FF50">
        <v>1</v>
      </c>
      <c r="FG50" s="159">
        <v>5.8988707260751998E-13</v>
      </c>
      <c r="FH50">
        <v>0</v>
      </c>
      <c r="FI50">
        <v>5.4512674794765098E-5</v>
      </c>
      <c r="FJ50">
        <v>-5.2207114352216897E-3</v>
      </c>
      <c r="FK50" s="159">
        <v>6.57534000000779E-6</v>
      </c>
      <c r="FL50" s="159">
        <v>2.51008294152018E-6</v>
      </c>
      <c r="FM50" s="159">
        <v>4.1002235811141301E-6</v>
      </c>
      <c r="FN50">
        <v>0</v>
      </c>
      <c r="FO50">
        <v>0</v>
      </c>
      <c r="FP50">
        <v>0</v>
      </c>
      <c r="FQ50">
        <v>0</v>
      </c>
      <c r="FR50">
        <v>0</v>
      </c>
      <c r="FS50">
        <v>0</v>
      </c>
      <c r="FT50">
        <v>0</v>
      </c>
      <c r="FU50">
        <v>0</v>
      </c>
      <c r="FV50">
        <v>-999</v>
      </c>
      <c r="FW50">
        <v>0.48450600593312598</v>
      </c>
      <c r="FX50">
        <v>3.2144972056660399E-3</v>
      </c>
      <c r="FY50">
        <v>1.20739359879106</v>
      </c>
      <c r="FZ50">
        <v>9.3556502111518097E-4</v>
      </c>
      <c r="GA50">
        <v>42.340955336054698</v>
      </c>
      <c r="GB50">
        <v>1.0616287844833301E-2</v>
      </c>
      <c r="GC50">
        <v>2.8692669850900899E-3</v>
      </c>
      <c r="GD50">
        <v>0</v>
      </c>
      <c r="GE50">
        <v>7.0193292118713203E-3</v>
      </c>
      <c r="GF50">
        <v>0.403789057112733</v>
      </c>
      <c r="GG50">
        <v>5.5926888803347697E-4</v>
      </c>
      <c r="GH50">
        <v>9.4190194620795108E-3</v>
      </c>
      <c r="GI50">
        <v>1.8507855895542501E-2</v>
      </c>
      <c r="GJ50">
        <v>9.1148979533224898E-4</v>
      </c>
      <c r="GK50">
        <v>1.7685806103730701E-3</v>
      </c>
      <c r="GL50">
        <v>0.39745674222213601</v>
      </c>
      <c r="GM50">
        <v>6.6451752930890198E-3</v>
      </c>
      <c r="GN50">
        <v>5.5070196291844898E-4</v>
      </c>
      <c r="GO50">
        <v>0</v>
      </c>
      <c r="GP50">
        <v>0</v>
      </c>
      <c r="GQ50">
        <v>0</v>
      </c>
      <c r="GR50">
        <v>6.0871167318286498E-2</v>
      </c>
      <c r="GS50">
        <v>1.13029585539833E-3</v>
      </c>
      <c r="GT50">
        <v>1.2679536123587999E-4</v>
      </c>
      <c r="GU50">
        <v>3.8338096121656E-2</v>
      </c>
      <c r="GV50">
        <v>7.1188697472461299E-4</v>
      </c>
      <c r="GW50">
        <v>7.9858707512922903E-5</v>
      </c>
      <c r="GX50">
        <v>0.12210108995965099</v>
      </c>
      <c r="GY50">
        <v>0.132673577459263</v>
      </c>
      <c r="GZ50">
        <v>58.945355308737199</v>
      </c>
      <c r="HA50">
        <v>676.50143137099496</v>
      </c>
      <c r="HB50">
        <v>0</v>
      </c>
      <c r="HC50">
        <v>0.99981306710717499</v>
      </c>
      <c r="HD50">
        <v>0.41983670782804</v>
      </c>
      <c r="HE50">
        <v>1.0899383200600399E-2</v>
      </c>
      <c r="HF50">
        <v>9.4372206325196695E-4</v>
      </c>
      <c r="HG50">
        <v>1.29668903246685E-2</v>
      </c>
      <c r="HH50" s="159">
        <v>4.76187694482778E-7</v>
      </c>
      <c r="HI50" s="159">
        <v>3.33332544247879E-7</v>
      </c>
      <c r="HJ50">
        <v>0</v>
      </c>
      <c r="HK50">
        <v>0</v>
      </c>
      <c r="HL50">
        <v>0</v>
      </c>
      <c r="HM50">
        <v>0</v>
      </c>
      <c r="HN50">
        <v>0</v>
      </c>
      <c r="HO50">
        <v>1.14701859185118E-2</v>
      </c>
      <c r="HP50">
        <v>0.55251028528730395</v>
      </c>
      <c r="HQ50">
        <v>1.0899383200600399E-2</v>
      </c>
      <c r="HR50">
        <v>9.4372206325196695E-4</v>
      </c>
      <c r="HS50">
        <v>0.72124561829418898</v>
      </c>
      <c r="HT50">
        <v>-999</v>
      </c>
      <c r="HU50">
        <v>1</v>
      </c>
      <c r="HV50">
        <v>0.79849730165047805</v>
      </c>
      <c r="HW50">
        <v>0.201502698349521</v>
      </c>
      <c r="HX50">
        <v>12522.3476537282</v>
      </c>
      <c r="HY50">
        <v>400.18130090226998</v>
      </c>
      <c r="HZ50">
        <v>40.249690158458698</v>
      </c>
      <c r="IA50">
        <v>-0.132673577459263</v>
      </c>
      <c r="IB50">
        <v>0</v>
      </c>
      <c r="IC50">
        <v>0</v>
      </c>
      <c r="ID50">
        <v>0</v>
      </c>
      <c r="IE50">
        <v>0</v>
      </c>
      <c r="IF50">
        <v>0</v>
      </c>
      <c r="IG50">
        <v>0</v>
      </c>
      <c r="IH50">
        <v>0</v>
      </c>
      <c r="II50">
        <v>46.337800049999601</v>
      </c>
      <c r="IJ50">
        <v>463.37800049999902</v>
      </c>
      <c r="IK50">
        <v>1.0529193823033901E-2</v>
      </c>
      <c r="IL50">
        <v>2.2973378332366199E-3</v>
      </c>
      <c r="IM50">
        <v>1.28265316562705E-2</v>
      </c>
      <c r="IN50">
        <v>9.29721395246577E-4</v>
      </c>
      <c r="IO50">
        <v>0.42362938886246099</v>
      </c>
      <c r="IP50">
        <v>1.87339786066552E-2</v>
      </c>
      <c r="IQ50">
        <v>1.64821206637983E-3</v>
      </c>
      <c r="IR50">
        <v>0.293732535073149</v>
      </c>
      <c r="IS50">
        <v>0.238902917363291</v>
      </c>
      <c r="IT50">
        <v>0.27154285751479201</v>
      </c>
      <c r="IU50">
        <v>0.29919565454040098</v>
      </c>
      <c r="IV50">
        <v>1.4258376463703801E-2</v>
      </c>
      <c r="IW50">
        <v>1.20065185208469E-3</v>
      </c>
      <c r="IX50">
        <v>7.4955018374996601E-2</v>
      </c>
      <c r="IY50">
        <v>2.69596378097788E-3</v>
      </c>
      <c r="IZ50">
        <v>2.6959637809778598E-4</v>
      </c>
      <c r="JA50">
        <v>7.5071065551335803E-2</v>
      </c>
      <c r="JB50">
        <v>2.7001377374530899E-3</v>
      </c>
      <c r="JC50">
        <v>2.7001377374530702E-4</v>
      </c>
      <c r="JD50">
        <v>1.7505138907818399E-4</v>
      </c>
      <c r="JE50">
        <v>3.2312440363548899E-3</v>
      </c>
      <c r="JF50" s="159">
        <v>-2.37169225231204E-19</v>
      </c>
      <c r="JG50">
        <v>0</v>
      </c>
      <c r="JH50">
        <v>4.1319825448863801E-3</v>
      </c>
      <c r="JI50">
        <v>5.4094423058342097E-4</v>
      </c>
      <c r="JJ50">
        <v>-0.50694029755100001</v>
      </c>
      <c r="JK50">
        <v>1.7505138907818399E-4</v>
      </c>
      <c r="JL50" s="159">
        <v>6.5753399999999896E-6</v>
      </c>
      <c r="JM50">
        <v>-0.50694029755100001</v>
      </c>
      <c r="JN50">
        <v>0</v>
      </c>
      <c r="JO50">
        <v>1.4943353438415801</v>
      </c>
      <c r="JP50">
        <v>-1.3826736265808199E-2</v>
      </c>
      <c r="JQ50">
        <v>9.1026119533737496E-4</v>
      </c>
      <c r="JR50">
        <v>2.9860790831833101E-2</v>
      </c>
      <c r="JS50">
        <v>1553.9840744220201</v>
      </c>
      <c r="JT50">
        <v>4.6131559174142703E-2</v>
      </c>
      <c r="JU50">
        <v>0</v>
      </c>
      <c r="JV50">
        <v>365</v>
      </c>
      <c r="JW50">
        <v>0</v>
      </c>
      <c r="JX50">
        <v>-0.40268092994350901</v>
      </c>
      <c r="JY50">
        <v>0</v>
      </c>
      <c r="JZ50">
        <v>1.3201339071565299</v>
      </c>
      <c r="KA50">
        <v>1.4027286963005601</v>
      </c>
      <c r="KB50">
        <v>1.4305987001129901</v>
      </c>
      <c r="KC50">
        <v>0</v>
      </c>
      <c r="KD50">
        <v>0</v>
      </c>
      <c r="KE50">
        <v>0</v>
      </c>
      <c r="KF50">
        <v>3.5655382455562698E-3</v>
      </c>
      <c r="KG50">
        <v>2.24148916009663E-2</v>
      </c>
      <c r="KH50">
        <v>3.8718781962661999E-2</v>
      </c>
      <c r="KI50">
        <v>0</v>
      </c>
      <c r="KJ50">
        <v>0</v>
      </c>
      <c r="KK50">
        <v>0</v>
      </c>
      <c r="KL50">
        <v>0</v>
      </c>
      <c r="KM50">
        <v>0</v>
      </c>
      <c r="KN50">
        <v>0</v>
      </c>
      <c r="KO50">
        <v>0</v>
      </c>
      <c r="KP50">
        <v>0</v>
      </c>
      <c r="KQ50">
        <v>0</v>
      </c>
      <c r="KR50">
        <v>0</v>
      </c>
      <c r="KS50">
        <v>0</v>
      </c>
      <c r="KT50">
        <v>0</v>
      </c>
      <c r="KU50">
        <v>0.34999999999999898</v>
      </c>
      <c r="KV50">
        <v>-0.115106368244298</v>
      </c>
      <c r="KW50">
        <v>1.8259936091698601E-3</v>
      </c>
      <c r="KX50">
        <v>33413.322714410599</v>
      </c>
      <c r="KY50">
        <v>0</v>
      </c>
      <c r="KZ50">
        <v>0.21033884297052499</v>
      </c>
      <c r="LA50">
        <v>1.73602675993533E-5</v>
      </c>
      <c r="LB50">
        <v>0</v>
      </c>
      <c r="LC50">
        <v>-12.142139755326101</v>
      </c>
      <c r="LD50">
        <v>1.5714653001334601E-2</v>
      </c>
      <c r="LE50">
        <v>3.41005000125911E-3</v>
      </c>
      <c r="LF50">
        <v>1.5714653001334601E-2</v>
      </c>
      <c r="LG50">
        <v>0.94925634153483096</v>
      </c>
      <c r="LH50">
        <v>1.2366549335623001</v>
      </c>
      <c r="LI50">
        <v>0</v>
      </c>
      <c r="LJ50">
        <v>0</v>
      </c>
      <c r="LK50">
        <v>0.24282591326146599</v>
      </c>
      <c r="LL50">
        <v>0</v>
      </c>
      <c r="LM50">
        <v>0</v>
      </c>
      <c r="LN50">
        <v>0</v>
      </c>
      <c r="LO50">
        <v>0</v>
      </c>
      <c r="LP50">
        <v>0</v>
      </c>
      <c r="LQ50">
        <v>0</v>
      </c>
      <c r="LR50">
        <v>0</v>
      </c>
      <c r="LS50">
        <v>0</v>
      </c>
      <c r="LT50">
        <v>-999</v>
      </c>
      <c r="LU50">
        <v>0.42565324399976301</v>
      </c>
      <c r="LV50">
        <v>49</v>
      </c>
      <c r="LW50">
        <v>190.07999999999899</v>
      </c>
      <c r="LX50">
        <v>1.77599999999999</v>
      </c>
      <c r="LY50">
        <v>0</v>
      </c>
      <c r="LZ50">
        <v>-999</v>
      </c>
      <c r="MA50">
        <v>0</v>
      </c>
      <c r="MB50">
        <v>0</v>
      </c>
      <c r="MC50">
        <v>590.07999999999902</v>
      </c>
      <c r="MD50">
        <v>-23.6999999999999</v>
      </c>
      <c r="ME50">
        <v>-33.6</v>
      </c>
      <c r="MF50">
        <v>0</v>
      </c>
      <c r="MG50">
        <v>8.0706896550000007</v>
      </c>
      <c r="MH50">
        <v>0</v>
      </c>
      <c r="MI50">
        <v>0</v>
      </c>
      <c r="MJ50">
        <v>0</v>
      </c>
      <c r="MK50">
        <v>0</v>
      </c>
      <c r="ML50">
        <v>0</v>
      </c>
      <c r="MM50">
        <v>0</v>
      </c>
      <c r="MN50">
        <v>0</v>
      </c>
      <c r="MO50">
        <v>0</v>
      </c>
      <c r="MP50">
        <v>0</v>
      </c>
      <c r="MQ50">
        <v>0</v>
      </c>
      <c r="MR50">
        <v>0</v>
      </c>
      <c r="MS50">
        <v>0</v>
      </c>
      <c r="MT50">
        <v>0</v>
      </c>
      <c r="MU50">
        <v>0</v>
      </c>
      <c r="MV50">
        <v>0</v>
      </c>
    </row>
    <row r="51" spans="1:360" x14ac:dyDescent="0.25">
      <c r="A51">
        <v>18250</v>
      </c>
      <c r="B51">
        <v>0</v>
      </c>
      <c r="C51">
        <v>-33.6</v>
      </c>
      <c r="D51">
        <v>-23.6999999999999</v>
      </c>
      <c r="E51">
        <v>400</v>
      </c>
      <c r="F51">
        <v>0</v>
      </c>
      <c r="G51">
        <v>0</v>
      </c>
      <c r="H51">
        <v>0</v>
      </c>
      <c r="I51">
        <v>0</v>
      </c>
      <c r="J51">
        <v>0</v>
      </c>
      <c r="K51">
        <v>0</v>
      </c>
      <c r="L51" s="159">
        <v>6.5753399999999896E-6</v>
      </c>
      <c r="M51">
        <v>0</v>
      </c>
      <c r="N51">
        <v>0</v>
      </c>
      <c r="O51">
        <v>0</v>
      </c>
      <c r="P51">
        <v>0</v>
      </c>
      <c r="Q51">
        <v>0</v>
      </c>
      <c r="R51">
        <v>0</v>
      </c>
      <c r="S51">
        <v>0</v>
      </c>
      <c r="T51">
        <v>0</v>
      </c>
      <c r="U51">
        <v>702.81665557011002</v>
      </c>
      <c r="V51">
        <v>13.933541707103799</v>
      </c>
      <c r="W51">
        <v>1.3483264390829801</v>
      </c>
      <c r="X51">
        <v>0.321105416987293</v>
      </c>
      <c r="Y51">
        <v>0.27469038085918002</v>
      </c>
      <c r="Z51">
        <v>0.40420420215352498</v>
      </c>
      <c r="AA51">
        <v>0.11242280598565101</v>
      </c>
      <c r="AB51">
        <v>0.51339066693938096</v>
      </c>
      <c r="AC51">
        <v>0.37418652707496602</v>
      </c>
      <c r="AD51">
        <v>0.88456839892282002</v>
      </c>
      <c r="AE51">
        <v>4.1446140201461298E-2</v>
      </c>
      <c r="AF51">
        <v>7.3985460875718403E-2</v>
      </c>
      <c r="AG51">
        <v>0</v>
      </c>
      <c r="AH51">
        <v>3418.2358241932602</v>
      </c>
      <c r="AI51">
        <v>79.749828812993101</v>
      </c>
      <c r="AJ51">
        <v>8.1175660928501099</v>
      </c>
      <c r="AK51">
        <v>406.58836128642201</v>
      </c>
      <c r="AL51">
        <v>7.5498000097853</v>
      </c>
      <c r="AM51">
        <v>0.84692836386807202</v>
      </c>
      <c r="AN51">
        <v>8698.1711324700209</v>
      </c>
      <c r="AO51">
        <v>312.853693352025</v>
      </c>
      <c r="AP51">
        <v>31.285369335202201</v>
      </c>
      <c r="AQ51">
        <v>3.0068737102723401E-2</v>
      </c>
      <c r="AR51">
        <v>6.21345821917245E-3</v>
      </c>
      <c r="AS51">
        <v>2.0778469967530602E-2</v>
      </c>
      <c r="AT51">
        <v>9.48</v>
      </c>
      <c r="AU51">
        <v>5.9858377486703498</v>
      </c>
      <c r="AV51">
        <v>0</v>
      </c>
      <c r="AW51">
        <v>85.010574448020094</v>
      </c>
      <c r="AX51">
        <v>66.502038967488303</v>
      </c>
      <c r="AY51">
        <v>361.48600948453202</v>
      </c>
      <c r="AZ51">
        <v>0.54833294000258004</v>
      </c>
      <c r="BA51">
        <v>0.83937672729851998</v>
      </c>
      <c r="BB51">
        <v>1.40410532866274E-2</v>
      </c>
      <c r="BC51">
        <v>1.1743322362994799E-3</v>
      </c>
      <c r="BD51">
        <v>0.59694301977567399</v>
      </c>
      <c r="BE51">
        <v>9.2652394964289307E-3</v>
      </c>
      <c r="BF51">
        <v>7.5602367325807004E-4</v>
      </c>
      <c r="BG51">
        <v>766.29999847710098</v>
      </c>
      <c r="BH51">
        <v>-1626.59999865293</v>
      </c>
      <c r="BI51">
        <v>427.89750323611202</v>
      </c>
      <c r="BJ51">
        <v>211.14077831658301</v>
      </c>
      <c r="BK51">
        <v>3.6905689983671701</v>
      </c>
      <c r="BL51">
        <v>4.67807166896469</v>
      </c>
      <c r="BM51">
        <v>192.89101520187401</v>
      </c>
      <c r="BN51">
        <v>22.073569575087099</v>
      </c>
      <c r="BO51">
        <v>214.964584776961</v>
      </c>
      <c r="BP51">
        <v>3.4798168493314501</v>
      </c>
      <c r="BQ51">
        <v>0.29281552919785903</v>
      </c>
      <c r="BR51">
        <v>207.450209318216</v>
      </c>
      <c r="BS51">
        <v>2.2025066656088499</v>
      </c>
      <c r="BT51">
        <v>0.29264189573619098</v>
      </c>
      <c r="BU51">
        <v>3.4937850480921</v>
      </c>
      <c r="BV51">
        <v>1.7055396092667201</v>
      </c>
      <c r="BW51">
        <v>0.52390174451058702</v>
      </c>
      <c r="BX51">
        <v>1.2643436943147801</v>
      </c>
      <c r="BY51">
        <v>0</v>
      </c>
      <c r="BZ51">
        <v>3.06994029687255</v>
      </c>
      <c r="CA51">
        <v>0.40987655245889498</v>
      </c>
      <c r="CB51">
        <v>0.29412816718281798</v>
      </c>
      <c r="CC51">
        <v>0.24683602278550701</v>
      </c>
      <c r="CD51">
        <v>4.59795064123521E-2</v>
      </c>
      <c r="CE51">
        <v>21.7268304278412</v>
      </c>
      <c r="CF51">
        <v>164.945334979031</v>
      </c>
      <c r="CG51">
        <v>42.212232152233398</v>
      </c>
      <c r="CH51">
        <v>0.403438072004145</v>
      </c>
      <c r="CI51">
        <v>7.2187518728950399</v>
      </c>
      <c r="CJ51">
        <v>1.72049291108724</v>
      </c>
      <c r="CK51">
        <v>9.6129465180765798</v>
      </c>
      <c r="CL51">
        <v>1.5182792488596499</v>
      </c>
      <c r="CM51">
        <v>9.8201269068455402E-2</v>
      </c>
      <c r="CN51">
        <v>4.5257244668958703E-2</v>
      </c>
      <c r="CO51">
        <v>0.60552257397407305</v>
      </c>
      <c r="CP51">
        <v>0.74528397655880896</v>
      </c>
      <c r="CQ51">
        <v>0.151827924885964</v>
      </c>
      <c r="CR51">
        <v>42.504874339184703</v>
      </c>
      <c r="CS51">
        <v>1.52880493151454</v>
      </c>
      <c r="CT51">
        <v>0.15288049315145399</v>
      </c>
      <c r="CU51">
        <v>1.4699999999997999E-2</v>
      </c>
      <c r="CV51">
        <v>2.0729698700687302E-3</v>
      </c>
      <c r="CW51">
        <v>2.2300648755082499</v>
      </c>
      <c r="CX51">
        <v>2.0299999999997299E-2</v>
      </c>
      <c r="CY51">
        <v>5.9635051733876298E-3</v>
      </c>
      <c r="CZ51">
        <v>0</v>
      </c>
      <c r="DA51">
        <v>2.3999991000028002E-3</v>
      </c>
      <c r="DB51">
        <v>1.4965211044601001E-3</v>
      </c>
      <c r="DC51">
        <v>1.9999999999997299E-3</v>
      </c>
      <c r="DD51">
        <v>3.4792998765192499E-3</v>
      </c>
      <c r="DE51">
        <v>1.0240430861221299E-3</v>
      </c>
      <c r="DF51">
        <v>2.3999990999999401E-3</v>
      </c>
      <c r="DG51">
        <v>0</v>
      </c>
      <c r="DH51">
        <v>0</v>
      </c>
      <c r="DI51">
        <v>0.23180769399997</v>
      </c>
      <c r="DJ51">
        <v>1.8846155199997501E-2</v>
      </c>
      <c r="DK51">
        <v>2.42044726233526</v>
      </c>
      <c r="DL51">
        <v>0.15799264114459799</v>
      </c>
      <c r="DM51">
        <v>70.326781959571704</v>
      </c>
      <c r="DN51">
        <v>227.279061394856</v>
      </c>
      <c r="DO51">
        <v>327.66000000000003</v>
      </c>
      <c r="DP51">
        <v>30.024600540435799</v>
      </c>
      <c r="DQ51">
        <v>157.94999999999899</v>
      </c>
      <c r="DR51">
        <v>169.71</v>
      </c>
      <c r="DS51">
        <v>156.14013559271001</v>
      </c>
      <c r="DT51">
        <v>0</v>
      </c>
      <c r="DU51">
        <v>0</v>
      </c>
      <c r="DV51">
        <v>0</v>
      </c>
      <c r="DW51">
        <v>0</v>
      </c>
      <c r="DX51">
        <v>0</v>
      </c>
      <c r="DY51">
        <v>0</v>
      </c>
      <c r="DZ51">
        <v>0</v>
      </c>
      <c r="EA51">
        <v>0</v>
      </c>
      <c r="EB51">
        <v>0</v>
      </c>
      <c r="EC51">
        <v>0</v>
      </c>
      <c r="ED51">
        <v>0</v>
      </c>
      <c r="EE51">
        <v>0</v>
      </c>
      <c r="EF51">
        <v>1.2717037123911299</v>
      </c>
      <c r="EG51">
        <v>0</v>
      </c>
      <c r="EH51">
        <v>0</v>
      </c>
      <c r="EI51">
        <v>0</v>
      </c>
      <c r="EJ51">
        <v>0</v>
      </c>
      <c r="EK51">
        <v>0</v>
      </c>
      <c r="EL51">
        <v>0</v>
      </c>
      <c r="EM51">
        <v>0</v>
      </c>
      <c r="EN51">
        <v>0</v>
      </c>
      <c r="EO51">
        <v>0</v>
      </c>
      <c r="EP51">
        <v>0</v>
      </c>
      <c r="EQ51">
        <v>0</v>
      </c>
      <c r="ER51">
        <v>0</v>
      </c>
      <c r="ES51">
        <v>0</v>
      </c>
      <c r="ET51">
        <v>0</v>
      </c>
      <c r="EU51">
        <v>0</v>
      </c>
      <c r="EV51">
        <v>819.08852185644503</v>
      </c>
      <c r="EW51">
        <v>-28.649999999999899</v>
      </c>
      <c r="EX51">
        <v>1479.61401172654</v>
      </c>
      <c r="EY51">
        <v>837.43543117759202</v>
      </c>
      <c r="EZ51">
        <v>92.275882720449303</v>
      </c>
      <c r="FA51">
        <v>669.15102586717001</v>
      </c>
      <c r="FB51">
        <v>718.18707275390602</v>
      </c>
      <c r="FC51">
        <v>0.397985882173297</v>
      </c>
      <c r="FD51">
        <v>0.72581064010384699</v>
      </c>
      <c r="FE51">
        <v>0</v>
      </c>
      <c r="FF51">
        <v>1</v>
      </c>
      <c r="FG51" s="159">
        <v>5.8991244955192101E-13</v>
      </c>
      <c r="FH51">
        <v>0</v>
      </c>
      <c r="FI51">
        <v>5.4512674794765098E-5</v>
      </c>
      <c r="FJ51">
        <v>-5.2094640378223898E-3</v>
      </c>
      <c r="FK51" s="159">
        <v>6.57534000000779E-6</v>
      </c>
      <c r="FL51" s="159">
        <v>2.4988263464261098E-6</v>
      </c>
      <c r="FM51" s="159">
        <v>4.0998999651572196E-6</v>
      </c>
      <c r="FN51">
        <v>0</v>
      </c>
      <c r="FO51">
        <v>0</v>
      </c>
      <c r="FP51">
        <v>0</v>
      </c>
      <c r="FQ51">
        <v>0</v>
      </c>
      <c r="FR51">
        <v>0</v>
      </c>
      <c r="FS51">
        <v>0</v>
      </c>
      <c r="FT51">
        <v>0</v>
      </c>
      <c r="FU51">
        <v>0</v>
      </c>
      <c r="FV51">
        <v>-999</v>
      </c>
      <c r="FW51">
        <v>0.48486058772393298</v>
      </c>
      <c r="FX51">
        <v>3.2158157645450999E-3</v>
      </c>
      <c r="FY51">
        <v>1.2086328483977899</v>
      </c>
      <c r="FZ51">
        <v>9.3411070402543597E-4</v>
      </c>
      <c r="GA51">
        <v>42.3102186392831</v>
      </c>
      <c r="GB51">
        <v>1.06188987113517E-2</v>
      </c>
      <c r="GC51">
        <v>2.86997262468966E-3</v>
      </c>
      <c r="GD51">
        <v>0</v>
      </c>
      <c r="GE51">
        <v>7.0198990932602099E-3</v>
      </c>
      <c r="GF51">
        <v>0.401978244472183</v>
      </c>
      <c r="GG51">
        <v>5.5933399110651204E-4</v>
      </c>
      <c r="GH51">
        <v>9.4170111912126007E-3</v>
      </c>
      <c r="GI51">
        <v>1.8504721801839399E-2</v>
      </c>
      <c r="GJ51">
        <v>9.1126903935549405E-4</v>
      </c>
      <c r="GK51">
        <v>1.76834509946508E-3</v>
      </c>
      <c r="GL51">
        <v>0.39791941983867501</v>
      </c>
      <c r="GM51">
        <v>6.65266710374847E-3</v>
      </c>
      <c r="GN51">
        <v>5.5130387414252405E-4</v>
      </c>
      <c r="GO51">
        <v>0</v>
      </c>
      <c r="GP51">
        <v>0</v>
      </c>
      <c r="GQ51">
        <v>0</v>
      </c>
      <c r="GR51">
        <v>6.0918180893226599E-2</v>
      </c>
      <c r="GS51">
        <v>1.1311688343675799E-3</v>
      </c>
      <c r="GT51">
        <v>1.2689329106834601E-4</v>
      </c>
      <c r="GU51">
        <v>3.8370955334378697E-2</v>
      </c>
      <c r="GV51">
        <v>7.1249712619021299E-4</v>
      </c>
      <c r="GW51">
        <v>7.9927153641536094E-5</v>
      </c>
      <c r="GX51">
        <v>0.122247938322866</v>
      </c>
      <c r="GY51">
        <v>0.13281948867538801</v>
      </c>
      <c r="GZ51">
        <v>58.947491234373999</v>
      </c>
      <c r="HA51">
        <v>676.55487853482305</v>
      </c>
      <c r="HB51">
        <v>0</v>
      </c>
      <c r="HC51">
        <v>0.99981306749272603</v>
      </c>
      <c r="HD51">
        <v>0.42028752492823501</v>
      </c>
      <c r="HE51">
        <v>1.0911348085414999E-2</v>
      </c>
      <c r="HF51">
        <v>9.4474841969185205E-4</v>
      </c>
      <c r="HG51">
        <v>1.2986162113622499E-2</v>
      </c>
      <c r="HH51" s="159">
        <v>4.7618769927505102E-7</v>
      </c>
      <c r="HI51" s="159">
        <v>3.3333254423312999E-7</v>
      </c>
      <c r="HJ51">
        <v>0</v>
      </c>
      <c r="HK51">
        <v>0</v>
      </c>
      <c r="HL51">
        <v>0</v>
      </c>
      <c r="HM51">
        <v>0</v>
      </c>
      <c r="HN51">
        <v>0</v>
      </c>
      <c r="HO51">
        <v>1.14871930269033E-2</v>
      </c>
      <c r="HP51">
        <v>0.55310701360362402</v>
      </c>
      <c r="HQ51">
        <v>1.0911348085414999E-2</v>
      </c>
      <c r="HR51">
        <v>9.4474841969185205E-4</v>
      </c>
      <c r="HS51">
        <v>0.721006598546027</v>
      </c>
      <c r="HT51">
        <v>-999</v>
      </c>
      <c r="HU51">
        <v>1</v>
      </c>
      <c r="HV51">
        <v>0.79904790382014002</v>
      </c>
      <c r="HW51">
        <v>0.20095209617985901</v>
      </c>
      <c r="HX51">
        <v>12522.995317949701</v>
      </c>
      <c r="HY51">
        <v>400.15332217480301</v>
      </c>
      <c r="HZ51">
        <v>40.249863791920397</v>
      </c>
      <c r="IA51">
        <v>-0.13281948867538801</v>
      </c>
      <c r="IB51">
        <v>0</v>
      </c>
      <c r="IC51">
        <v>0</v>
      </c>
      <c r="ID51">
        <v>0</v>
      </c>
      <c r="IE51">
        <v>0</v>
      </c>
      <c r="IF51">
        <v>0</v>
      </c>
      <c r="IG51">
        <v>0</v>
      </c>
      <c r="IH51">
        <v>0</v>
      </c>
      <c r="II51">
        <v>46.337800049999601</v>
      </c>
      <c r="IJ51">
        <v>463.37800049999902</v>
      </c>
      <c r="IK51">
        <v>1.05436810991878E-2</v>
      </c>
      <c r="IL51">
        <v>2.3011363470160102E-3</v>
      </c>
      <c r="IM51">
        <v>1.2844817446203799E-2</v>
      </c>
      <c r="IN51">
        <v>9.2590152338210905E-4</v>
      </c>
      <c r="IO51">
        <v>0.423704471243736</v>
      </c>
      <c r="IP51">
        <v>1.8750835076895199E-2</v>
      </c>
      <c r="IQ51">
        <v>1.6444393578486699E-3</v>
      </c>
      <c r="IR51">
        <v>0.29358610774383997</v>
      </c>
      <c r="IS51">
        <v>0.23861144605301501</v>
      </c>
      <c r="IT51">
        <v>0.27207837437391702</v>
      </c>
      <c r="IU51">
        <v>0.29931072469762499</v>
      </c>
      <c r="IV51">
        <v>1.42766712044956E-2</v>
      </c>
      <c r="IW51">
        <v>1.19702297060871E-3</v>
      </c>
      <c r="IX51">
        <v>7.4950503698877E-2</v>
      </c>
      <c r="IY51">
        <v>2.6958013982106501E-3</v>
      </c>
      <c r="IZ51">
        <v>2.6958013982106299E-4</v>
      </c>
      <c r="JA51">
        <v>7.5068807029620196E-2</v>
      </c>
      <c r="JB51">
        <v>2.7000565034960302E-3</v>
      </c>
      <c r="JC51">
        <v>2.7000565034960102E-4</v>
      </c>
      <c r="JD51">
        <v>1.7531848164441401E-4</v>
      </c>
      <c r="JE51">
        <v>3.2336040341220101E-3</v>
      </c>
      <c r="JF51" s="159">
        <v>-1.8973538018496301E-19</v>
      </c>
      <c r="JG51">
        <v>0</v>
      </c>
      <c r="JH51">
        <v>4.1319102617878196E-3</v>
      </c>
      <c r="JI51">
        <v>5.4112709757620804E-4</v>
      </c>
      <c r="JJ51">
        <v>-0.50719902040263498</v>
      </c>
      <c r="JK51">
        <v>1.7531848164441401E-4</v>
      </c>
      <c r="JL51" s="159">
        <v>6.5753399999999896E-6</v>
      </c>
      <c r="JM51">
        <v>-0.50719902040263498</v>
      </c>
      <c r="JN51">
        <v>0</v>
      </c>
      <c r="JO51">
        <v>1.5019294300317301</v>
      </c>
      <c r="JP51">
        <v>-1.39816919196071E-2</v>
      </c>
      <c r="JQ51">
        <v>9.2069922348042696E-4</v>
      </c>
      <c r="JR51">
        <v>2.9556105135636501E-2</v>
      </c>
      <c r="JS51">
        <v>1555.6225343151</v>
      </c>
      <c r="JT51">
        <v>4.6034659101079997E-2</v>
      </c>
      <c r="JU51">
        <v>0</v>
      </c>
      <c r="JV51">
        <v>365</v>
      </c>
      <c r="JW51">
        <v>0</v>
      </c>
      <c r="JX51">
        <v>-0.40268092994350901</v>
      </c>
      <c r="JY51">
        <v>0</v>
      </c>
      <c r="JZ51">
        <v>1.3204531119360301</v>
      </c>
      <c r="KA51">
        <v>1.4028581399928299</v>
      </c>
      <c r="KB51">
        <v>1.4310203606824801</v>
      </c>
      <c r="KC51">
        <v>0</v>
      </c>
      <c r="KD51">
        <v>0</v>
      </c>
      <c r="KE51">
        <v>0</v>
      </c>
      <c r="KF51">
        <v>3.5671738168900199E-3</v>
      </c>
      <c r="KG51">
        <v>2.2430537288228899E-2</v>
      </c>
      <c r="KH51">
        <v>3.8678333979947202E-2</v>
      </c>
      <c r="KI51">
        <v>0</v>
      </c>
      <c r="KJ51">
        <v>0</v>
      </c>
      <c r="KK51">
        <v>0</v>
      </c>
      <c r="KL51">
        <v>0</v>
      </c>
      <c r="KM51">
        <v>0</v>
      </c>
      <c r="KN51">
        <v>0</v>
      </c>
      <c r="KO51">
        <v>0</v>
      </c>
      <c r="KP51">
        <v>0</v>
      </c>
      <c r="KQ51">
        <v>0</v>
      </c>
      <c r="KR51">
        <v>0</v>
      </c>
      <c r="KS51">
        <v>0</v>
      </c>
      <c r="KT51">
        <v>0</v>
      </c>
      <c r="KU51">
        <v>0.34999999999999898</v>
      </c>
      <c r="KV51">
        <v>-0.11502579572022099</v>
      </c>
      <c r="KW51">
        <v>1.8247862911327001E-3</v>
      </c>
      <c r="KX51">
        <v>33457.551293358498</v>
      </c>
      <c r="KY51">
        <v>0</v>
      </c>
      <c r="KZ51">
        <v>0.21034406711034101</v>
      </c>
      <c r="LA51">
        <v>1.73602675993533E-5</v>
      </c>
      <c r="LB51">
        <v>0</v>
      </c>
      <c r="LC51">
        <v>-12.1416546362685</v>
      </c>
      <c r="LD51">
        <v>1.57149538533531E-2</v>
      </c>
      <c r="LE51">
        <v>3.4103338239180299E-3</v>
      </c>
      <c r="LF51">
        <v>1.57149538533531E-2</v>
      </c>
      <c r="LG51">
        <v>0.949478801296749</v>
      </c>
      <c r="LH51">
        <v>1.2369077287463</v>
      </c>
      <c r="LI51">
        <v>0</v>
      </c>
      <c r="LJ51">
        <v>0</v>
      </c>
      <c r="LK51">
        <v>0.24288735556577101</v>
      </c>
      <c r="LL51">
        <v>0</v>
      </c>
      <c r="LM51">
        <v>0</v>
      </c>
      <c r="LN51">
        <v>0</v>
      </c>
      <c r="LO51">
        <v>0</v>
      </c>
      <c r="LP51">
        <v>0</v>
      </c>
      <c r="LQ51">
        <v>0</v>
      </c>
      <c r="LR51">
        <v>0</v>
      </c>
      <c r="LS51">
        <v>0</v>
      </c>
      <c r="LT51">
        <v>-999</v>
      </c>
      <c r="LU51">
        <v>0.42565475846433098</v>
      </c>
      <c r="LV51">
        <v>50</v>
      </c>
      <c r="LW51">
        <v>194.039999999999</v>
      </c>
      <c r="LX51">
        <v>1.81299999999999</v>
      </c>
      <c r="LY51">
        <v>0</v>
      </c>
      <c r="LZ51">
        <v>-999</v>
      </c>
      <c r="MA51">
        <v>0</v>
      </c>
      <c r="MB51">
        <v>0</v>
      </c>
      <c r="MC51">
        <v>594.03999999999905</v>
      </c>
      <c r="MD51">
        <v>-23.6999999999999</v>
      </c>
      <c r="ME51">
        <v>-33.6</v>
      </c>
      <c r="MF51">
        <v>0</v>
      </c>
      <c r="MG51">
        <v>8.0706896550000007</v>
      </c>
      <c r="MH51">
        <v>0</v>
      </c>
      <c r="MI51">
        <v>0</v>
      </c>
      <c r="MJ51">
        <v>0</v>
      </c>
      <c r="MK51">
        <v>0</v>
      </c>
      <c r="ML51">
        <v>0</v>
      </c>
      <c r="MM51">
        <v>0</v>
      </c>
      <c r="MN51">
        <v>0</v>
      </c>
      <c r="MO51">
        <v>0</v>
      </c>
      <c r="MP51">
        <v>0</v>
      </c>
      <c r="MQ51">
        <v>0</v>
      </c>
      <c r="MR51">
        <v>0</v>
      </c>
      <c r="MS51">
        <v>0</v>
      </c>
      <c r="MT51">
        <v>0</v>
      </c>
      <c r="MU51">
        <v>0</v>
      </c>
      <c r="MV51">
        <v>0</v>
      </c>
    </row>
    <row r="52" spans="1:360" x14ac:dyDescent="0.25">
      <c r="A52">
        <v>18615</v>
      </c>
      <c r="B52">
        <v>0</v>
      </c>
      <c r="C52">
        <v>-33.6</v>
      </c>
      <c r="D52">
        <v>-23.6999999999999</v>
      </c>
      <c r="E52">
        <v>400</v>
      </c>
      <c r="F52">
        <v>0</v>
      </c>
      <c r="G52">
        <v>0</v>
      </c>
      <c r="H52">
        <v>0</v>
      </c>
      <c r="I52">
        <v>0</v>
      </c>
      <c r="J52">
        <v>0</v>
      </c>
      <c r="K52">
        <v>0</v>
      </c>
      <c r="L52" s="159">
        <v>6.5753399999999896E-6</v>
      </c>
      <c r="M52">
        <v>0</v>
      </c>
      <c r="N52">
        <v>0</v>
      </c>
      <c r="O52">
        <v>0</v>
      </c>
      <c r="P52">
        <v>0</v>
      </c>
      <c r="Q52">
        <v>0</v>
      </c>
      <c r="R52">
        <v>0</v>
      </c>
      <c r="S52">
        <v>0</v>
      </c>
      <c r="T52">
        <v>0</v>
      </c>
      <c r="U52">
        <v>703.66571097008705</v>
      </c>
      <c r="V52">
        <v>13.9476305271534</v>
      </c>
      <c r="W52">
        <v>1.34964913659289</v>
      </c>
      <c r="X52">
        <v>0.31982588493059599</v>
      </c>
      <c r="Y52">
        <v>0.274405484305141</v>
      </c>
      <c r="Z52">
        <v>0.40576863076426101</v>
      </c>
      <c r="AA52">
        <v>0.112422117500969</v>
      </c>
      <c r="AB52">
        <v>0.51419195634746695</v>
      </c>
      <c r="AC52">
        <v>0.37338592615156302</v>
      </c>
      <c r="AD52">
        <v>0.88456586671357096</v>
      </c>
      <c r="AE52">
        <v>4.1352759317261699E-2</v>
      </c>
      <c r="AF52">
        <v>7.40813739691666E-2</v>
      </c>
      <c r="AG52">
        <v>0</v>
      </c>
      <c r="AH52">
        <v>3418.8380956620299</v>
      </c>
      <c r="AI52">
        <v>79.725717665652397</v>
      </c>
      <c r="AJ52">
        <v>8.1180793245432703</v>
      </c>
      <c r="AK52">
        <v>406.93354248658301</v>
      </c>
      <c r="AL52">
        <v>7.5562095612543096</v>
      </c>
      <c r="AM52">
        <v>0.84764738038927001</v>
      </c>
      <c r="AN52">
        <v>8697.8778848244892</v>
      </c>
      <c r="AO52">
        <v>312.84314589238301</v>
      </c>
      <c r="AP52">
        <v>31.2843145892381</v>
      </c>
      <c r="AQ52">
        <v>3.00910578730216E-2</v>
      </c>
      <c r="AR52">
        <v>6.2202395694906801E-3</v>
      </c>
      <c r="AS52">
        <v>2.0686608269900299E-2</v>
      </c>
      <c r="AT52">
        <v>9.48</v>
      </c>
      <c r="AU52">
        <v>5.9853605164175301</v>
      </c>
      <c r="AV52">
        <v>0</v>
      </c>
      <c r="AW52">
        <v>85.031825912772803</v>
      </c>
      <c r="AX52">
        <v>66.510021216236296</v>
      </c>
      <c r="AY52">
        <v>361.483772714662</v>
      </c>
      <c r="AZ52">
        <v>0.54833294000258004</v>
      </c>
      <c r="BA52">
        <v>0.83994359595013801</v>
      </c>
      <c r="BB52">
        <v>1.40482482285818E-2</v>
      </c>
      <c r="BC52">
        <v>1.17500986957877E-3</v>
      </c>
      <c r="BD52">
        <v>0.59715722982587505</v>
      </c>
      <c r="BE52">
        <v>9.2687321831321501E-3</v>
      </c>
      <c r="BF52">
        <v>7.5617848886959404E-4</v>
      </c>
      <c r="BG52">
        <v>766.29999847710098</v>
      </c>
      <c r="BH52">
        <v>-1626.59999865293</v>
      </c>
      <c r="BI52">
        <v>428.169814172288</v>
      </c>
      <c r="BJ52">
        <v>211.230514054493</v>
      </c>
      <c r="BK52">
        <v>3.6963902464867702</v>
      </c>
      <c r="BL52">
        <v>4.68339443704446</v>
      </c>
      <c r="BM52">
        <v>192.97380805773599</v>
      </c>
      <c r="BN52">
        <v>22.091045033824201</v>
      </c>
      <c r="BO52">
        <v>215.06485309156</v>
      </c>
      <c r="BP52">
        <v>3.4816387708445502</v>
      </c>
      <c r="BQ52">
        <v>0.29298040176844198</v>
      </c>
      <c r="BR52">
        <v>207.534123808006</v>
      </c>
      <c r="BS52">
        <v>2.2030219432203002</v>
      </c>
      <c r="BT52">
        <v>0.29280289951821897</v>
      </c>
      <c r="BU52">
        <v>3.4957275908941199</v>
      </c>
      <c r="BV52">
        <v>1.70688531889574</v>
      </c>
      <c r="BW52">
        <v>0.52305999171609296</v>
      </c>
      <c r="BX52">
        <v>1.26578228028228</v>
      </c>
      <c r="BY52">
        <v>0</v>
      </c>
      <c r="BZ52">
        <v>3.07143772257833</v>
      </c>
      <c r="CA52">
        <v>0.410201048266219</v>
      </c>
      <c r="CB52">
        <v>0.29430309927835102</v>
      </c>
      <c r="CC52">
        <v>0.24696449376891999</v>
      </c>
      <c r="CD52">
        <v>4.6015907999522897E-2</v>
      </c>
      <c r="CE52">
        <v>21.745863833662099</v>
      </c>
      <c r="CF52">
        <v>165.02964404427999</v>
      </c>
      <c r="CG52">
        <v>42.211232118194602</v>
      </c>
      <c r="CH52">
        <v>0.40379149679721699</v>
      </c>
      <c r="CI52">
        <v>7.2239895738376401</v>
      </c>
      <c r="CJ52">
        <v>1.72146224436236</v>
      </c>
      <c r="CK52">
        <v>9.6196830218993998</v>
      </c>
      <c r="CL52">
        <v>1.51824327987976</v>
      </c>
      <c r="CM52">
        <v>9.8355980659871695E-2</v>
      </c>
      <c r="CN52">
        <v>4.5296891478325801E-2</v>
      </c>
      <c r="CO52">
        <v>0.60284399930057198</v>
      </c>
      <c r="CP52">
        <v>0.74276782486670101</v>
      </c>
      <c r="CQ52">
        <v>0.15182432798797499</v>
      </c>
      <c r="CR52">
        <v>42.5044797637267</v>
      </c>
      <c r="CS52">
        <v>1.5287907395209099</v>
      </c>
      <c r="CT52">
        <v>0.15287907395208999</v>
      </c>
      <c r="CU52">
        <v>1.4699999999999601E-2</v>
      </c>
      <c r="CV52">
        <v>2.0763754205438498E-3</v>
      </c>
      <c r="CW52">
        <v>2.23020017249608</v>
      </c>
      <c r="CX52">
        <v>2.0299999999999499E-2</v>
      </c>
      <c r="CY52">
        <v>5.9711550673099204E-3</v>
      </c>
      <c r="CZ52">
        <v>0</v>
      </c>
      <c r="DA52">
        <v>2.3999991000028501E-3</v>
      </c>
      <c r="DB52">
        <v>1.4964024115396799E-3</v>
      </c>
      <c r="DC52">
        <v>1.9999999999999502E-3</v>
      </c>
      <c r="DD52">
        <v>3.4688932903134098E-3</v>
      </c>
      <c r="DE52">
        <v>1.0191701587267999E-3</v>
      </c>
      <c r="DF52">
        <v>2.3999990999999999E-3</v>
      </c>
      <c r="DG52">
        <v>0</v>
      </c>
      <c r="DH52">
        <v>0</v>
      </c>
      <c r="DI52">
        <v>0.23180769399999401</v>
      </c>
      <c r="DJ52">
        <v>1.8846155199999499E-2</v>
      </c>
      <c r="DK52">
        <v>2.4249375171059002</v>
      </c>
      <c r="DL52">
        <v>0.15828573871448401</v>
      </c>
      <c r="DM52">
        <v>69.913747104902797</v>
      </c>
      <c r="DN52">
        <v>227.72473995585401</v>
      </c>
      <c r="DO52">
        <v>327.66000000000003</v>
      </c>
      <c r="DP52">
        <v>29.992283898808001</v>
      </c>
      <c r="DQ52">
        <v>157.94999999999899</v>
      </c>
      <c r="DR52">
        <v>169.71</v>
      </c>
      <c r="DS52">
        <v>156.16188998836299</v>
      </c>
      <c r="DT52">
        <v>0</v>
      </c>
      <c r="DU52">
        <v>0</v>
      </c>
      <c r="DV52">
        <v>0</v>
      </c>
      <c r="DW52">
        <v>0</v>
      </c>
      <c r="DX52">
        <v>0</v>
      </c>
      <c r="DY52">
        <v>0</v>
      </c>
      <c r="DZ52">
        <v>0</v>
      </c>
      <c r="EA52">
        <v>0</v>
      </c>
      <c r="EB52">
        <v>0</v>
      </c>
      <c r="EC52">
        <v>0</v>
      </c>
      <c r="ED52">
        <v>0</v>
      </c>
      <c r="EE52">
        <v>0</v>
      </c>
      <c r="EF52">
        <v>1.2708665259215599</v>
      </c>
      <c r="EG52">
        <v>0</v>
      </c>
      <c r="EH52">
        <v>0</v>
      </c>
      <c r="EI52">
        <v>0</v>
      </c>
      <c r="EJ52">
        <v>0</v>
      </c>
      <c r="EK52">
        <v>0</v>
      </c>
      <c r="EL52">
        <v>0</v>
      </c>
      <c r="EM52">
        <v>0</v>
      </c>
      <c r="EN52">
        <v>0</v>
      </c>
      <c r="EO52">
        <v>0</v>
      </c>
      <c r="EP52">
        <v>0</v>
      </c>
      <c r="EQ52">
        <v>0</v>
      </c>
      <c r="ER52">
        <v>0</v>
      </c>
      <c r="ES52">
        <v>0</v>
      </c>
      <c r="ET52">
        <v>0</v>
      </c>
      <c r="EU52">
        <v>0</v>
      </c>
      <c r="EV52">
        <v>819.97884963047704</v>
      </c>
      <c r="EW52">
        <v>-28.649999999999899</v>
      </c>
      <c r="EX52">
        <v>1481.40149677913</v>
      </c>
      <c r="EY52">
        <v>837.962331094874</v>
      </c>
      <c r="EZ52">
        <v>92.083663144740001</v>
      </c>
      <c r="FA52">
        <v>670.02847845361805</v>
      </c>
      <c r="FB52">
        <v>719.28936767578102</v>
      </c>
      <c r="FC52">
        <v>0.397156839143263</v>
      </c>
      <c r="FD52">
        <v>0.72429870644173699</v>
      </c>
      <c r="FE52">
        <v>0</v>
      </c>
      <c r="FF52">
        <v>1</v>
      </c>
      <c r="FG52" s="159">
        <v>5.8991244955192101E-13</v>
      </c>
      <c r="FH52">
        <v>0</v>
      </c>
      <c r="FI52">
        <v>5.4512674794765098E-5</v>
      </c>
      <c r="FJ52">
        <v>-5.19837573337053E-3</v>
      </c>
      <c r="FK52" s="159">
        <v>6.57534000000779E-6</v>
      </c>
      <c r="FL52" s="159">
        <v>2.4877192718980701E-6</v>
      </c>
      <c r="FM52" s="159">
        <v>4.0995730928665104E-6</v>
      </c>
      <c r="FN52">
        <v>0</v>
      </c>
      <c r="FO52">
        <v>0</v>
      </c>
      <c r="FP52">
        <v>0</v>
      </c>
      <c r="FQ52">
        <v>0</v>
      </c>
      <c r="FR52">
        <v>0</v>
      </c>
      <c r="FS52">
        <v>0</v>
      </c>
      <c r="FT52">
        <v>0</v>
      </c>
      <c r="FU52">
        <v>0</v>
      </c>
      <c r="FV52">
        <v>-999</v>
      </c>
      <c r="FW52">
        <v>0.48521840043929498</v>
      </c>
      <c r="FX52">
        <v>3.21710422641933E-3</v>
      </c>
      <c r="FY52">
        <v>1.2098857944186201</v>
      </c>
      <c r="FZ52">
        <v>9.3263065558106095E-4</v>
      </c>
      <c r="GA52">
        <v>42.279406297724897</v>
      </c>
      <c r="GB52">
        <v>1.06213305667975E-2</v>
      </c>
      <c r="GC52">
        <v>2.8706298829182602E-3</v>
      </c>
      <c r="GD52">
        <v>0</v>
      </c>
      <c r="GE52">
        <v>7.02036476491866E-3</v>
      </c>
      <c r="GF52">
        <v>0.40019148472939903</v>
      </c>
      <c r="GG52">
        <v>5.5939678073715405E-4</v>
      </c>
      <c r="GH52">
        <v>9.4151589271905204E-3</v>
      </c>
      <c r="GI52">
        <v>1.8501626207272699E-2</v>
      </c>
      <c r="GJ52">
        <v>9.1106235515982801E-4</v>
      </c>
      <c r="GK52">
        <v>1.76811304997588E-3</v>
      </c>
      <c r="GL52">
        <v>0.398378708804209</v>
      </c>
      <c r="GM52">
        <v>6.6601980362103203E-3</v>
      </c>
      <c r="GN52">
        <v>5.5190832610822499E-4</v>
      </c>
      <c r="GO52">
        <v>0</v>
      </c>
      <c r="GP52">
        <v>0</v>
      </c>
      <c r="GQ52">
        <v>0</v>
      </c>
      <c r="GR52">
        <v>6.0964912488565802E-2</v>
      </c>
      <c r="GS52">
        <v>1.1320365773541999E-3</v>
      </c>
      <c r="GT52">
        <v>1.2699063353397E-4</v>
      </c>
      <c r="GU52">
        <v>3.8403664947280799E-2</v>
      </c>
      <c r="GV52">
        <v>7.1310449978799202E-4</v>
      </c>
      <c r="GW52">
        <v>7.9995288151954401E-5</v>
      </c>
      <c r="GX52">
        <v>0.122395487625703</v>
      </c>
      <c r="GY52">
        <v>0.132965901651178</v>
      </c>
      <c r="GZ52">
        <v>58.948895159439999</v>
      </c>
      <c r="HA52">
        <v>676.60086198226895</v>
      </c>
      <c r="HB52">
        <v>0</v>
      </c>
      <c r="HC52">
        <v>0.99981306780672397</v>
      </c>
      <c r="HD52">
        <v>0.42073788148980001</v>
      </c>
      <c r="HE52">
        <v>1.09232819496292E-2</v>
      </c>
      <c r="HF52">
        <v>9.4577124762153903E-4</v>
      </c>
      <c r="HG52">
        <v>1.3005473703005799E-2</v>
      </c>
      <c r="HH52" s="159">
        <v>4.7618770407356101E-7</v>
      </c>
      <c r="HI52" s="159">
        <v>3.3333254421272502E-7</v>
      </c>
      <c r="HJ52">
        <v>0</v>
      </c>
      <c r="HK52">
        <v>0</v>
      </c>
      <c r="HL52">
        <v>0</v>
      </c>
      <c r="HM52">
        <v>0</v>
      </c>
      <c r="HN52">
        <v>0</v>
      </c>
      <c r="HO52">
        <v>1.15042425035283E-2</v>
      </c>
      <c r="HP52">
        <v>0.55370378314097901</v>
      </c>
      <c r="HQ52">
        <v>1.09232819496292E-2</v>
      </c>
      <c r="HR52">
        <v>9.4577124762153903E-4</v>
      </c>
      <c r="HS52">
        <v>0.72076001544115698</v>
      </c>
      <c r="HT52">
        <v>-999</v>
      </c>
      <c r="HU52">
        <v>1</v>
      </c>
      <c r="HV52">
        <v>0.79959259932145699</v>
      </c>
      <c r="HW52">
        <v>0.20040740067854201</v>
      </c>
      <c r="HX52">
        <v>12523.649522973101</v>
      </c>
      <c r="HY52">
        <v>400.12507311928999</v>
      </c>
      <c r="HZ52">
        <v>40.2500412941706</v>
      </c>
      <c r="IA52">
        <v>-0.132965901651178</v>
      </c>
      <c r="IB52">
        <v>0</v>
      </c>
      <c r="IC52">
        <v>0</v>
      </c>
      <c r="ID52">
        <v>0</v>
      </c>
      <c r="IE52">
        <v>0</v>
      </c>
      <c r="IF52">
        <v>0</v>
      </c>
      <c r="IG52">
        <v>0</v>
      </c>
      <c r="IH52">
        <v>0</v>
      </c>
      <c r="II52">
        <v>46.337800049999601</v>
      </c>
      <c r="IJ52">
        <v>463.37800049999902</v>
      </c>
      <c r="IK52">
        <v>1.05583346779245E-2</v>
      </c>
      <c r="IL52">
        <v>2.3049821820740101E-3</v>
      </c>
      <c r="IM52">
        <v>1.2863316859998499E-2</v>
      </c>
      <c r="IN52">
        <v>9.2213649804872904E-4</v>
      </c>
      <c r="IO52">
        <v>0.42378060213263202</v>
      </c>
      <c r="IP52">
        <v>1.8767892265063701E-2</v>
      </c>
      <c r="IQ52">
        <v>1.64072226617024E-3</v>
      </c>
      <c r="IR52">
        <v>0.293441919280229</v>
      </c>
      <c r="IS52">
        <v>0.23832031535103201</v>
      </c>
      <c r="IT52">
        <v>0.27260981918191801</v>
      </c>
      <c r="IU52">
        <v>0.29942560888910102</v>
      </c>
      <c r="IV52">
        <v>1.4295122261979499E-2</v>
      </c>
      <c r="IW52">
        <v>1.19344526586182E-3</v>
      </c>
      <c r="IX52">
        <v>7.4946044681915E-2</v>
      </c>
      <c r="IY52">
        <v>2.6956410173783999E-3</v>
      </c>
      <c r="IZ52">
        <v>2.6956410173783899E-4</v>
      </c>
      <c r="JA52">
        <v>7.50665377835774E-2</v>
      </c>
      <c r="JB52">
        <v>2.6999748838089899E-3</v>
      </c>
      <c r="JC52">
        <v>2.6999748838089699E-4</v>
      </c>
      <c r="JD52">
        <v>1.75588880554147E-4</v>
      </c>
      <c r="JE52">
        <v>3.2359851878271399E-3</v>
      </c>
      <c r="JF52" s="159">
        <v>1.32814766129474E-18</v>
      </c>
      <c r="JG52">
        <v>0</v>
      </c>
      <c r="JH52">
        <v>4.1317802857899801E-3</v>
      </c>
      <c r="JI52">
        <v>5.4130625619399101E-4</v>
      </c>
      <c r="JJ52">
        <v>-0.50745804832385699</v>
      </c>
      <c r="JK52">
        <v>1.75588880554147E-4</v>
      </c>
      <c r="JL52" s="159">
        <v>6.5753399999999896E-6</v>
      </c>
      <c r="JM52">
        <v>-0.50745804832385699</v>
      </c>
      <c r="JN52">
        <v>0</v>
      </c>
      <c r="JO52">
        <v>1.5032604233810201</v>
      </c>
      <c r="JP52">
        <v>-1.41311333424682E-2</v>
      </c>
      <c r="JQ52">
        <v>9.3110580968654502E-4</v>
      </c>
      <c r="JR52">
        <v>2.9229040434561399E-2</v>
      </c>
      <c r="JS52">
        <v>1557.25168627426</v>
      </c>
      <c r="JT52">
        <v>4.5938764460146199E-2</v>
      </c>
      <c r="JU52">
        <v>0</v>
      </c>
      <c r="JV52">
        <v>365</v>
      </c>
      <c r="JW52">
        <v>0</v>
      </c>
      <c r="JX52">
        <v>-0.40268092994350901</v>
      </c>
      <c r="JY52">
        <v>0</v>
      </c>
      <c r="JZ52">
        <v>1.32079163126905</v>
      </c>
      <c r="KA52">
        <v>1.40301133338123</v>
      </c>
      <c r="KB52">
        <v>1.43144912186617</v>
      </c>
      <c r="KC52">
        <v>0</v>
      </c>
      <c r="KD52">
        <v>0</v>
      </c>
      <c r="KE52">
        <v>0</v>
      </c>
      <c r="KF52">
        <v>3.5687733100910998E-3</v>
      </c>
      <c r="KG52">
        <v>2.2446060362167699E-2</v>
      </c>
      <c r="KH52">
        <v>3.8637219417088399E-2</v>
      </c>
      <c r="KI52">
        <v>0</v>
      </c>
      <c r="KJ52">
        <v>0</v>
      </c>
      <c r="KK52">
        <v>0</v>
      </c>
      <c r="KL52">
        <v>0</v>
      </c>
      <c r="KM52">
        <v>0</v>
      </c>
      <c r="KN52">
        <v>0</v>
      </c>
      <c r="KO52">
        <v>0</v>
      </c>
      <c r="KP52">
        <v>0</v>
      </c>
      <c r="KQ52">
        <v>0</v>
      </c>
      <c r="KR52">
        <v>0</v>
      </c>
      <c r="KS52">
        <v>0</v>
      </c>
      <c r="KT52">
        <v>0</v>
      </c>
      <c r="KU52">
        <v>0.34999999999999898</v>
      </c>
      <c r="KV52">
        <v>-0.114945994575508</v>
      </c>
      <c r="KW52">
        <v>1.8235910523802901E-3</v>
      </c>
      <c r="KX52">
        <v>33501.4239226809</v>
      </c>
      <c r="KY52">
        <v>0</v>
      </c>
      <c r="KZ52">
        <v>0.21034943184660701</v>
      </c>
      <c r="LA52">
        <v>1.73602675993533E-5</v>
      </c>
      <c r="LB52">
        <v>0</v>
      </c>
      <c r="LC52">
        <v>-12.141175245837101</v>
      </c>
      <c r="LD52">
        <v>1.5715250075703301E-2</v>
      </c>
      <c r="LE52">
        <v>3.41061327896542E-3</v>
      </c>
      <c r="LF52">
        <v>1.5715250075703301E-2</v>
      </c>
      <c r="LG52">
        <v>0.94969843757790695</v>
      </c>
      <c r="LH52">
        <v>1.23715731542944</v>
      </c>
      <c r="LI52">
        <v>0</v>
      </c>
      <c r="LJ52">
        <v>0</v>
      </c>
      <c r="LK52">
        <v>0.24294807403649299</v>
      </c>
      <c r="LL52">
        <v>0</v>
      </c>
      <c r="LM52">
        <v>0</v>
      </c>
      <c r="LN52">
        <v>0</v>
      </c>
      <c r="LO52">
        <v>0</v>
      </c>
      <c r="LP52">
        <v>0</v>
      </c>
      <c r="LQ52">
        <v>0</v>
      </c>
      <c r="LR52">
        <v>0</v>
      </c>
      <c r="LS52">
        <v>0</v>
      </c>
      <c r="LT52">
        <v>-999</v>
      </c>
      <c r="LU52">
        <v>0.42565624184963502</v>
      </c>
      <c r="LV52">
        <v>51</v>
      </c>
      <c r="LW52">
        <v>198</v>
      </c>
      <c r="LX52">
        <v>1.8499999999999901</v>
      </c>
      <c r="LY52">
        <v>0</v>
      </c>
      <c r="LZ52">
        <v>-999</v>
      </c>
      <c r="MA52">
        <v>0</v>
      </c>
      <c r="MB52">
        <v>0</v>
      </c>
      <c r="MC52">
        <v>598</v>
      </c>
      <c r="MD52">
        <v>-23.6999999999999</v>
      </c>
      <c r="ME52">
        <v>-33.6</v>
      </c>
      <c r="MF52">
        <v>0</v>
      </c>
      <c r="MG52">
        <v>8.0706896550000007</v>
      </c>
      <c r="MH52">
        <v>0</v>
      </c>
      <c r="MI52">
        <v>0</v>
      </c>
      <c r="MJ52">
        <v>0</v>
      </c>
      <c r="MK52">
        <v>0</v>
      </c>
      <c r="ML52">
        <v>0</v>
      </c>
      <c r="MM52">
        <v>0</v>
      </c>
      <c r="MN52">
        <v>0</v>
      </c>
      <c r="MO52">
        <v>0</v>
      </c>
      <c r="MP52">
        <v>0</v>
      </c>
      <c r="MQ52">
        <v>0</v>
      </c>
      <c r="MR52">
        <v>0</v>
      </c>
      <c r="MS52">
        <v>0</v>
      </c>
      <c r="MT52">
        <v>0</v>
      </c>
      <c r="MU52">
        <v>0</v>
      </c>
      <c r="MV52">
        <v>0</v>
      </c>
    </row>
    <row r="53" spans="1:360" x14ac:dyDescent="0.25">
      <c r="A53">
        <v>18980</v>
      </c>
      <c r="B53">
        <v>0</v>
      </c>
      <c r="C53">
        <v>-33.6</v>
      </c>
      <c r="D53">
        <v>-23.6999999999999</v>
      </c>
      <c r="E53">
        <v>400</v>
      </c>
      <c r="F53">
        <v>0</v>
      </c>
      <c r="G53">
        <v>0</v>
      </c>
      <c r="H53">
        <v>0</v>
      </c>
      <c r="I53">
        <v>0</v>
      </c>
      <c r="J53">
        <v>0</v>
      </c>
      <c r="K53">
        <v>0</v>
      </c>
      <c r="L53" s="159">
        <v>6.5753399999999896E-6</v>
      </c>
      <c r="M53">
        <v>0</v>
      </c>
      <c r="N53">
        <v>0</v>
      </c>
      <c r="O53">
        <v>0</v>
      </c>
      <c r="P53">
        <v>0</v>
      </c>
      <c r="Q53">
        <v>0</v>
      </c>
      <c r="R53">
        <v>0</v>
      </c>
      <c r="S53">
        <v>0</v>
      </c>
      <c r="T53">
        <v>0</v>
      </c>
      <c r="U53">
        <v>704.50733964717995</v>
      </c>
      <c r="V53">
        <v>13.9617580547703</v>
      </c>
      <c r="W53">
        <v>1.35097712107794</v>
      </c>
      <c r="X53">
        <v>0.31855906444860299</v>
      </c>
      <c r="Y53">
        <v>0.27412144239818098</v>
      </c>
      <c r="Z53">
        <v>0.40731949315321397</v>
      </c>
      <c r="AA53">
        <v>0.112421996739846</v>
      </c>
      <c r="AB53">
        <v>0.51499335196836604</v>
      </c>
      <c r="AC53">
        <v>0.37258465129178697</v>
      </c>
      <c r="AD53">
        <v>0.88456392421350005</v>
      </c>
      <c r="AE53">
        <v>4.1258767106432399E-2</v>
      </c>
      <c r="AF53">
        <v>7.4177308680066695E-2</v>
      </c>
      <c r="AG53">
        <v>0</v>
      </c>
      <c r="AH53">
        <v>3419.4487272891802</v>
      </c>
      <c r="AI53">
        <v>79.701473276075703</v>
      </c>
      <c r="AJ53">
        <v>8.1186060508961102</v>
      </c>
      <c r="AK53">
        <v>407.27712112389099</v>
      </c>
      <c r="AL53">
        <v>7.5625893552826202</v>
      </c>
      <c r="AM53">
        <v>0.84836305875309603</v>
      </c>
      <c r="AN53">
        <v>8697.5840953237603</v>
      </c>
      <c r="AO53">
        <v>312.832578943427</v>
      </c>
      <c r="AP53">
        <v>31.283257894342398</v>
      </c>
      <c r="AQ53">
        <v>3.0113272740944198E-2</v>
      </c>
      <c r="AR53">
        <v>6.2270008367317697E-3</v>
      </c>
      <c r="AS53">
        <v>2.0596245203086599E-2</v>
      </c>
      <c r="AT53">
        <v>9.48</v>
      </c>
      <c r="AU53">
        <v>5.9848786031369103</v>
      </c>
      <c r="AV53">
        <v>0</v>
      </c>
      <c r="AW53">
        <v>85.052817341714203</v>
      </c>
      <c r="AX53">
        <v>66.517925095381699</v>
      </c>
      <c r="AY53">
        <v>361.48156607467303</v>
      </c>
      <c r="AZ53">
        <v>0.54833294000258004</v>
      </c>
      <c r="BA53">
        <v>0.84051224131013602</v>
      </c>
      <c r="BB53">
        <v>1.40554432522591E-2</v>
      </c>
      <c r="BC53">
        <v>1.17568640502032E-3</v>
      </c>
      <c r="BD53">
        <v>0.597368150956886</v>
      </c>
      <c r="BE53">
        <v>9.2720946619521596E-3</v>
      </c>
      <c r="BF53">
        <v>7.5633040360384895E-4</v>
      </c>
      <c r="BG53">
        <v>766.29999847710098</v>
      </c>
      <c r="BH53">
        <v>-1626.59999865293</v>
      </c>
      <c r="BI53">
        <v>428.43916959890902</v>
      </c>
      <c r="BJ53">
        <v>211.31735715719699</v>
      </c>
      <c r="BK53">
        <v>3.69961198686297</v>
      </c>
      <c r="BL53">
        <v>4.6886408617233499</v>
      </c>
      <c r="BM53">
        <v>193.05598043907901</v>
      </c>
      <c r="BN53">
        <v>22.108388902748601</v>
      </c>
      <c r="BO53">
        <v>215.16436934182801</v>
      </c>
      <c r="BP53">
        <v>3.4834859198580701</v>
      </c>
      <c r="BQ53">
        <v>0.29314707295731202</v>
      </c>
      <c r="BR53">
        <v>207.61774517033399</v>
      </c>
      <c r="BS53">
        <v>2.2035006861849</v>
      </c>
      <c r="BT53">
        <v>0.292961363136437</v>
      </c>
      <c r="BU53">
        <v>3.4976134474749498</v>
      </c>
      <c r="BV53">
        <v>1.7082108013800099</v>
      </c>
      <c r="BW53">
        <v>0.52220241319673599</v>
      </c>
      <c r="BX53">
        <v>1.2672002328981999</v>
      </c>
      <c r="BY53">
        <v>0</v>
      </c>
      <c r="BZ53">
        <v>3.0729628192306802</v>
      </c>
      <c r="CA53">
        <v>0.41052310062738601</v>
      </c>
      <c r="CB53">
        <v>0.29447505744237001</v>
      </c>
      <c r="CC53">
        <v>0.247095037473753</v>
      </c>
      <c r="CD53">
        <v>4.6052035483558303E-2</v>
      </c>
      <c r="CE53">
        <v>21.764810265439799</v>
      </c>
      <c r="CF53">
        <v>165.113669961196</v>
      </c>
      <c r="CG53">
        <v>42.210285708368303</v>
      </c>
      <c r="CH53">
        <v>0.40414330659907299</v>
      </c>
      <c r="CI53">
        <v>7.2293352616990401</v>
      </c>
      <c r="CJ53">
        <v>1.72246378792308</v>
      </c>
      <c r="CK53">
        <v>9.6265235472066806</v>
      </c>
      <c r="CL53">
        <v>1.51820923964245</v>
      </c>
      <c r="CM53">
        <v>9.8512380464043703E-2</v>
      </c>
      <c r="CN53">
        <v>4.5336357119732502E-2</v>
      </c>
      <c r="CO53">
        <v>0.60020754667378895</v>
      </c>
      <c r="CP53">
        <v>0.74029129095019197</v>
      </c>
      <c r="CQ53">
        <v>0.15182092396424299</v>
      </c>
      <c r="CR53">
        <v>42.504075209138101</v>
      </c>
      <c r="CS53">
        <v>1.5287761886003499</v>
      </c>
      <c r="CT53">
        <v>0.15287761886003401</v>
      </c>
      <c r="CU53">
        <v>1.4699999999999099E-2</v>
      </c>
      <c r="CV53">
        <v>2.0797516577388698E-3</v>
      </c>
      <c r="CW53">
        <v>2.2303517062023102</v>
      </c>
      <c r="CX53">
        <v>2.0299999999998802E-2</v>
      </c>
      <c r="CY53">
        <v>5.9787438152526101E-3</v>
      </c>
      <c r="CZ53">
        <v>0</v>
      </c>
      <c r="DA53">
        <v>2.39999910000287E-3</v>
      </c>
      <c r="DB53">
        <v>1.49628253850037E-3</v>
      </c>
      <c r="DC53">
        <v>1.9999999999998799E-3</v>
      </c>
      <c r="DD53">
        <v>3.4585811414922099E-3</v>
      </c>
      <c r="DE53">
        <v>1.01436925789235E-3</v>
      </c>
      <c r="DF53">
        <v>2.3999991000000199E-3</v>
      </c>
      <c r="DG53">
        <v>0</v>
      </c>
      <c r="DH53">
        <v>0</v>
      </c>
      <c r="DI53">
        <v>0.23180769399998599</v>
      </c>
      <c r="DJ53">
        <v>1.8846155199998899E-2</v>
      </c>
      <c r="DK53">
        <v>2.4293702400818802</v>
      </c>
      <c r="DL53">
        <v>0.15857508094529299</v>
      </c>
      <c r="DM53">
        <v>69.505737841619194</v>
      </c>
      <c r="DN53">
        <v>228.16509099898201</v>
      </c>
      <c r="DO53">
        <v>327.66000000000003</v>
      </c>
      <c r="DP53">
        <v>29.960282856633999</v>
      </c>
      <c r="DQ53">
        <v>157.94999999999899</v>
      </c>
      <c r="DR53">
        <v>169.71</v>
      </c>
      <c r="DS53">
        <v>156.18343197756101</v>
      </c>
      <c r="DT53">
        <v>0</v>
      </c>
      <c r="DU53">
        <v>0</v>
      </c>
      <c r="DV53">
        <v>0</v>
      </c>
      <c r="DW53">
        <v>0</v>
      </c>
      <c r="DX53">
        <v>0</v>
      </c>
      <c r="DY53">
        <v>0</v>
      </c>
      <c r="DZ53">
        <v>0</v>
      </c>
      <c r="EA53">
        <v>0</v>
      </c>
      <c r="EB53">
        <v>0</v>
      </c>
      <c r="EC53">
        <v>0</v>
      </c>
      <c r="ED53">
        <v>0</v>
      </c>
      <c r="EE53">
        <v>0</v>
      </c>
      <c r="EF53">
        <v>1.2700389953456599</v>
      </c>
      <c r="EG53">
        <v>0</v>
      </c>
      <c r="EH53">
        <v>0</v>
      </c>
      <c r="EI53">
        <v>0</v>
      </c>
      <c r="EJ53">
        <v>0</v>
      </c>
      <c r="EK53">
        <v>0</v>
      </c>
      <c r="EL53">
        <v>0</v>
      </c>
      <c r="EM53">
        <v>0</v>
      </c>
      <c r="EN53">
        <v>0</v>
      </c>
      <c r="EO53">
        <v>0</v>
      </c>
      <c r="EP53">
        <v>0</v>
      </c>
      <c r="EQ53">
        <v>0</v>
      </c>
      <c r="ER53">
        <v>0</v>
      </c>
      <c r="ES53">
        <v>0</v>
      </c>
      <c r="ET53">
        <v>0</v>
      </c>
      <c r="EU53">
        <v>0</v>
      </c>
      <c r="EV53">
        <v>820.86216131179594</v>
      </c>
      <c r="EW53">
        <v>-28.649999999999899</v>
      </c>
      <c r="EX53">
        <v>1483.1733466256401</v>
      </c>
      <c r="EY53">
        <v>838.48427452294698</v>
      </c>
      <c r="EZ53">
        <v>91.893409227221795</v>
      </c>
      <c r="FA53">
        <v>670.89738976131002</v>
      </c>
      <c r="FB53">
        <v>720.382568359375</v>
      </c>
      <c r="FC53">
        <v>0.39633627399700699</v>
      </c>
      <c r="FD53">
        <v>0.72280223397693699</v>
      </c>
      <c r="FE53">
        <v>0</v>
      </c>
      <c r="FF53">
        <v>1</v>
      </c>
      <c r="FG53" s="159">
        <v>5.8991244955192101E-13</v>
      </c>
      <c r="FH53">
        <v>0</v>
      </c>
      <c r="FI53">
        <v>5.4512674794765098E-5</v>
      </c>
      <c r="FJ53">
        <v>-5.1874489887037299E-3</v>
      </c>
      <c r="FK53" s="159">
        <v>6.57534000000779E-6</v>
      </c>
      <c r="FL53" s="159">
        <v>2.4767937902517901E-6</v>
      </c>
      <c r="FM53" s="159">
        <v>4.0992430143837E-6</v>
      </c>
      <c r="FN53">
        <v>0</v>
      </c>
      <c r="FO53">
        <v>0</v>
      </c>
      <c r="FP53">
        <v>0</v>
      </c>
      <c r="FQ53">
        <v>0</v>
      </c>
      <c r="FR53">
        <v>0</v>
      </c>
      <c r="FS53">
        <v>0</v>
      </c>
      <c r="FT53">
        <v>0</v>
      </c>
      <c r="FU53">
        <v>0</v>
      </c>
      <c r="FV53">
        <v>-999</v>
      </c>
      <c r="FW53">
        <v>0.48557452985716798</v>
      </c>
      <c r="FX53">
        <v>3.2183662141279301E-3</v>
      </c>
      <c r="FY53">
        <v>1.21113554499792</v>
      </c>
      <c r="FZ53">
        <v>9.3112659734053002E-4</v>
      </c>
      <c r="GA53">
        <v>42.248571726654703</v>
      </c>
      <c r="GB53">
        <v>1.06236877078514E-2</v>
      </c>
      <c r="GC53">
        <v>2.87126694806796E-3</v>
      </c>
      <c r="GD53">
        <v>0</v>
      </c>
      <c r="GE53">
        <v>7.02075975953643E-3</v>
      </c>
      <c r="GF53">
        <v>0.39843393725577603</v>
      </c>
      <c r="GG53">
        <v>5.5945833387744098E-4</v>
      </c>
      <c r="GH53">
        <v>9.4134364580745703E-3</v>
      </c>
      <c r="GI53">
        <v>1.8498568842328301E-2</v>
      </c>
      <c r="GJ53">
        <v>9.1086933577355699E-4</v>
      </c>
      <c r="GK53">
        <v>1.7678841347480399E-3</v>
      </c>
      <c r="GL53">
        <v>0.39883366882392601</v>
      </c>
      <c r="GM53">
        <v>6.6677340100075796E-3</v>
      </c>
      <c r="GN53">
        <v>5.5251381716641703E-4</v>
      </c>
      <c r="GO53">
        <v>0</v>
      </c>
      <c r="GP53">
        <v>0</v>
      </c>
      <c r="GQ53">
        <v>0</v>
      </c>
      <c r="GR53">
        <v>6.1011223182961503E-2</v>
      </c>
      <c r="GS53">
        <v>1.1328965047753799E-3</v>
      </c>
      <c r="GT53">
        <v>1.2708709925795199E-4</v>
      </c>
      <c r="GU53">
        <v>3.8436222789580698E-2</v>
      </c>
      <c r="GV53">
        <v>7.1370905520944203E-4</v>
      </c>
      <c r="GW53">
        <v>8.0063106522413702E-5</v>
      </c>
      <c r="GX53">
        <v>0.12254307747434701</v>
      </c>
      <c r="GY53">
        <v>0.13311224417296599</v>
      </c>
      <c r="GZ53">
        <v>58.949708121085301</v>
      </c>
      <c r="HA53">
        <v>676.63959964371497</v>
      </c>
      <c r="HB53">
        <v>0</v>
      </c>
      <c r="HC53">
        <v>0.99981306804543701</v>
      </c>
      <c r="HD53">
        <v>0.421186481486237</v>
      </c>
      <c r="HE53">
        <v>1.0935148242424199E-2</v>
      </c>
      <c r="HF53">
        <v>9.4678815094122203E-4</v>
      </c>
      <c r="HG53">
        <v>1.30246638126706E-2</v>
      </c>
      <c r="HH53" s="159">
        <v>4.7618770883467302E-7</v>
      </c>
      <c r="HI53" s="159">
        <v>3.3333254418617202E-7</v>
      </c>
      <c r="HJ53">
        <v>0</v>
      </c>
      <c r="HK53">
        <v>0</v>
      </c>
      <c r="HL53">
        <v>0</v>
      </c>
      <c r="HM53">
        <v>0</v>
      </c>
      <c r="HN53">
        <v>0</v>
      </c>
      <c r="HO53">
        <v>1.15211921063263E-2</v>
      </c>
      <c r="HP53">
        <v>0.55429872565920302</v>
      </c>
      <c r="HQ53">
        <v>1.0935148242424199E-2</v>
      </c>
      <c r="HR53">
        <v>9.4678815094122203E-4</v>
      </c>
      <c r="HS53">
        <v>0.72050992042427098</v>
      </c>
      <c r="HT53">
        <v>-999</v>
      </c>
      <c r="HU53">
        <v>1</v>
      </c>
      <c r="HV53">
        <v>0.800131153494817</v>
      </c>
      <c r="HW53">
        <v>0.199868846505182</v>
      </c>
      <c r="HX53">
        <v>12524.3099437368</v>
      </c>
      <c r="HY53">
        <v>400.096641574785</v>
      </c>
      <c r="HZ53">
        <v>40.250227003991697</v>
      </c>
      <c r="IA53">
        <v>-0.13311224417296599</v>
      </c>
      <c r="IB53">
        <v>0</v>
      </c>
      <c r="IC53">
        <v>0</v>
      </c>
      <c r="ID53">
        <v>0</v>
      </c>
      <c r="IE53">
        <v>0</v>
      </c>
      <c r="IF53">
        <v>0</v>
      </c>
      <c r="IG53">
        <v>0</v>
      </c>
      <c r="IH53">
        <v>0</v>
      </c>
      <c r="II53">
        <v>46.337800049999601</v>
      </c>
      <c r="IJ53">
        <v>463.37800049999902</v>
      </c>
      <c r="IK53">
        <v>1.05730360506403E-2</v>
      </c>
      <c r="IL53">
        <v>2.3088411941735798E-3</v>
      </c>
      <c r="IM53">
        <v>1.2881877244813799E-2</v>
      </c>
      <c r="IN53">
        <v>9.1843739761918804E-4</v>
      </c>
      <c r="IO53">
        <v>0.423857761466785</v>
      </c>
      <c r="IP53">
        <v>1.8785003438593802E-2</v>
      </c>
      <c r="IQ53">
        <v>1.63707228004794E-3</v>
      </c>
      <c r="IR53">
        <v>0.29330001514436699</v>
      </c>
      <c r="IS53">
        <v>0.23803141868642</v>
      </c>
      <c r="IT53">
        <v>0.27313522273963398</v>
      </c>
      <c r="IU53">
        <v>0.29954027360951901</v>
      </c>
      <c r="IV53">
        <v>1.4313582420076E-2</v>
      </c>
      <c r="IW53">
        <v>1.1899301781961599E-3</v>
      </c>
      <c r="IX53">
        <v>7.4941757478432097E-2</v>
      </c>
      <c r="IY53">
        <v>2.69548681629138E-3</v>
      </c>
      <c r="IZ53">
        <v>2.6954868162913599E-4</v>
      </c>
      <c r="JA53">
        <v>7.5064262363154194E-2</v>
      </c>
      <c r="JB53">
        <v>2.6998930420433498E-3</v>
      </c>
      <c r="JC53">
        <v>2.6998930420433299E-4</v>
      </c>
      <c r="JD53">
        <v>1.7586199347039401E-4</v>
      </c>
      <c r="JE53">
        <v>3.2383551213509901E-3</v>
      </c>
      <c r="JF53" s="159">
        <v>-7.9959910220805904E-19</v>
      </c>
      <c r="JG53">
        <v>0</v>
      </c>
      <c r="JH53">
        <v>4.13159821730556E-3</v>
      </c>
      <c r="JI53">
        <v>5.4148208478131004E-4</v>
      </c>
      <c r="JJ53">
        <v>-0.50771678014564003</v>
      </c>
      <c r="JK53">
        <v>1.7586199347039401E-4</v>
      </c>
      <c r="JL53" s="159">
        <v>6.5753399999999896E-6</v>
      </c>
      <c r="JM53">
        <v>-0.50771678014564003</v>
      </c>
      <c r="JN53">
        <v>0</v>
      </c>
      <c r="JO53">
        <v>1.5020494407812</v>
      </c>
      <c r="JP53">
        <v>-1.4275040754243899E-2</v>
      </c>
      <c r="JQ53">
        <v>9.4141795850769601E-4</v>
      </c>
      <c r="JR53">
        <v>2.8888302764396901E-2</v>
      </c>
      <c r="JS53">
        <v>1558.86682215871</v>
      </c>
      <c r="JT53">
        <v>4.5843850448192197E-2</v>
      </c>
      <c r="JU53">
        <v>0</v>
      </c>
      <c r="JV53">
        <v>365</v>
      </c>
      <c r="JW53">
        <v>0</v>
      </c>
      <c r="JX53">
        <v>-0.40268092994350901</v>
      </c>
      <c r="JY53">
        <v>0</v>
      </c>
      <c r="JZ53">
        <v>1.3211380382157401</v>
      </c>
      <c r="KA53">
        <v>1.40318030385236</v>
      </c>
      <c r="KB53">
        <v>1.4318810093916301</v>
      </c>
      <c r="KC53">
        <v>0</v>
      </c>
      <c r="KD53">
        <v>0</v>
      </c>
      <c r="KE53">
        <v>0</v>
      </c>
      <c r="KF53">
        <v>3.57033963108068E-3</v>
      </c>
      <c r="KG53">
        <v>2.2461403748579901E-2</v>
      </c>
      <c r="KH53">
        <v>3.8595926651249203E-2</v>
      </c>
      <c r="KI53">
        <v>0</v>
      </c>
      <c r="KJ53">
        <v>0</v>
      </c>
      <c r="KK53">
        <v>0</v>
      </c>
      <c r="KL53">
        <v>0</v>
      </c>
      <c r="KM53">
        <v>0</v>
      </c>
      <c r="KN53">
        <v>0</v>
      </c>
      <c r="KO53">
        <v>0</v>
      </c>
      <c r="KP53">
        <v>0</v>
      </c>
      <c r="KQ53">
        <v>0</v>
      </c>
      <c r="KR53">
        <v>0</v>
      </c>
      <c r="KS53">
        <v>0</v>
      </c>
      <c r="KT53">
        <v>0</v>
      </c>
      <c r="KU53">
        <v>0.34999999999999898</v>
      </c>
      <c r="KV53">
        <v>-0.114867090555777</v>
      </c>
      <c r="KW53">
        <v>1.82240975975958E-3</v>
      </c>
      <c r="KX53">
        <v>33544.869488065502</v>
      </c>
      <c r="KY53">
        <v>0</v>
      </c>
      <c r="KZ53">
        <v>0.21035493231070801</v>
      </c>
      <c r="LA53">
        <v>1.73602675993533E-5</v>
      </c>
      <c r="LB53">
        <v>0</v>
      </c>
      <c r="LC53">
        <v>-12.1407009662079</v>
      </c>
      <c r="LD53">
        <v>1.57155418645245E-2</v>
      </c>
      <c r="LE53">
        <v>3.41088855143826E-3</v>
      </c>
      <c r="LF53">
        <v>1.57155418645245E-2</v>
      </c>
      <c r="LG53">
        <v>0.94991523526100197</v>
      </c>
      <c r="LH53">
        <v>1.2374036764329499</v>
      </c>
      <c r="LI53">
        <v>0</v>
      </c>
      <c r="LJ53">
        <v>0</v>
      </c>
      <c r="LK53">
        <v>0.24300804954775401</v>
      </c>
      <c r="LL53">
        <v>0</v>
      </c>
      <c r="LM53">
        <v>0</v>
      </c>
      <c r="LN53">
        <v>0</v>
      </c>
      <c r="LO53">
        <v>0</v>
      </c>
      <c r="LP53">
        <v>0</v>
      </c>
      <c r="LQ53">
        <v>0</v>
      </c>
      <c r="LR53">
        <v>0</v>
      </c>
      <c r="LS53">
        <v>0</v>
      </c>
      <c r="LT53">
        <v>-999</v>
      </c>
      <c r="LU53">
        <v>0.42565771684093001</v>
      </c>
      <c r="LV53">
        <v>52</v>
      </c>
      <c r="LW53">
        <v>201.96</v>
      </c>
      <c r="LX53">
        <v>1.887</v>
      </c>
      <c r="LY53">
        <v>0</v>
      </c>
      <c r="LZ53">
        <v>-999</v>
      </c>
      <c r="MA53">
        <v>0</v>
      </c>
      <c r="MB53">
        <v>0</v>
      </c>
      <c r="MC53">
        <v>601.96</v>
      </c>
      <c r="MD53">
        <v>-23.6999999999999</v>
      </c>
      <c r="ME53">
        <v>-33.6</v>
      </c>
      <c r="MF53">
        <v>0</v>
      </c>
      <c r="MG53">
        <v>8.0706896550000007</v>
      </c>
      <c r="MH53">
        <v>0</v>
      </c>
      <c r="MI53">
        <v>0</v>
      </c>
      <c r="MJ53">
        <v>0</v>
      </c>
      <c r="MK53">
        <v>0</v>
      </c>
      <c r="ML53">
        <v>0</v>
      </c>
      <c r="MM53">
        <v>0</v>
      </c>
      <c r="MN53">
        <v>0</v>
      </c>
      <c r="MO53">
        <v>0</v>
      </c>
      <c r="MP53">
        <v>0</v>
      </c>
      <c r="MQ53">
        <v>0</v>
      </c>
      <c r="MR53">
        <v>0</v>
      </c>
      <c r="MS53">
        <v>0</v>
      </c>
      <c r="MT53">
        <v>0</v>
      </c>
      <c r="MU53">
        <v>0</v>
      </c>
      <c r="MV53">
        <v>0</v>
      </c>
    </row>
    <row r="54" spans="1:360" x14ac:dyDescent="0.25">
      <c r="A54">
        <v>19345</v>
      </c>
      <c r="B54">
        <v>0</v>
      </c>
      <c r="C54">
        <v>-33.6</v>
      </c>
      <c r="D54">
        <v>-23.6999999999999</v>
      </c>
      <c r="E54">
        <v>400</v>
      </c>
      <c r="F54">
        <v>0</v>
      </c>
      <c r="G54">
        <v>0</v>
      </c>
      <c r="H54">
        <v>0</v>
      </c>
      <c r="I54">
        <v>0</v>
      </c>
      <c r="J54">
        <v>0</v>
      </c>
      <c r="K54">
        <v>0</v>
      </c>
      <c r="L54" s="159">
        <v>6.5753399999999896E-6</v>
      </c>
      <c r="M54">
        <v>0</v>
      </c>
      <c r="N54">
        <v>0</v>
      </c>
      <c r="O54">
        <v>0</v>
      </c>
      <c r="P54">
        <v>0</v>
      </c>
      <c r="Q54">
        <v>0</v>
      </c>
      <c r="R54">
        <v>0</v>
      </c>
      <c r="S54">
        <v>0</v>
      </c>
      <c r="T54">
        <v>0</v>
      </c>
      <c r="U54">
        <v>705.33574030577404</v>
      </c>
      <c r="V54">
        <v>13.975857636627</v>
      </c>
      <c r="W54">
        <v>1.3523060311541899</v>
      </c>
      <c r="X54">
        <v>0.31730876599133701</v>
      </c>
      <c r="Y54">
        <v>0.273839331489243</v>
      </c>
      <c r="Z54">
        <v>0.408851902519419</v>
      </c>
      <c r="AA54">
        <v>0.112422374253066</v>
      </c>
      <c r="AB54">
        <v>0.51579456508967003</v>
      </c>
      <c r="AC54">
        <v>0.37178306065726202</v>
      </c>
      <c r="AD54">
        <v>0.88456257419490003</v>
      </c>
      <c r="AE54">
        <v>4.1164321450702902E-2</v>
      </c>
      <c r="AF54">
        <v>7.4273104354396505E-2</v>
      </c>
      <c r="AG54">
        <v>0</v>
      </c>
      <c r="AH54">
        <v>3420.0666853256698</v>
      </c>
      <c r="AI54">
        <v>79.677164548063899</v>
      </c>
      <c r="AJ54">
        <v>8.1191499605703701</v>
      </c>
      <c r="AK54">
        <v>407.61896376752298</v>
      </c>
      <c r="AL54">
        <v>7.5689369142390097</v>
      </c>
      <c r="AM54">
        <v>0.84907512102156601</v>
      </c>
      <c r="AN54">
        <v>8697.2898791805692</v>
      </c>
      <c r="AO54">
        <v>312.82199664909899</v>
      </c>
      <c r="AP54">
        <v>31.282199664909601</v>
      </c>
      <c r="AQ54">
        <v>3.0135352182951901E-2</v>
      </c>
      <c r="AR54">
        <v>6.2337337159651604E-3</v>
      </c>
      <c r="AS54">
        <v>2.0507675715047701E-2</v>
      </c>
      <c r="AT54">
        <v>9.48</v>
      </c>
      <c r="AU54">
        <v>5.98439209316017</v>
      </c>
      <c r="AV54">
        <v>0</v>
      </c>
      <c r="AW54">
        <v>85.073368400557499</v>
      </c>
      <c r="AX54">
        <v>66.525738014121501</v>
      </c>
      <c r="AY54">
        <v>361.47941059973698</v>
      </c>
      <c r="AZ54">
        <v>0.54833294000258004</v>
      </c>
      <c r="BA54">
        <v>0.84107952054854995</v>
      </c>
      <c r="BB54">
        <v>1.4062581740289799E-2</v>
      </c>
      <c r="BC54">
        <v>1.1763574619376401E-3</v>
      </c>
      <c r="BD54">
        <v>0.59756882253865196</v>
      </c>
      <c r="BE54">
        <v>9.2753309371899802E-3</v>
      </c>
      <c r="BF54">
        <v>7.5647911500673602E-4</v>
      </c>
      <c r="BG54">
        <v>766.29999847710098</v>
      </c>
      <c r="BH54">
        <v>-1626.59999865293</v>
      </c>
      <c r="BI54">
        <v>428.69927800833898</v>
      </c>
      <c r="BJ54">
        <v>211.39699551121299</v>
      </c>
      <c r="BK54">
        <v>3.6959437205387302</v>
      </c>
      <c r="BL54">
        <v>4.6938252130007703</v>
      </c>
      <c r="BM54">
        <v>193.13690644728001</v>
      </c>
      <c r="BN54">
        <v>22.125513618343799</v>
      </c>
      <c r="BO54">
        <v>215.26242006562401</v>
      </c>
      <c r="BP54">
        <v>3.4853487208557898</v>
      </c>
      <c r="BQ54">
        <v>0.29331518332259598</v>
      </c>
      <c r="BR54">
        <v>207.701051790674</v>
      </c>
      <c r="BS54">
        <v>2.2039450685844302</v>
      </c>
      <c r="BT54">
        <v>0.29311744081271202</v>
      </c>
      <c r="BU54">
        <v>3.4994483027125298</v>
      </c>
      <c r="BV54">
        <v>1.7095162896847</v>
      </c>
      <c r="BW54">
        <v>0.52133060410869503</v>
      </c>
      <c r="BX54">
        <v>1.26860140891913</v>
      </c>
      <c r="BY54">
        <v>0</v>
      </c>
      <c r="BZ54">
        <v>3.0745076372503499</v>
      </c>
      <c r="CA54">
        <v>0.41084108360545202</v>
      </c>
      <c r="CB54">
        <v>0.29464409339885</v>
      </c>
      <c r="CC54">
        <v>0.247227476853979</v>
      </c>
      <c r="CD54">
        <v>4.6087706468617602E-2</v>
      </c>
      <c r="CE54">
        <v>21.7836709747112</v>
      </c>
      <c r="CF54">
        <v>165.19737995816399</v>
      </c>
      <c r="CG54">
        <v>42.209455689309898</v>
      </c>
      <c r="CH54">
        <v>0.40449352464907301</v>
      </c>
      <c r="CI54">
        <v>7.2347357661987699</v>
      </c>
      <c r="CJ54">
        <v>1.7234822722356899</v>
      </c>
      <c r="CK54">
        <v>9.6334014269705204</v>
      </c>
      <c r="CL54">
        <v>1.51817938571982</v>
      </c>
      <c r="CM54">
        <v>9.8670162803741607E-2</v>
      </c>
      <c r="CN54">
        <v>4.5375644200144997E-2</v>
      </c>
      <c r="CO54">
        <v>0.59761910836472598</v>
      </c>
      <c r="CP54">
        <v>0.737860381172601</v>
      </c>
      <c r="CQ54">
        <v>0.151817938571981</v>
      </c>
      <c r="CR54">
        <v>42.503671832509703</v>
      </c>
      <c r="CS54">
        <v>1.5287616800483701</v>
      </c>
      <c r="CT54">
        <v>0.152876168004835</v>
      </c>
      <c r="CU54">
        <v>1.4700000000002E-2</v>
      </c>
      <c r="CV54">
        <v>2.0830995761891001E-3</v>
      </c>
      <c r="CW54">
        <v>2.2305058721172202</v>
      </c>
      <c r="CX54">
        <v>2.0300000000002798E-2</v>
      </c>
      <c r="CY54">
        <v>5.9862628936056201E-3</v>
      </c>
      <c r="CZ54">
        <v>0</v>
      </c>
      <c r="DA54">
        <v>2.3999991000028999E-3</v>
      </c>
      <c r="DB54">
        <v>1.4961615049489199E-3</v>
      </c>
      <c r="DC54">
        <v>2.0000000000002802E-3</v>
      </c>
      <c r="DD54">
        <v>3.4484259786364498E-3</v>
      </c>
      <c r="DE54">
        <v>1.00965152821671E-3</v>
      </c>
      <c r="DF54">
        <v>2.3999991000000498E-3</v>
      </c>
      <c r="DG54">
        <v>0</v>
      </c>
      <c r="DH54">
        <v>0</v>
      </c>
      <c r="DI54">
        <v>0.23180769400003201</v>
      </c>
      <c r="DJ54">
        <v>1.8846155200002601E-2</v>
      </c>
      <c r="DK54">
        <v>2.4337662190174498</v>
      </c>
      <c r="DL54">
        <v>0.15886202474004299</v>
      </c>
      <c r="DM54">
        <v>69.101186636535203</v>
      </c>
      <c r="DN54">
        <v>228.601911885015</v>
      </c>
      <c r="DO54">
        <v>327.66000000000003</v>
      </c>
      <c r="DP54">
        <v>29.928542670929801</v>
      </c>
      <c r="DQ54">
        <v>157.94999999999899</v>
      </c>
      <c r="DR54">
        <v>169.71</v>
      </c>
      <c r="DS54">
        <v>156.20477637174699</v>
      </c>
      <c r="DT54">
        <v>0</v>
      </c>
      <c r="DU54">
        <v>0</v>
      </c>
      <c r="DV54">
        <v>0</v>
      </c>
      <c r="DW54">
        <v>0</v>
      </c>
      <c r="DX54">
        <v>0</v>
      </c>
      <c r="DY54">
        <v>0</v>
      </c>
      <c r="DZ54">
        <v>0</v>
      </c>
      <c r="EA54">
        <v>0</v>
      </c>
      <c r="EB54">
        <v>0</v>
      </c>
      <c r="EC54">
        <v>0</v>
      </c>
      <c r="ED54">
        <v>0</v>
      </c>
      <c r="EE54">
        <v>0</v>
      </c>
      <c r="EF54">
        <v>1.2692116466793399</v>
      </c>
      <c r="EG54">
        <v>0</v>
      </c>
      <c r="EH54">
        <v>0</v>
      </c>
      <c r="EI54">
        <v>0</v>
      </c>
      <c r="EJ54">
        <v>0</v>
      </c>
      <c r="EK54">
        <v>0</v>
      </c>
      <c r="EL54">
        <v>0</v>
      </c>
      <c r="EM54">
        <v>0</v>
      </c>
      <c r="EN54">
        <v>0</v>
      </c>
      <c r="EO54">
        <v>0</v>
      </c>
      <c r="EP54">
        <v>0</v>
      </c>
      <c r="EQ54">
        <v>0</v>
      </c>
      <c r="ER54">
        <v>0</v>
      </c>
      <c r="ES54">
        <v>0</v>
      </c>
      <c r="ET54">
        <v>0</v>
      </c>
      <c r="EU54">
        <v>0</v>
      </c>
      <c r="EV54">
        <v>821.732066245498</v>
      </c>
      <c r="EW54">
        <v>-28.649999999999899</v>
      </c>
      <c r="EX54">
        <v>1484.9173480121499</v>
      </c>
      <c r="EY54">
        <v>838.99750665676504</v>
      </c>
      <c r="EZ54">
        <v>91.705782080200706</v>
      </c>
      <c r="FA54">
        <v>671.75279930839895</v>
      </c>
      <c r="FB54">
        <v>721.458740234375</v>
      </c>
      <c r="FC54">
        <v>0.39552703811190498</v>
      </c>
      <c r="FD54">
        <v>0.72132642279350201</v>
      </c>
      <c r="FE54">
        <v>0</v>
      </c>
      <c r="FF54">
        <v>1</v>
      </c>
      <c r="FG54" s="159">
        <v>5.8991244955192101E-13</v>
      </c>
      <c r="FH54">
        <v>0</v>
      </c>
      <c r="FI54">
        <v>5.4512674794765098E-5</v>
      </c>
      <c r="FJ54">
        <v>-5.1767763257083797E-3</v>
      </c>
      <c r="FK54" s="159">
        <v>6.57534000000779E-6</v>
      </c>
      <c r="FL54" s="159">
        <v>2.4660857018103099E-6</v>
      </c>
      <c r="FM54" s="159">
        <v>4.09890978747037E-6</v>
      </c>
      <c r="FN54">
        <v>0</v>
      </c>
      <c r="FO54">
        <v>0</v>
      </c>
      <c r="FP54">
        <v>0</v>
      </c>
      <c r="FQ54">
        <v>0</v>
      </c>
      <c r="FR54">
        <v>0</v>
      </c>
      <c r="FS54">
        <v>0</v>
      </c>
      <c r="FT54">
        <v>0</v>
      </c>
      <c r="FU54">
        <v>0</v>
      </c>
      <c r="FV54">
        <v>-999</v>
      </c>
      <c r="FW54">
        <v>0.485928519502209</v>
      </c>
      <c r="FX54">
        <v>3.2195957153594102E-3</v>
      </c>
      <c r="FY54">
        <v>1.2123810802219299</v>
      </c>
      <c r="FZ54">
        <v>9.2960059017477704E-4</v>
      </c>
      <c r="GA54">
        <v>42.217853659883801</v>
      </c>
      <c r="GB54">
        <v>1.0625972261454101E-2</v>
      </c>
      <c r="GC54">
        <v>2.8718843949875898E-3</v>
      </c>
      <c r="GD54">
        <v>0</v>
      </c>
      <c r="GE54">
        <v>7.0210807005217897E-3</v>
      </c>
      <c r="GF54">
        <v>0.39671136113538402</v>
      </c>
      <c r="GG54">
        <v>5.5951810163579804E-4</v>
      </c>
      <c r="GH54">
        <v>9.4118757891382809E-3</v>
      </c>
      <c r="GI54">
        <v>1.8495562143642601E-2</v>
      </c>
      <c r="GJ54">
        <v>9.1069447936918202E-4</v>
      </c>
      <c r="GK54">
        <v>1.76765896387297E-3</v>
      </c>
      <c r="GL54">
        <v>0.399281478205469</v>
      </c>
      <c r="GM54">
        <v>6.6752458754071103E-3</v>
      </c>
      <c r="GN54">
        <v>5.5311883468226397E-4</v>
      </c>
      <c r="GO54">
        <v>0</v>
      </c>
      <c r="GP54">
        <v>0</v>
      </c>
      <c r="GQ54">
        <v>0</v>
      </c>
      <c r="GR54">
        <v>6.1056778185243202E-2</v>
      </c>
      <c r="GS54">
        <v>1.13374240000854E-3</v>
      </c>
      <c r="GT54">
        <v>1.27181990866326E-4</v>
      </c>
      <c r="GU54">
        <v>3.8468617750234399E-2</v>
      </c>
      <c r="GV54">
        <v>7.14310586137401E-4</v>
      </c>
      <c r="GW54">
        <v>8.0130585608478193E-5</v>
      </c>
      <c r="GX54">
        <v>0.122690087306878</v>
      </c>
      <c r="GY54">
        <v>0.133257901731207</v>
      </c>
      <c r="GZ54">
        <v>58.949794794794798</v>
      </c>
      <c r="HA54">
        <v>676.66867230316495</v>
      </c>
      <c r="HB54">
        <v>0</v>
      </c>
      <c r="HC54">
        <v>0.99981306820854798</v>
      </c>
      <c r="HD54">
        <v>0.421631215999063</v>
      </c>
      <c r="HE54">
        <v>1.09468822095522E-2</v>
      </c>
      <c r="HF54">
        <v>9.4779384922918301E-4</v>
      </c>
      <c r="HG54">
        <v>1.30436536612624E-2</v>
      </c>
      <c r="HH54" s="159">
        <v>4.7618771354299401E-7</v>
      </c>
      <c r="HI54" s="159">
        <v>3.3333254415221102E-7</v>
      </c>
      <c r="HJ54">
        <v>0</v>
      </c>
      <c r="HK54">
        <v>0</v>
      </c>
      <c r="HL54">
        <v>0</v>
      </c>
      <c r="HM54">
        <v>0</v>
      </c>
      <c r="HN54">
        <v>0</v>
      </c>
      <c r="HO54">
        <v>1.1537972219100001E-2</v>
      </c>
      <c r="HP54">
        <v>0.55488911773027105</v>
      </c>
      <c r="HQ54">
        <v>1.09468822095522E-2</v>
      </c>
      <c r="HR54">
        <v>9.4779384922918301E-4</v>
      </c>
      <c r="HS54">
        <v>0.72025660795881497</v>
      </c>
      <c r="HT54">
        <v>-999</v>
      </c>
      <c r="HU54">
        <v>1</v>
      </c>
      <c r="HV54">
        <v>0.80066125820230105</v>
      </c>
      <c r="HW54">
        <v>0.199338741797698</v>
      </c>
      <c r="HX54">
        <v>12524.975528273701</v>
      </c>
      <c r="HY54">
        <v>400.06809811140101</v>
      </c>
      <c r="HZ54">
        <v>40.250424746501601</v>
      </c>
      <c r="IA54">
        <v>-0.133257901731207</v>
      </c>
      <c r="IB54">
        <v>0</v>
      </c>
      <c r="IC54">
        <v>0</v>
      </c>
      <c r="ID54">
        <v>0</v>
      </c>
      <c r="IE54">
        <v>0</v>
      </c>
      <c r="IF54">
        <v>0</v>
      </c>
      <c r="IG54">
        <v>0</v>
      </c>
      <c r="IH54">
        <v>0</v>
      </c>
      <c r="II54">
        <v>46.337800049999601</v>
      </c>
      <c r="IJ54">
        <v>463.37800049999902</v>
      </c>
      <c r="IK54">
        <v>1.0587760440324501E-2</v>
      </c>
      <c r="IL54">
        <v>2.3127082412760002E-3</v>
      </c>
      <c r="IM54">
        <v>1.29004686816005E-2</v>
      </c>
      <c r="IN54">
        <v>9.14816364779323E-4</v>
      </c>
      <c r="IO54">
        <v>0.42393583747709801</v>
      </c>
      <c r="IP54">
        <v>1.8802143227038499E-2</v>
      </c>
      <c r="IQ54">
        <v>1.6335018964281499E-3</v>
      </c>
      <c r="IR54">
        <v>0.293160986373104</v>
      </c>
      <c r="IS54">
        <v>0.237745490054353</v>
      </c>
      <c r="IT54">
        <v>0.27365286599047201</v>
      </c>
      <c r="IU54">
        <v>0.29965438920340298</v>
      </c>
      <c r="IV54">
        <v>1.43320184714541E-2</v>
      </c>
      <c r="IW54">
        <v>1.1864894208697199E-3</v>
      </c>
      <c r="IX54">
        <v>7.4937720911408406E-2</v>
      </c>
      <c r="IY54">
        <v>2.69534163003526E-3</v>
      </c>
      <c r="IZ54">
        <v>2.6953416300352402E-4</v>
      </c>
      <c r="JA54">
        <v>7.5061984660097503E-2</v>
      </c>
      <c r="JB54">
        <v>2.6998111181765101E-3</v>
      </c>
      <c r="JC54">
        <v>2.6998111181764897E-4</v>
      </c>
      <c r="JD54">
        <v>1.76137196621164E-4</v>
      </c>
      <c r="JE54">
        <v>3.2407109365666601E-3</v>
      </c>
      <c r="JF54" s="159">
        <v>1.64324391767334E-18</v>
      </c>
      <c r="JG54">
        <v>0</v>
      </c>
      <c r="JH54">
        <v>4.1313609080300701E-3</v>
      </c>
      <c r="JI54">
        <v>5.41654167908046E-4</v>
      </c>
      <c r="JJ54">
        <v>-0.50797427559470898</v>
      </c>
      <c r="JK54">
        <v>1.76137196621164E-4</v>
      </c>
      <c r="JL54" s="159">
        <v>6.5753399999999896E-6</v>
      </c>
      <c r="JM54">
        <v>-0.50797427559470898</v>
      </c>
      <c r="JN54">
        <v>0</v>
      </c>
      <c r="JO54">
        <v>1.49398519552117</v>
      </c>
      <c r="JP54">
        <v>-1.4415069206088401E-2</v>
      </c>
      <c r="JQ54">
        <v>9.5157312136387895E-4</v>
      </c>
      <c r="JR54">
        <v>2.8358807519271698E-2</v>
      </c>
      <c r="JS54">
        <v>1560.45627327901</v>
      </c>
      <c r="JT54">
        <v>4.5750246881403299E-2</v>
      </c>
      <c r="JU54">
        <v>0</v>
      </c>
      <c r="JV54">
        <v>365</v>
      </c>
      <c r="JW54">
        <v>0</v>
      </c>
      <c r="JX54">
        <v>-0.40268092994350901</v>
      </c>
      <c r="JY54">
        <v>0</v>
      </c>
      <c r="JZ54">
        <v>1.3215007997589401</v>
      </c>
      <c r="KA54">
        <v>1.40335999427881</v>
      </c>
      <c r="KB54">
        <v>1.43231219260913</v>
      </c>
      <c r="KC54">
        <v>0</v>
      </c>
      <c r="KD54">
        <v>0</v>
      </c>
      <c r="KE54">
        <v>0</v>
      </c>
      <c r="KF54">
        <v>3.5718653987773302E-3</v>
      </c>
      <c r="KG54">
        <v>2.2476529008271101E-2</v>
      </c>
      <c r="KH54">
        <v>3.8554546623362898E-2</v>
      </c>
      <c r="KI54">
        <v>0</v>
      </c>
      <c r="KJ54">
        <v>0</v>
      </c>
      <c r="KK54">
        <v>0</v>
      </c>
      <c r="KL54">
        <v>0</v>
      </c>
      <c r="KM54">
        <v>0</v>
      </c>
      <c r="KN54">
        <v>0</v>
      </c>
      <c r="KO54">
        <v>0</v>
      </c>
      <c r="KP54">
        <v>0</v>
      </c>
      <c r="KQ54">
        <v>0</v>
      </c>
      <c r="KR54">
        <v>0</v>
      </c>
      <c r="KS54">
        <v>0</v>
      </c>
      <c r="KT54">
        <v>0</v>
      </c>
      <c r="KU54">
        <v>0.34999999999999898</v>
      </c>
      <c r="KV54">
        <v>-0.11478952924823101</v>
      </c>
      <c r="KW54">
        <v>1.8212490624742699E-3</v>
      </c>
      <c r="KX54">
        <v>33587.639965419898</v>
      </c>
      <c r="KY54">
        <v>0</v>
      </c>
      <c r="KZ54">
        <v>0.21036055255660899</v>
      </c>
      <c r="LA54">
        <v>1.73602675993533E-5</v>
      </c>
      <c r="LB54">
        <v>0</v>
      </c>
      <c r="LC54">
        <v>-12.140234906771401</v>
      </c>
      <c r="LD54">
        <v>1.5715826290702801E-2</v>
      </c>
      <c r="LE54">
        <v>3.4111568780215498E-3</v>
      </c>
      <c r="LF54">
        <v>1.5715826290702801E-2</v>
      </c>
      <c r="LG54">
        <v>0.95012725296800604</v>
      </c>
      <c r="LH54">
        <v>1.23764460564546</v>
      </c>
      <c r="LI54">
        <v>0</v>
      </c>
      <c r="LJ54">
        <v>0</v>
      </c>
      <c r="LK54">
        <v>0.24306676685873499</v>
      </c>
      <c r="LL54">
        <v>0</v>
      </c>
      <c r="LM54">
        <v>0</v>
      </c>
      <c r="LN54">
        <v>0</v>
      </c>
      <c r="LO54">
        <v>0</v>
      </c>
      <c r="LP54">
        <v>0</v>
      </c>
      <c r="LQ54">
        <v>0</v>
      </c>
      <c r="LR54">
        <v>0</v>
      </c>
      <c r="LS54">
        <v>0</v>
      </c>
      <c r="LT54">
        <v>-999</v>
      </c>
      <c r="LU54">
        <v>0.42565919986814599</v>
      </c>
      <c r="LV54">
        <v>53</v>
      </c>
      <c r="LW54">
        <v>205.91999999999899</v>
      </c>
      <c r="LX54">
        <v>1.9239999999999899</v>
      </c>
      <c r="LY54">
        <v>0</v>
      </c>
      <c r="LZ54">
        <v>-999</v>
      </c>
      <c r="MA54">
        <v>0</v>
      </c>
      <c r="MB54">
        <v>0</v>
      </c>
      <c r="MC54">
        <v>605.91999999999905</v>
      </c>
      <c r="MD54">
        <v>-23.6999999999999</v>
      </c>
      <c r="ME54">
        <v>-33.6</v>
      </c>
      <c r="MF54">
        <v>0</v>
      </c>
      <c r="MG54">
        <v>8.0706896550000007</v>
      </c>
      <c r="MH54">
        <v>0</v>
      </c>
      <c r="MI54">
        <v>0</v>
      </c>
      <c r="MJ54">
        <v>0</v>
      </c>
      <c r="MK54">
        <v>0</v>
      </c>
      <c r="ML54">
        <v>0</v>
      </c>
      <c r="MM54">
        <v>0</v>
      </c>
      <c r="MN54">
        <v>0</v>
      </c>
      <c r="MO54">
        <v>0</v>
      </c>
      <c r="MP54">
        <v>0</v>
      </c>
      <c r="MQ54">
        <v>0</v>
      </c>
      <c r="MR54">
        <v>0</v>
      </c>
      <c r="MS54">
        <v>0</v>
      </c>
      <c r="MT54">
        <v>0</v>
      </c>
      <c r="MU54">
        <v>0</v>
      </c>
      <c r="MV54">
        <v>0</v>
      </c>
    </row>
    <row r="55" spans="1:360" x14ac:dyDescent="0.25">
      <c r="A55">
        <v>19710</v>
      </c>
      <c r="B55">
        <v>0</v>
      </c>
      <c r="C55">
        <v>-33.6</v>
      </c>
      <c r="D55">
        <v>-23.6999999999999</v>
      </c>
      <c r="E55">
        <v>400</v>
      </c>
      <c r="F55">
        <v>0</v>
      </c>
      <c r="G55">
        <v>0</v>
      </c>
      <c r="H55">
        <v>0</v>
      </c>
      <c r="I55">
        <v>0</v>
      </c>
      <c r="J55">
        <v>0</v>
      </c>
      <c r="K55">
        <v>0</v>
      </c>
      <c r="L55" s="159">
        <v>6.5753399999999896E-6</v>
      </c>
      <c r="M55">
        <v>0</v>
      </c>
      <c r="N55">
        <v>0</v>
      </c>
      <c r="O55">
        <v>0</v>
      </c>
      <c r="P55">
        <v>0</v>
      </c>
      <c r="Q55">
        <v>0</v>
      </c>
      <c r="R55">
        <v>0</v>
      </c>
      <c r="S55">
        <v>0</v>
      </c>
      <c r="T55">
        <v>0</v>
      </c>
      <c r="U55">
        <v>706.14947957044603</v>
      </c>
      <c r="V55">
        <v>13.9898659457379</v>
      </c>
      <c r="W55">
        <v>1.35363160774959</v>
      </c>
      <c r="X55">
        <v>0.31607693607123499</v>
      </c>
      <c r="Y55">
        <v>0.27356095098071398</v>
      </c>
      <c r="Z55">
        <v>0.41036211294804997</v>
      </c>
      <c r="AA55">
        <v>0.112423275268367</v>
      </c>
      <c r="AB55">
        <v>0.51659525467771905</v>
      </c>
      <c r="AC55">
        <v>0.37098147005391202</v>
      </c>
      <c r="AD55">
        <v>0.88456181466063399</v>
      </c>
      <c r="AE55">
        <v>4.1069661114462697E-2</v>
      </c>
      <c r="AF55">
        <v>7.4368524224902199E-2</v>
      </c>
      <c r="AG55">
        <v>0</v>
      </c>
      <c r="AH55">
        <v>3420.6909749229299</v>
      </c>
      <c r="AI55">
        <v>79.652856961012006</v>
      </c>
      <c r="AJ55">
        <v>8.1197146314627702</v>
      </c>
      <c r="AK55">
        <v>407.95888215556198</v>
      </c>
      <c r="AL55">
        <v>7.5752487423523798</v>
      </c>
      <c r="AM55">
        <v>0.84978317504288603</v>
      </c>
      <c r="AN55">
        <v>8696.9953904882404</v>
      </c>
      <c r="AO55">
        <v>312.81140455179002</v>
      </c>
      <c r="AP55">
        <v>31.2811404551788</v>
      </c>
      <c r="AQ55">
        <v>3.01571402123013E-2</v>
      </c>
      <c r="AR55">
        <v>6.2403855714674699E-3</v>
      </c>
      <c r="AS55">
        <v>2.0421109448962201E-2</v>
      </c>
      <c r="AT55">
        <v>9.48</v>
      </c>
      <c r="AU55">
        <v>5.9839010865436899</v>
      </c>
      <c r="AV55">
        <v>0</v>
      </c>
      <c r="AW55">
        <v>85.093037055428994</v>
      </c>
      <c r="AX55">
        <v>66.5334274875284</v>
      </c>
      <c r="AY55">
        <v>361.477358033386</v>
      </c>
      <c r="AZ55">
        <v>0.54833294000258004</v>
      </c>
      <c r="BA55">
        <v>0.84164352306350498</v>
      </c>
      <c r="BB55">
        <v>1.40696476732375E-2</v>
      </c>
      <c r="BC55">
        <v>1.1770220674636701E-3</v>
      </c>
      <c r="BD55">
        <v>0.59776412513535404</v>
      </c>
      <c r="BE55">
        <v>9.2784518943979793E-3</v>
      </c>
      <c r="BF55">
        <v>7.5662518056579596E-4</v>
      </c>
      <c r="BG55">
        <v>766.29999847710098</v>
      </c>
      <c r="BH55">
        <v>-1626.59999865293</v>
      </c>
      <c r="BI55">
        <v>428.95459653074403</v>
      </c>
      <c r="BJ55">
        <v>211.47349084989301</v>
      </c>
      <c r="BK55">
        <v>3.6897681959323099</v>
      </c>
      <c r="BL55">
        <v>4.6989353136643901</v>
      </c>
      <c r="BM55">
        <v>193.216338925553</v>
      </c>
      <c r="BN55">
        <v>22.1423479733314</v>
      </c>
      <c r="BO55">
        <v>215.358686898884</v>
      </c>
      <c r="BP55">
        <v>3.4872163287790099</v>
      </c>
      <c r="BQ55">
        <v>0.293484126328801</v>
      </c>
      <c r="BR55">
        <v>207.78372265396101</v>
      </c>
      <c r="BS55">
        <v>2.20435070551168</v>
      </c>
      <c r="BT55">
        <v>0.29327061114592701</v>
      </c>
      <c r="BU55">
        <v>3.5012246378899001</v>
      </c>
      <c r="BV55">
        <v>1.7107961991291101</v>
      </c>
      <c r="BW55">
        <v>0.52044592155420399</v>
      </c>
      <c r="BX55">
        <v>1.2699825172065899</v>
      </c>
      <c r="BY55">
        <v>0</v>
      </c>
      <c r="BZ55">
        <v>3.07606265380215</v>
      </c>
      <c r="CA55">
        <v>0.41115367497685301</v>
      </c>
      <c r="CB55">
        <v>0.294809702924198</v>
      </c>
      <c r="CC55">
        <v>0.247361353699702</v>
      </c>
      <c r="CD55">
        <v>4.6122772629098301E-2</v>
      </c>
      <c r="CE55">
        <v>21.802429585293002</v>
      </c>
      <c r="CF55">
        <v>165.280465981193</v>
      </c>
      <c r="CG55">
        <v>42.208767980451</v>
      </c>
      <c r="CH55">
        <v>0.40484184686347602</v>
      </c>
      <c r="CI55">
        <v>7.2401881456403103</v>
      </c>
      <c r="CJ55">
        <v>1.7245189942072301</v>
      </c>
      <c r="CK55">
        <v>9.6403110976749904</v>
      </c>
      <c r="CL55">
        <v>1.51815465037567</v>
      </c>
      <c r="CM55">
        <v>9.8828922458154694E-2</v>
      </c>
      <c r="CN55">
        <v>4.5414718607779701E-2</v>
      </c>
      <c r="CO55">
        <v>0.59508723665117402</v>
      </c>
      <c r="CP55">
        <v>0.73548317302867805</v>
      </c>
      <c r="CQ55">
        <v>0.15181546503756599</v>
      </c>
      <c r="CR55">
        <v>42.503256672767698</v>
      </c>
      <c r="CS55">
        <v>1.52874674768423</v>
      </c>
      <c r="CT55">
        <v>0.15287467476842201</v>
      </c>
      <c r="CU55">
        <v>1.4699999999997699E-2</v>
      </c>
      <c r="CV55">
        <v>2.0864196587031601E-3</v>
      </c>
      <c r="CW55">
        <v>2.2306652929017501</v>
      </c>
      <c r="CX55">
        <v>2.02999999999968E-2</v>
      </c>
      <c r="CY55">
        <v>5.9937252848119198E-3</v>
      </c>
      <c r="CZ55">
        <v>0</v>
      </c>
      <c r="DA55">
        <v>2.3999991000027798E-3</v>
      </c>
      <c r="DB55">
        <v>1.49603933399289E-3</v>
      </c>
      <c r="DC55">
        <v>1.99999999999969E-3</v>
      </c>
      <c r="DD55">
        <v>3.43848020429174E-3</v>
      </c>
      <c r="DE55">
        <v>1.0050327175162E-3</v>
      </c>
      <c r="DF55">
        <v>2.3999990999999401E-3</v>
      </c>
      <c r="DG55">
        <v>0</v>
      </c>
      <c r="DH55">
        <v>0</v>
      </c>
      <c r="DI55">
        <v>0.23180769399996401</v>
      </c>
      <c r="DJ55">
        <v>1.8846155199997001E-2</v>
      </c>
      <c r="DK55">
        <v>2.4381173322811098</v>
      </c>
      <c r="DL55">
        <v>0.159146039966129</v>
      </c>
      <c r="DM55">
        <v>68.700993749095005</v>
      </c>
      <c r="DN55">
        <v>229.034345466384</v>
      </c>
      <c r="DO55">
        <v>327.66000000000003</v>
      </c>
      <c r="DP55">
        <v>29.897307871059699</v>
      </c>
      <c r="DQ55">
        <v>157.94999999999899</v>
      </c>
      <c r="DR55">
        <v>169.71</v>
      </c>
      <c r="DS55">
        <v>156.225819295056</v>
      </c>
      <c r="DT55">
        <v>0</v>
      </c>
      <c r="DU55">
        <v>0</v>
      </c>
      <c r="DV55">
        <v>0</v>
      </c>
      <c r="DW55">
        <v>0</v>
      </c>
      <c r="DX55">
        <v>0</v>
      </c>
      <c r="DY55">
        <v>0</v>
      </c>
      <c r="DZ55">
        <v>0</v>
      </c>
      <c r="EA55">
        <v>0</v>
      </c>
      <c r="EB55">
        <v>0</v>
      </c>
      <c r="EC55">
        <v>0</v>
      </c>
      <c r="ED55">
        <v>0</v>
      </c>
      <c r="EE55">
        <v>0</v>
      </c>
      <c r="EF55">
        <v>1.2683982394026401</v>
      </c>
      <c r="EG55">
        <v>0</v>
      </c>
      <c r="EH55">
        <v>0</v>
      </c>
      <c r="EI55">
        <v>0</v>
      </c>
      <c r="EJ55">
        <v>0</v>
      </c>
      <c r="EK55">
        <v>0</v>
      </c>
      <c r="EL55">
        <v>0</v>
      </c>
      <c r="EM55">
        <v>0</v>
      </c>
      <c r="EN55">
        <v>0</v>
      </c>
      <c r="EO55">
        <v>0</v>
      </c>
      <c r="EP55">
        <v>0</v>
      </c>
      <c r="EQ55">
        <v>0</v>
      </c>
      <c r="ER55">
        <v>0</v>
      </c>
      <c r="ES55">
        <v>0</v>
      </c>
      <c r="ET55">
        <v>0</v>
      </c>
      <c r="EU55">
        <v>0</v>
      </c>
      <c r="EV55">
        <v>822.58693260053496</v>
      </c>
      <c r="EW55">
        <v>-28.649999999999899</v>
      </c>
      <c r="EX55">
        <v>1486.6304833061999</v>
      </c>
      <c r="EY55">
        <v>839.50119659871302</v>
      </c>
      <c r="EZ55">
        <v>91.521241266113094</v>
      </c>
      <c r="FA55">
        <v>672.59303808888103</v>
      </c>
      <c r="FB55">
        <v>722.51617431640602</v>
      </c>
      <c r="FC55">
        <v>0.39473111358074597</v>
      </c>
      <c r="FD55">
        <v>0.71987488765290597</v>
      </c>
      <c r="FE55">
        <v>0</v>
      </c>
      <c r="FF55">
        <v>1</v>
      </c>
      <c r="FG55" s="159">
        <v>5.8993782649632203E-13</v>
      </c>
      <c r="FH55">
        <v>0</v>
      </c>
      <c r="FI55">
        <v>5.4512674794765098E-5</v>
      </c>
      <c r="FJ55">
        <v>-5.1665848880603797E-3</v>
      </c>
      <c r="FK55" s="159">
        <v>6.57534000000779E-6</v>
      </c>
      <c r="FL55" s="159">
        <v>2.4556209007888802E-6</v>
      </c>
      <c r="FM55" s="159">
        <v>4.0985734806584702E-6</v>
      </c>
      <c r="FN55">
        <v>0</v>
      </c>
      <c r="FO55">
        <v>0</v>
      </c>
      <c r="FP55">
        <v>0</v>
      </c>
      <c r="FQ55">
        <v>0</v>
      </c>
      <c r="FR55">
        <v>0</v>
      </c>
      <c r="FS55">
        <v>0</v>
      </c>
      <c r="FT55">
        <v>0</v>
      </c>
      <c r="FU55">
        <v>0</v>
      </c>
      <c r="FV55">
        <v>-999</v>
      </c>
      <c r="FW55">
        <v>0.48627790127703602</v>
      </c>
      <c r="FX55">
        <v>3.22079290346892E-3</v>
      </c>
      <c r="FY55">
        <v>1.21361360212376</v>
      </c>
      <c r="FZ55">
        <v>9.2805624840358104E-4</v>
      </c>
      <c r="GA55">
        <v>42.187517832181399</v>
      </c>
      <c r="GB55">
        <v>1.06282701775323E-2</v>
      </c>
      <c r="GC55">
        <v>2.87250545338712E-3</v>
      </c>
      <c r="GD55">
        <v>0</v>
      </c>
      <c r="GE55">
        <v>7.0213546052596302E-3</v>
      </c>
      <c r="GF55">
        <v>0.39502792188824998</v>
      </c>
      <c r="GG55">
        <v>5.5957697491650603E-4</v>
      </c>
      <c r="GH55">
        <v>9.4104527674053005E-3</v>
      </c>
      <c r="GI55">
        <v>1.8492613827308799E-2</v>
      </c>
      <c r="GJ55">
        <v>9.1053669553390097E-4</v>
      </c>
      <c r="GK55">
        <v>1.76743821302375E-3</v>
      </c>
      <c r="GL55">
        <v>0.39972131390597099</v>
      </c>
      <c r="GM55">
        <v>6.6827002680843999E-3</v>
      </c>
      <c r="GN55">
        <v>5.5372137762999397E-4</v>
      </c>
      <c r="GO55">
        <v>0</v>
      </c>
      <c r="GP55">
        <v>0</v>
      </c>
      <c r="GQ55">
        <v>0</v>
      </c>
      <c r="GR55">
        <v>6.1101506923288799E-2</v>
      </c>
      <c r="GS55">
        <v>1.1345729526241299E-3</v>
      </c>
      <c r="GT55">
        <v>1.27275161356526E-4</v>
      </c>
      <c r="GU55">
        <v>3.8500842356086598E-2</v>
      </c>
      <c r="GV55">
        <v>7.1490895380539599E-4</v>
      </c>
      <c r="GW55">
        <v>8.0197709843476701E-5</v>
      </c>
      <c r="GX55">
        <v>0.122835868980917</v>
      </c>
      <c r="GY55">
        <v>0.133402303462726</v>
      </c>
      <c r="GZ55">
        <v>58.94930467679</v>
      </c>
      <c r="HA55">
        <v>676.68893224489796</v>
      </c>
      <c r="HB55">
        <v>0</v>
      </c>
      <c r="HC55">
        <v>0.99981306829635597</v>
      </c>
      <c r="HD55">
        <v>0.42207079801844999</v>
      </c>
      <c r="HE55">
        <v>1.0958451298329499E-2</v>
      </c>
      <c r="HF55">
        <v>9.4878606706811199E-4</v>
      </c>
      <c r="HG55">
        <v>1.30623548596703E-2</v>
      </c>
      <c r="HH55" s="159">
        <v>4.7618771817502201E-7</v>
      </c>
      <c r="HI55" s="159">
        <v>3.3333254411451202E-7</v>
      </c>
      <c r="HJ55">
        <v>0</v>
      </c>
      <c r="HK55">
        <v>0</v>
      </c>
      <c r="HL55">
        <v>0</v>
      </c>
      <c r="HM55">
        <v>0</v>
      </c>
      <c r="HN55">
        <v>0</v>
      </c>
      <c r="HO55">
        <v>1.1554504664728699E-2</v>
      </c>
      <c r="HP55">
        <v>0.55547310148117701</v>
      </c>
      <c r="HQ55">
        <v>1.0958451298329499E-2</v>
      </c>
      <c r="HR55">
        <v>9.4878606706811199E-4</v>
      </c>
      <c r="HS55">
        <v>0.72000292826826195</v>
      </c>
      <c r="HT55">
        <v>-999</v>
      </c>
      <c r="HU55">
        <v>1</v>
      </c>
      <c r="HV55">
        <v>0.80118175032260797</v>
      </c>
      <c r="HW55">
        <v>0.19881824967739101</v>
      </c>
      <c r="HX55">
        <v>12525.645247566699</v>
      </c>
      <c r="HY55">
        <v>400.03951025515403</v>
      </c>
      <c r="HZ55">
        <v>40.250638261684401</v>
      </c>
      <c r="IA55">
        <v>-0.133402303462726</v>
      </c>
      <c r="IB55">
        <v>0</v>
      </c>
      <c r="IC55">
        <v>0</v>
      </c>
      <c r="ID55">
        <v>0</v>
      </c>
      <c r="IE55">
        <v>0</v>
      </c>
      <c r="IF55">
        <v>0</v>
      </c>
      <c r="IG55">
        <v>0</v>
      </c>
      <c r="IH55">
        <v>0</v>
      </c>
      <c r="II55">
        <v>46.337800049999601</v>
      </c>
      <c r="IJ55">
        <v>463.37800049999902</v>
      </c>
      <c r="IK55">
        <v>1.0602442637987101E-2</v>
      </c>
      <c r="IL55">
        <v>2.31656434029267E-3</v>
      </c>
      <c r="IM55">
        <v>1.2919006978279701E-2</v>
      </c>
      <c r="IN55">
        <v>9.1128221893364597E-4</v>
      </c>
      <c r="IO55">
        <v>0.42401482022722298</v>
      </c>
      <c r="IP55">
        <v>1.88192331174384E-2</v>
      </c>
      <c r="IQ55">
        <v>1.6300204436071699E-3</v>
      </c>
      <c r="IR55">
        <v>0.29302504474336799</v>
      </c>
      <c r="IS55">
        <v>0.23746367994518899</v>
      </c>
      <c r="IT55">
        <v>0.27416124548252901</v>
      </c>
      <c r="IU55">
        <v>0.29976785855828902</v>
      </c>
      <c r="IV55">
        <v>1.43503487676251E-2</v>
      </c>
      <c r="IW55">
        <v>1.18313200862585E-3</v>
      </c>
      <c r="IX55">
        <v>7.4934027623696095E-2</v>
      </c>
      <c r="IY55">
        <v>2.6952087907655101E-3</v>
      </c>
      <c r="IZ55">
        <v>2.69520879076549E-4</v>
      </c>
      <c r="JA55">
        <v>7.5059726072549696E-2</v>
      </c>
      <c r="JB55">
        <v>2.69972988185162E-3</v>
      </c>
      <c r="JC55">
        <v>2.6997298818516E-4</v>
      </c>
      <c r="JD55">
        <v>1.7641393360711601E-4</v>
      </c>
      <c r="JE55">
        <v>3.24303715453022E-3</v>
      </c>
      <c r="JF55" s="159">
        <v>1.3620289791849099E-18</v>
      </c>
      <c r="JG55">
        <v>0</v>
      </c>
      <c r="JH55">
        <v>4.1310716711969496E-3</v>
      </c>
      <c r="JI55">
        <v>5.4182277787736296E-4</v>
      </c>
      <c r="JJ55">
        <v>-0.50822988809356495</v>
      </c>
      <c r="JK55">
        <v>1.7641393360711601E-4</v>
      </c>
      <c r="JL55" s="159">
        <v>6.5753399999999896E-6</v>
      </c>
      <c r="JM55">
        <v>-0.50822988809356495</v>
      </c>
      <c r="JN55">
        <v>0</v>
      </c>
      <c r="JO55">
        <v>1.48345855765101</v>
      </c>
      <c r="JP55">
        <v>-1.45511072514985E-2</v>
      </c>
      <c r="JQ55">
        <v>9.6151889570789302E-4</v>
      </c>
      <c r="JR55">
        <v>2.7352913460646201E-2</v>
      </c>
      <c r="JS55">
        <v>1562.0174005486399</v>
      </c>
      <c r="JT55">
        <v>4.5658183026624402E-2</v>
      </c>
      <c r="JU55">
        <v>0</v>
      </c>
      <c r="JV55">
        <v>365</v>
      </c>
      <c r="JW55">
        <v>0</v>
      </c>
      <c r="JX55">
        <v>-0.40268092994350901</v>
      </c>
      <c r="JY55">
        <v>0</v>
      </c>
      <c r="JZ55">
        <v>1.3218687375526099</v>
      </c>
      <c r="KA55">
        <v>1.4035477826899001</v>
      </c>
      <c r="KB55">
        <v>1.4327408745266801</v>
      </c>
      <c r="KC55">
        <v>0</v>
      </c>
      <c r="KD55">
        <v>0</v>
      </c>
      <c r="KE55">
        <v>0</v>
      </c>
      <c r="KF55">
        <v>3.57335021745897E-3</v>
      </c>
      <c r="KG55">
        <v>2.24913904343872E-2</v>
      </c>
      <c r="KH55">
        <v>3.8513512928411403E-2</v>
      </c>
      <c r="KI55">
        <v>0</v>
      </c>
      <c r="KJ55">
        <v>0</v>
      </c>
      <c r="KK55">
        <v>0</v>
      </c>
      <c r="KL55">
        <v>0</v>
      </c>
      <c r="KM55">
        <v>0</v>
      </c>
      <c r="KN55">
        <v>0</v>
      </c>
      <c r="KO55">
        <v>0</v>
      </c>
      <c r="KP55">
        <v>0</v>
      </c>
      <c r="KQ55">
        <v>0</v>
      </c>
      <c r="KR55">
        <v>0</v>
      </c>
      <c r="KS55">
        <v>0</v>
      </c>
      <c r="KT55">
        <v>0</v>
      </c>
      <c r="KU55">
        <v>0.34999999999999898</v>
      </c>
      <c r="KV55">
        <v>-0.11471345586939501</v>
      </c>
      <c r="KW55">
        <v>1.8201111066590699E-3</v>
      </c>
      <c r="KX55">
        <v>33629.651904443999</v>
      </c>
      <c r="KY55">
        <v>0</v>
      </c>
      <c r="KZ55">
        <v>0.21036627798857299</v>
      </c>
      <c r="LA55">
        <v>1.73602675993533E-5</v>
      </c>
      <c r="LB55">
        <v>0</v>
      </c>
      <c r="LC55">
        <v>-12.139782192544001</v>
      </c>
      <c r="LD55">
        <v>1.5716096958088701E-2</v>
      </c>
      <c r="LE55">
        <v>3.4114122246120099E-3</v>
      </c>
      <c r="LF55">
        <v>1.5716096958088701E-2</v>
      </c>
      <c r="LG55">
        <v>0.95032987839315197</v>
      </c>
      <c r="LH55">
        <v>1.2378748618104001</v>
      </c>
      <c r="LI55">
        <v>0</v>
      </c>
      <c r="LJ55">
        <v>0</v>
      </c>
      <c r="LK55">
        <v>0.24312296301551101</v>
      </c>
      <c r="LL55">
        <v>0</v>
      </c>
      <c r="LM55">
        <v>0</v>
      </c>
      <c r="LN55">
        <v>0</v>
      </c>
      <c r="LO55">
        <v>0</v>
      </c>
      <c r="LP55">
        <v>0</v>
      </c>
      <c r="LQ55">
        <v>0</v>
      </c>
      <c r="LR55">
        <v>0</v>
      </c>
      <c r="LS55">
        <v>0</v>
      </c>
      <c r="LT55">
        <v>-999</v>
      </c>
      <c r="LU55">
        <v>0.42566080473850099</v>
      </c>
      <c r="LV55">
        <v>54</v>
      </c>
      <c r="LW55">
        <v>209.88</v>
      </c>
      <c r="LX55">
        <v>1.9609999999999901</v>
      </c>
      <c r="LY55">
        <v>0</v>
      </c>
      <c r="LZ55">
        <v>-999</v>
      </c>
      <c r="MA55">
        <v>0</v>
      </c>
      <c r="MB55">
        <v>0</v>
      </c>
      <c r="MC55">
        <v>609.88</v>
      </c>
      <c r="MD55">
        <v>-23.6999999999999</v>
      </c>
      <c r="ME55">
        <v>-33.6</v>
      </c>
      <c r="MF55">
        <v>0</v>
      </c>
      <c r="MG55">
        <v>8.0706896550000007</v>
      </c>
      <c r="MH55">
        <v>0</v>
      </c>
      <c r="MI55">
        <v>0</v>
      </c>
      <c r="MJ55">
        <v>0</v>
      </c>
      <c r="MK55">
        <v>0</v>
      </c>
      <c r="ML55">
        <v>0</v>
      </c>
      <c r="MM55">
        <v>0</v>
      </c>
      <c r="MN55">
        <v>0</v>
      </c>
      <c r="MO55">
        <v>0</v>
      </c>
      <c r="MP55">
        <v>0</v>
      </c>
      <c r="MQ55">
        <v>0</v>
      </c>
      <c r="MR55">
        <v>0</v>
      </c>
      <c r="MS55">
        <v>0</v>
      </c>
      <c r="MT55">
        <v>0</v>
      </c>
      <c r="MU55">
        <v>0</v>
      </c>
      <c r="MV55">
        <v>0</v>
      </c>
    </row>
    <row r="56" spans="1:360" x14ac:dyDescent="0.25">
      <c r="A56">
        <v>20075</v>
      </c>
      <c r="B56">
        <v>0</v>
      </c>
      <c r="C56">
        <v>-33.6</v>
      </c>
      <c r="D56">
        <v>-23.6999999999999</v>
      </c>
      <c r="E56">
        <v>400</v>
      </c>
      <c r="F56">
        <v>0</v>
      </c>
      <c r="G56">
        <v>0</v>
      </c>
      <c r="H56">
        <v>0</v>
      </c>
      <c r="I56">
        <v>0</v>
      </c>
      <c r="J56">
        <v>0</v>
      </c>
      <c r="K56">
        <v>0</v>
      </c>
      <c r="L56" s="159">
        <v>6.5753399999999896E-6</v>
      </c>
      <c r="M56">
        <v>0</v>
      </c>
      <c r="N56">
        <v>0</v>
      </c>
      <c r="O56">
        <v>0</v>
      </c>
      <c r="P56">
        <v>0</v>
      </c>
      <c r="Q56">
        <v>0</v>
      </c>
      <c r="R56">
        <v>0</v>
      </c>
      <c r="S56">
        <v>0</v>
      </c>
      <c r="T56">
        <v>0</v>
      </c>
      <c r="U56">
        <v>706.95086341307001</v>
      </c>
      <c r="V56">
        <v>14.003748195266301</v>
      </c>
      <c r="W56">
        <v>1.35495095718257</v>
      </c>
      <c r="X56">
        <v>0.31486146245700602</v>
      </c>
      <c r="Y56">
        <v>0.27328848872029299</v>
      </c>
      <c r="Z56">
        <v>0.41185004882269899</v>
      </c>
      <c r="AA56">
        <v>0.112424483480653</v>
      </c>
      <c r="AB56">
        <v>0.51739540933136097</v>
      </c>
      <c r="AC56">
        <v>0.370180107187985</v>
      </c>
      <c r="AD56">
        <v>0.88456150738643402</v>
      </c>
      <c r="AE56">
        <v>4.0974893378599699E-2</v>
      </c>
      <c r="AF56">
        <v>7.4463599234965303E-2</v>
      </c>
      <c r="AG56">
        <v>0</v>
      </c>
      <c r="AH56">
        <v>3421.3206018553401</v>
      </c>
      <c r="AI56">
        <v>79.628586978575797</v>
      </c>
      <c r="AJ56">
        <v>8.1203023712240991</v>
      </c>
      <c r="AK56">
        <v>408.296698051786</v>
      </c>
      <c r="AL56">
        <v>7.5815215300154097</v>
      </c>
      <c r="AM56">
        <v>0.85048684954889298</v>
      </c>
      <c r="AN56">
        <v>8696.7008117458099</v>
      </c>
      <c r="AO56">
        <v>312.80080921558101</v>
      </c>
      <c r="AP56">
        <v>31.280080921557801</v>
      </c>
      <c r="AQ56">
        <v>3.01784125085015E-2</v>
      </c>
      <c r="AR56">
        <v>6.2468931189517997E-3</v>
      </c>
      <c r="AS56">
        <v>2.0336526773528998E-2</v>
      </c>
      <c r="AT56">
        <v>9.48</v>
      </c>
      <c r="AU56">
        <v>5.98340568860913</v>
      </c>
      <c r="AV56">
        <v>0</v>
      </c>
      <c r="AW56">
        <v>85.111945941251705</v>
      </c>
      <c r="AX56">
        <v>66.541000533893694</v>
      </c>
      <c r="AY56">
        <v>361.47539380392402</v>
      </c>
      <c r="AZ56">
        <v>0.54833294000258104</v>
      </c>
      <c r="BA56">
        <v>0.84220314643157301</v>
      </c>
      <c r="BB56">
        <v>1.4076639161215E-2</v>
      </c>
      <c r="BC56">
        <v>1.17768058638951E-3</v>
      </c>
      <c r="BD56">
        <v>0.59796060738951995</v>
      </c>
      <c r="BE56">
        <v>9.2815039421852395E-3</v>
      </c>
      <c r="BF56">
        <v>7.5677027621059295E-4</v>
      </c>
      <c r="BG56">
        <v>766.29999847710098</v>
      </c>
      <c r="BH56">
        <v>-1626.59999865293</v>
      </c>
      <c r="BI56">
        <v>429.20946402088202</v>
      </c>
      <c r="BJ56">
        <v>211.55062379393499</v>
      </c>
      <c r="BK56">
        <v>3.6848508655135901</v>
      </c>
      <c r="BL56">
        <v>4.7040165353298704</v>
      </c>
      <c r="BM56">
        <v>193.29435882262601</v>
      </c>
      <c r="BN56">
        <v>22.1588976640152</v>
      </c>
      <c r="BO56">
        <v>215.45325648664101</v>
      </c>
      <c r="BP56">
        <v>3.4890762859440199</v>
      </c>
      <c r="BQ56">
        <v>0.29365310936757899</v>
      </c>
      <c r="BR56">
        <v>207.86577292842199</v>
      </c>
      <c r="BS56">
        <v>2.2047212522208799</v>
      </c>
      <c r="BT56">
        <v>0.29342122872108301</v>
      </c>
      <c r="BU56">
        <v>3.5029585354724602</v>
      </c>
      <c r="BV56">
        <v>1.7120522278210699</v>
      </c>
      <c r="BW56">
        <v>0.51955048729196096</v>
      </c>
      <c r="BX56">
        <v>1.27135582035942</v>
      </c>
      <c r="BY56">
        <v>0</v>
      </c>
      <c r="BZ56">
        <v>3.0776153054297199</v>
      </c>
      <c r="CA56">
        <v>0.41146098051430202</v>
      </c>
      <c r="CB56">
        <v>0.29497245880055301</v>
      </c>
      <c r="CC56">
        <v>0.24749586353711001</v>
      </c>
      <c r="CD56">
        <v>4.6157245830468201E-2</v>
      </c>
      <c r="CE56">
        <v>21.821081767792201</v>
      </c>
      <c r="CF56">
        <v>165.36293032534601</v>
      </c>
      <c r="CG56">
        <v>42.208263860660999</v>
      </c>
      <c r="CH56">
        <v>0.40518819285127</v>
      </c>
      <c r="CI56">
        <v>7.2456427650700403</v>
      </c>
      <c r="CJ56">
        <v>1.7255594779835199</v>
      </c>
      <c r="CK56">
        <v>9.6471916407476908</v>
      </c>
      <c r="CL56">
        <v>1.51813651831827</v>
      </c>
      <c r="CM56">
        <v>9.8988381829918107E-2</v>
      </c>
      <c r="CN56">
        <v>4.5453571324460103E-2</v>
      </c>
      <c r="CO56">
        <v>0.59261460267598198</v>
      </c>
      <c r="CP56">
        <v>0.73316264594439395</v>
      </c>
      <c r="CQ56">
        <v>0.15181365183182599</v>
      </c>
      <c r="CR56">
        <v>42.502842603075003</v>
      </c>
      <c r="CS56">
        <v>1.5287318545267301</v>
      </c>
      <c r="CT56">
        <v>0.15287318545267201</v>
      </c>
      <c r="CU56">
        <v>1.4699999999999399E-2</v>
      </c>
      <c r="CV56">
        <v>2.0896910162070798E-3</v>
      </c>
      <c r="CW56">
        <v>2.23081753907092</v>
      </c>
      <c r="CX56">
        <v>2.02999999999991E-2</v>
      </c>
      <c r="CY56">
        <v>6.0010662479552902E-3</v>
      </c>
      <c r="CZ56">
        <v>0</v>
      </c>
      <c r="DA56">
        <v>2.3999991000029398E-3</v>
      </c>
      <c r="DB56">
        <v>1.49591605153695E-3</v>
      </c>
      <c r="DC56">
        <v>1.9999999999999098E-3</v>
      </c>
      <c r="DD56">
        <v>3.4287496305019502E-3</v>
      </c>
      <c r="DE56">
        <v>1.0005181170006101E-3</v>
      </c>
      <c r="DF56">
        <v>2.3999991000000901E-3</v>
      </c>
      <c r="DG56">
        <v>0</v>
      </c>
      <c r="DH56">
        <v>0</v>
      </c>
      <c r="DI56">
        <v>0.23180769399998999</v>
      </c>
      <c r="DJ56">
        <v>1.8846155199999201E-2</v>
      </c>
      <c r="DK56">
        <v>2.44241063066471</v>
      </c>
      <c r="DL56">
        <v>0.15942628137498099</v>
      </c>
      <c r="DM56">
        <v>68.305850578515305</v>
      </c>
      <c r="DN56">
        <v>229.461080754649</v>
      </c>
      <c r="DO56">
        <v>327.66000000000003</v>
      </c>
      <c r="DP56">
        <v>29.8665936336036</v>
      </c>
      <c r="DQ56">
        <v>157.94999999999899</v>
      </c>
      <c r="DR56">
        <v>169.71</v>
      </c>
      <c r="DS56">
        <v>156.24651614440299</v>
      </c>
      <c r="DT56">
        <v>0</v>
      </c>
      <c r="DU56">
        <v>0</v>
      </c>
      <c r="DV56">
        <v>0</v>
      </c>
      <c r="DW56">
        <v>0</v>
      </c>
      <c r="DX56">
        <v>0</v>
      </c>
      <c r="DY56">
        <v>0</v>
      </c>
      <c r="DZ56">
        <v>0</v>
      </c>
      <c r="EA56">
        <v>0</v>
      </c>
      <c r="EB56">
        <v>0</v>
      </c>
      <c r="EC56">
        <v>0</v>
      </c>
      <c r="ED56">
        <v>0</v>
      </c>
      <c r="EE56">
        <v>0</v>
      </c>
      <c r="EF56">
        <v>1.26759898326349</v>
      </c>
      <c r="EG56">
        <v>0</v>
      </c>
      <c r="EH56">
        <v>0</v>
      </c>
      <c r="EI56">
        <v>0</v>
      </c>
      <c r="EJ56">
        <v>0</v>
      </c>
      <c r="EK56">
        <v>0</v>
      </c>
      <c r="EL56">
        <v>0</v>
      </c>
      <c r="EM56">
        <v>0</v>
      </c>
      <c r="EN56">
        <v>0</v>
      </c>
      <c r="EO56">
        <v>0</v>
      </c>
      <c r="EP56">
        <v>0</v>
      </c>
      <c r="EQ56">
        <v>0</v>
      </c>
      <c r="ER56">
        <v>0</v>
      </c>
      <c r="ES56">
        <v>0</v>
      </c>
      <c r="ET56">
        <v>0</v>
      </c>
      <c r="EU56">
        <v>0</v>
      </c>
      <c r="EV56">
        <v>823.42914846887402</v>
      </c>
      <c r="EW56">
        <v>-28.649999999999899</v>
      </c>
      <c r="EX56">
        <v>1488.31760718541</v>
      </c>
      <c r="EY56">
        <v>839.99681135808601</v>
      </c>
      <c r="EZ56">
        <v>91.339337128237403</v>
      </c>
      <c r="FA56">
        <v>673.420393155292</v>
      </c>
      <c r="FB56">
        <v>723.557861328125</v>
      </c>
      <c r="FC56">
        <v>0.39394656103408798</v>
      </c>
      <c r="FD56">
        <v>0.71844409170864998</v>
      </c>
      <c r="FE56">
        <v>0</v>
      </c>
      <c r="FF56">
        <v>1</v>
      </c>
      <c r="FG56" s="159">
        <v>5.8996320344072397E-13</v>
      </c>
      <c r="FH56">
        <v>0</v>
      </c>
      <c r="FI56">
        <v>5.4512674794765098E-5</v>
      </c>
      <c r="FJ56">
        <v>-5.1568082604787503E-3</v>
      </c>
      <c r="FK56" s="159">
        <v>6.57534000000779E-6</v>
      </c>
      <c r="FL56" s="159">
        <v>2.4453967996608101E-6</v>
      </c>
      <c r="FM56" s="159">
        <v>4.0982341660863199E-6</v>
      </c>
      <c r="FN56">
        <v>0</v>
      </c>
      <c r="FO56">
        <v>0</v>
      </c>
      <c r="FP56">
        <v>0</v>
      </c>
      <c r="FQ56">
        <v>0</v>
      </c>
      <c r="FR56">
        <v>0</v>
      </c>
      <c r="FS56">
        <v>0</v>
      </c>
      <c r="FT56">
        <v>0</v>
      </c>
      <c r="FU56">
        <v>0</v>
      </c>
      <c r="FV56">
        <v>-999</v>
      </c>
      <c r="FW56">
        <v>0.48661904265406097</v>
      </c>
      <c r="FX56">
        <v>3.2219649909794499E-3</v>
      </c>
      <c r="FY56">
        <v>1.2148203695808499</v>
      </c>
      <c r="FZ56">
        <v>9.2649560895728602E-4</v>
      </c>
      <c r="GA56">
        <v>42.157533999878503</v>
      </c>
      <c r="GB56">
        <v>1.06306840733131E-2</v>
      </c>
      <c r="GC56">
        <v>2.87315785765219E-3</v>
      </c>
      <c r="GD56">
        <v>0</v>
      </c>
      <c r="GE56">
        <v>7.0216184575889401E-3</v>
      </c>
      <c r="GF56">
        <v>0.39338320326718701</v>
      </c>
      <c r="GG56">
        <v>5.5963632269500805E-4</v>
      </c>
      <c r="GH56">
        <v>9.4091127644113301E-3</v>
      </c>
      <c r="GI56">
        <v>1.8489715719410001E-2</v>
      </c>
      <c r="GJ56">
        <v>9.1039100165249702E-4</v>
      </c>
      <c r="GK56">
        <v>1.7672212861274E-3</v>
      </c>
      <c r="GL56">
        <v>0.40015439380738999</v>
      </c>
      <c r="GM56">
        <v>6.6900820915188099E-3</v>
      </c>
      <c r="GN56">
        <v>5.5432037926772396E-4</v>
      </c>
      <c r="GO56">
        <v>0</v>
      </c>
      <c r="GP56">
        <v>0</v>
      </c>
      <c r="GQ56">
        <v>0</v>
      </c>
      <c r="GR56">
        <v>6.1145537578656199E-2</v>
      </c>
      <c r="GS56">
        <v>1.1353905427815901E-3</v>
      </c>
      <c r="GT56">
        <v>1.27366877732254E-4</v>
      </c>
      <c r="GU56">
        <v>3.8532876363676097E-2</v>
      </c>
      <c r="GV56">
        <v>7.1550378231953905E-4</v>
      </c>
      <c r="GW56">
        <v>8.0264437060040194E-5</v>
      </c>
      <c r="GX56">
        <v>0.122980169945336</v>
      </c>
      <c r="GY56">
        <v>0.133545284297103</v>
      </c>
      <c r="GZ56">
        <v>58.948507386517299</v>
      </c>
      <c r="HA56">
        <v>676.70317531850401</v>
      </c>
      <c r="HB56">
        <v>0</v>
      </c>
      <c r="HC56">
        <v>0.99981306832656403</v>
      </c>
      <c r="HD56">
        <v>0.42250536222406998</v>
      </c>
      <c r="HE56">
        <v>1.09698668770545E-2</v>
      </c>
      <c r="HF56">
        <v>9.4976610033656696E-4</v>
      </c>
      <c r="HG56">
        <v>1.30806912986886E-2</v>
      </c>
      <c r="HH56" s="159">
        <v>4.76187722707588E-7</v>
      </c>
      <c r="HI56" s="159">
        <v>3.3333254407398499E-7</v>
      </c>
      <c r="HJ56">
        <v>0</v>
      </c>
      <c r="HK56">
        <v>0</v>
      </c>
      <c r="HL56">
        <v>0</v>
      </c>
      <c r="HM56">
        <v>0</v>
      </c>
      <c r="HN56">
        <v>0</v>
      </c>
      <c r="HO56">
        <v>1.1570720345706701E-2</v>
      </c>
      <c r="HP56">
        <v>0.55605064652117298</v>
      </c>
      <c r="HQ56">
        <v>1.09698668770545E-2</v>
      </c>
      <c r="HR56">
        <v>9.4976610033656696E-4</v>
      </c>
      <c r="HS56">
        <v>0.71975233315157205</v>
      </c>
      <c r="HT56">
        <v>-999</v>
      </c>
      <c r="HU56">
        <v>1</v>
      </c>
      <c r="HV56">
        <v>0.801693987464693</v>
      </c>
      <c r="HW56">
        <v>0.198306012535306</v>
      </c>
      <c r="HX56">
        <v>12526.318111652899</v>
      </c>
      <c r="HY56">
        <v>400.01091772417197</v>
      </c>
      <c r="HZ56">
        <v>40.250870142330797</v>
      </c>
      <c r="IA56">
        <v>-0.133545284297103</v>
      </c>
      <c r="IB56">
        <v>0</v>
      </c>
      <c r="IC56">
        <v>0</v>
      </c>
      <c r="ID56">
        <v>0</v>
      </c>
      <c r="IE56">
        <v>0</v>
      </c>
      <c r="IF56">
        <v>0</v>
      </c>
      <c r="IG56">
        <v>0</v>
      </c>
      <c r="IH56">
        <v>0</v>
      </c>
      <c r="II56">
        <v>46.337800049999601</v>
      </c>
      <c r="IJ56">
        <v>463.37800049999902</v>
      </c>
      <c r="IK56">
        <v>1.06169921428687E-2</v>
      </c>
      <c r="IL56">
        <v>2.3203831131856098E-3</v>
      </c>
      <c r="IM56">
        <v>1.29373752560543E-2</v>
      </c>
      <c r="IN56">
        <v>9.0783325687829395E-4</v>
      </c>
      <c r="IO56">
        <v>0.424094548603415</v>
      </c>
      <c r="IP56">
        <v>1.88361578989934E-2</v>
      </c>
      <c r="IQ56">
        <v>1.6266263583951501E-3</v>
      </c>
      <c r="IR56">
        <v>0.292891790336061</v>
      </c>
      <c r="IS56">
        <v>0.237187012374451</v>
      </c>
      <c r="IT56">
        <v>0.27466000373211202</v>
      </c>
      <c r="IU56">
        <v>0.29988073699119699</v>
      </c>
      <c r="IV56">
        <v>1.43684658823177E-2</v>
      </c>
      <c r="IW56">
        <v>1.17985715672758E-3</v>
      </c>
      <c r="IX56">
        <v>7.4930704572983703E-2</v>
      </c>
      <c r="IY56">
        <v>2.6950892680896702E-3</v>
      </c>
      <c r="IZ56">
        <v>2.6950892680896601E-4</v>
      </c>
      <c r="JA56">
        <v>7.5057481457146302E-2</v>
      </c>
      <c r="JB56">
        <v>2.6996491480734E-3</v>
      </c>
      <c r="JC56">
        <v>2.6996491480733799E-4</v>
      </c>
      <c r="JD56">
        <v>1.7669176567369199E-4</v>
      </c>
      <c r="JE56">
        <v>3.24530942896597E-3</v>
      </c>
      <c r="JF56" s="159">
        <v>9.4867690092481602E-20</v>
      </c>
      <c r="JG56">
        <v>0</v>
      </c>
      <c r="JH56">
        <v>4.1307397743368399E-3</v>
      </c>
      <c r="JI56">
        <v>5.4198881465663195E-4</v>
      </c>
      <c r="JJ56">
        <v>-0.50848350274544596</v>
      </c>
      <c r="JK56">
        <v>1.7669176567369199E-4</v>
      </c>
      <c r="JL56" s="159">
        <v>6.5753399999999896E-6</v>
      </c>
      <c r="JM56">
        <v>-0.50848350274544596</v>
      </c>
      <c r="JN56">
        <v>0</v>
      </c>
      <c r="JO56">
        <v>1.47424792884901</v>
      </c>
      <c r="JP56">
        <v>-1.46825016092276E-2</v>
      </c>
      <c r="JQ56">
        <v>9.7124946949805901E-4</v>
      </c>
      <c r="JR56">
        <v>2.6475033231275001E-2</v>
      </c>
      <c r="JS56">
        <v>1563.55468825872</v>
      </c>
      <c r="JT56">
        <v>4.55674345587809E-2</v>
      </c>
      <c r="JU56">
        <v>0</v>
      </c>
      <c r="JV56">
        <v>365</v>
      </c>
      <c r="JW56">
        <v>0</v>
      </c>
      <c r="JX56">
        <v>-0.40268092994350901</v>
      </c>
      <c r="JY56">
        <v>0</v>
      </c>
      <c r="JZ56">
        <v>1.3222287197403</v>
      </c>
      <c r="KA56">
        <v>1.40373785446479</v>
      </c>
      <c r="KB56">
        <v>1.43316486432375</v>
      </c>
      <c r="KC56">
        <v>0</v>
      </c>
      <c r="KD56">
        <v>0</v>
      </c>
      <c r="KE56">
        <v>0</v>
      </c>
      <c r="KF56">
        <v>3.5748023564353098E-3</v>
      </c>
      <c r="KG56">
        <v>2.2505976263434199E-2</v>
      </c>
      <c r="KH56">
        <v>3.84731784481065E-2</v>
      </c>
      <c r="KI56">
        <v>0</v>
      </c>
      <c r="KJ56">
        <v>0</v>
      </c>
      <c r="KK56">
        <v>0</v>
      </c>
      <c r="KL56">
        <v>0</v>
      </c>
      <c r="KM56">
        <v>0</v>
      </c>
      <c r="KN56">
        <v>0</v>
      </c>
      <c r="KO56">
        <v>0</v>
      </c>
      <c r="KP56">
        <v>0</v>
      </c>
      <c r="KQ56">
        <v>0</v>
      </c>
      <c r="KR56">
        <v>0</v>
      </c>
      <c r="KS56">
        <v>0</v>
      </c>
      <c r="KT56">
        <v>0</v>
      </c>
      <c r="KU56">
        <v>0.34999999999999898</v>
      </c>
      <c r="KV56">
        <v>-0.11463865748742599</v>
      </c>
      <c r="KW56">
        <v>1.8189926812516299E-3</v>
      </c>
      <c r="KX56">
        <v>33671.019657764598</v>
      </c>
      <c r="KY56">
        <v>0</v>
      </c>
      <c r="KZ56">
        <v>0.21037209451481001</v>
      </c>
      <c r="LA56">
        <v>1.73602675993533E-5</v>
      </c>
      <c r="LB56">
        <v>0</v>
      </c>
      <c r="LC56">
        <v>-12.139341677579401</v>
      </c>
      <c r="LD56">
        <v>1.5716355624556502E-2</v>
      </c>
      <c r="LE56">
        <v>3.4116562495816599E-3</v>
      </c>
      <c r="LF56">
        <v>1.5716355624556502E-2</v>
      </c>
      <c r="LG56">
        <v>0.95052438803724704</v>
      </c>
      <c r="LH56">
        <v>1.2380958954968699</v>
      </c>
      <c r="LI56">
        <v>0</v>
      </c>
      <c r="LJ56">
        <v>0</v>
      </c>
      <c r="LK56">
        <v>0.24317698840357599</v>
      </c>
      <c r="LL56">
        <v>0</v>
      </c>
      <c r="LM56">
        <v>0</v>
      </c>
      <c r="LN56">
        <v>0</v>
      </c>
      <c r="LO56">
        <v>0</v>
      </c>
      <c r="LP56">
        <v>0</v>
      </c>
      <c r="LQ56">
        <v>0</v>
      </c>
      <c r="LR56">
        <v>0</v>
      </c>
      <c r="LS56">
        <v>0</v>
      </c>
      <c r="LT56">
        <v>-999</v>
      </c>
      <c r="LU56">
        <v>0.42566249336324602</v>
      </c>
      <c r="LV56">
        <v>55</v>
      </c>
      <c r="LW56">
        <v>213.84</v>
      </c>
      <c r="LX56">
        <v>1.998</v>
      </c>
      <c r="LY56">
        <v>0</v>
      </c>
      <c r="LZ56">
        <v>-999</v>
      </c>
      <c r="MA56">
        <v>0</v>
      </c>
      <c r="MB56">
        <v>0</v>
      </c>
      <c r="MC56">
        <v>613.84</v>
      </c>
      <c r="MD56">
        <v>-23.6999999999999</v>
      </c>
      <c r="ME56">
        <v>-33.6</v>
      </c>
      <c r="MF56">
        <v>0</v>
      </c>
      <c r="MG56">
        <v>8.0706896550000007</v>
      </c>
      <c r="MH56">
        <v>0</v>
      </c>
      <c r="MI56">
        <v>0</v>
      </c>
      <c r="MJ56">
        <v>0</v>
      </c>
      <c r="MK56">
        <v>0</v>
      </c>
      <c r="ML56">
        <v>0</v>
      </c>
      <c r="MM56">
        <v>0</v>
      </c>
      <c r="MN56">
        <v>0</v>
      </c>
      <c r="MO56">
        <v>0</v>
      </c>
      <c r="MP56">
        <v>0</v>
      </c>
      <c r="MQ56">
        <v>0</v>
      </c>
      <c r="MR56">
        <v>0</v>
      </c>
      <c r="MS56">
        <v>0</v>
      </c>
      <c r="MT56">
        <v>0</v>
      </c>
      <c r="MU56">
        <v>0</v>
      </c>
      <c r="MV56">
        <v>0</v>
      </c>
    </row>
    <row r="57" spans="1:360" x14ac:dyDescent="0.25">
      <c r="A57">
        <v>20440</v>
      </c>
      <c r="B57">
        <v>0</v>
      </c>
      <c r="C57">
        <v>-33.6</v>
      </c>
      <c r="D57">
        <v>-23.6999999999999</v>
      </c>
      <c r="E57">
        <v>400</v>
      </c>
      <c r="F57">
        <v>0</v>
      </c>
      <c r="G57">
        <v>0</v>
      </c>
      <c r="H57">
        <v>0</v>
      </c>
      <c r="I57">
        <v>0</v>
      </c>
      <c r="J57">
        <v>0</v>
      </c>
      <c r="K57">
        <v>0</v>
      </c>
      <c r="L57" s="159">
        <v>6.5753399999999896E-6</v>
      </c>
      <c r="M57">
        <v>0</v>
      </c>
      <c r="N57">
        <v>0</v>
      </c>
      <c r="O57">
        <v>0</v>
      </c>
      <c r="P57">
        <v>0</v>
      </c>
      <c r="Q57">
        <v>0</v>
      </c>
      <c r="R57">
        <v>0</v>
      </c>
      <c r="S57">
        <v>0</v>
      </c>
      <c r="T57">
        <v>0</v>
      </c>
      <c r="U57">
        <v>707.73892245023603</v>
      </c>
      <c r="V57">
        <v>14.017489481038</v>
      </c>
      <c r="W57">
        <v>1.35626226056345</v>
      </c>
      <c r="X57">
        <v>0.313662657876489</v>
      </c>
      <c r="Y57">
        <v>0.27302196143430202</v>
      </c>
      <c r="Z57">
        <v>0.41331538068920698</v>
      </c>
      <c r="AA57">
        <v>0.112425942430428</v>
      </c>
      <c r="AB57">
        <v>0.51819475720198105</v>
      </c>
      <c r="AC57">
        <v>0.36937930036758998</v>
      </c>
      <c r="AD57">
        <v>0.88456150820684298</v>
      </c>
      <c r="AE57">
        <v>4.0880027614520101E-2</v>
      </c>
      <c r="AF57">
        <v>7.4558464178636596E-2</v>
      </c>
      <c r="AG57">
        <v>0</v>
      </c>
      <c r="AH57">
        <v>3421.95430493196</v>
      </c>
      <c r="AI57">
        <v>79.604369535710305</v>
      </c>
      <c r="AJ57">
        <v>8.12091435729217</v>
      </c>
      <c r="AK57">
        <v>408.63224990300199</v>
      </c>
      <c r="AL57">
        <v>7.5877522774022204</v>
      </c>
      <c r="AM57">
        <v>0.85118580802238297</v>
      </c>
      <c r="AN57">
        <v>8696.4063342485497</v>
      </c>
      <c r="AO57">
        <v>312.79021752093303</v>
      </c>
      <c r="AP57">
        <v>31.279021752093101</v>
      </c>
      <c r="AQ57">
        <v>3.01991828555657E-2</v>
      </c>
      <c r="AR57">
        <v>6.2532685937469303E-3</v>
      </c>
      <c r="AS57">
        <v>2.0253909805779301E-2</v>
      </c>
      <c r="AT57">
        <v>9.48</v>
      </c>
      <c r="AU57">
        <v>5.9829060002888399</v>
      </c>
      <c r="AV57">
        <v>0</v>
      </c>
      <c r="AW57">
        <v>85.130474098015995</v>
      </c>
      <c r="AX57">
        <v>66.548472733225097</v>
      </c>
      <c r="AY57">
        <v>361.47347272834497</v>
      </c>
      <c r="AZ57">
        <v>0.54833294000258104</v>
      </c>
      <c r="BA57">
        <v>0.84275714044047301</v>
      </c>
      <c r="BB57">
        <v>1.40835329120991E-2</v>
      </c>
      <c r="BC57">
        <v>1.1783311629542301E-3</v>
      </c>
      <c r="BD57">
        <v>0.598152116516249</v>
      </c>
      <c r="BE57">
        <v>9.2844995337782003E-3</v>
      </c>
      <c r="BF57">
        <v>7.5691463241835501E-4</v>
      </c>
      <c r="BG57">
        <v>766.29999847710098</v>
      </c>
      <c r="BH57">
        <v>-1626.59999865293</v>
      </c>
      <c r="BI57">
        <v>429.45933510937698</v>
      </c>
      <c r="BJ57">
        <v>211.62500646754501</v>
      </c>
      <c r="BK57">
        <v>3.6776839117712199</v>
      </c>
      <c r="BL57">
        <v>4.7090995947553296</v>
      </c>
      <c r="BM57">
        <v>193.370871405179</v>
      </c>
      <c r="BN57">
        <v>22.1751756199548</v>
      </c>
      <c r="BO57">
        <v>215.54604702513299</v>
      </c>
      <c r="BP57">
        <v>3.49092318997377</v>
      </c>
      <c r="BQ57">
        <v>0.29382173629629699</v>
      </c>
      <c r="BR57">
        <v>207.94732255577301</v>
      </c>
      <c r="BS57">
        <v>2.20506314491328</v>
      </c>
      <c r="BT57">
        <v>0.29356996121953999</v>
      </c>
      <c r="BU57">
        <v>3.50466447574536</v>
      </c>
      <c r="BV57">
        <v>1.7132890587532801</v>
      </c>
      <c r="BW57">
        <v>0.51864579678793099</v>
      </c>
      <c r="BX57">
        <v>1.27272962020414</v>
      </c>
      <c r="BY57">
        <v>0</v>
      </c>
      <c r="BZ57">
        <v>3.0791599496713999</v>
      </c>
      <c r="CA57">
        <v>0.41176324030236799</v>
      </c>
      <c r="CB57">
        <v>0.29513303967718002</v>
      </c>
      <c r="CC57">
        <v>0.24763058329114401</v>
      </c>
      <c r="CD57">
        <v>4.61911530051533E-2</v>
      </c>
      <c r="CE57">
        <v>21.8396237687395</v>
      </c>
      <c r="CF57">
        <v>165.44488272509199</v>
      </c>
      <c r="CG57">
        <v>42.207962333403799</v>
      </c>
      <c r="CH57">
        <v>0.40553249291556598</v>
      </c>
      <c r="CI57">
        <v>7.2510486242737597</v>
      </c>
      <c r="CJ57">
        <v>1.72658839960747</v>
      </c>
      <c r="CK57">
        <v>9.6539828010868103</v>
      </c>
      <c r="CL57">
        <v>1.51812567305959</v>
      </c>
      <c r="CM57">
        <v>9.9148367809891905E-2</v>
      </c>
      <c r="CN57">
        <v>4.5492194531665302E-2</v>
      </c>
      <c r="CO57">
        <v>0.59019809334440598</v>
      </c>
      <c r="CP57">
        <v>0.73089631779317599</v>
      </c>
      <c r="CQ57">
        <v>0.15181256730595699</v>
      </c>
      <c r="CR57">
        <v>42.502439830681098</v>
      </c>
      <c r="CS57">
        <v>1.5287173677077099</v>
      </c>
      <c r="CT57">
        <v>0.15287173677076901</v>
      </c>
      <c r="CU57">
        <v>1.4700000000001399E-2</v>
      </c>
      <c r="CV57">
        <v>2.0929031051405301E-3</v>
      </c>
      <c r="CW57">
        <v>2.2309488123152699</v>
      </c>
      <c r="CX57">
        <v>2.03000000000019E-2</v>
      </c>
      <c r="CY57">
        <v>6.0082404450713198E-3</v>
      </c>
      <c r="CZ57">
        <v>0</v>
      </c>
      <c r="DA57">
        <v>2.3999991000028501E-3</v>
      </c>
      <c r="DB57">
        <v>1.4957916833779001E-3</v>
      </c>
      <c r="DC57">
        <v>2.00000000000019E-3</v>
      </c>
      <c r="DD57">
        <v>3.41922593038554E-3</v>
      </c>
      <c r="DE57">
        <v>9.9610336310507392E-4</v>
      </c>
      <c r="DF57">
        <v>2.3999990999999999E-3</v>
      </c>
      <c r="DG57">
        <v>0</v>
      </c>
      <c r="DH57">
        <v>0</v>
      </c>
      <c r="DI57">
        <v>0.23180769400002199</v>
      </c>
      <c r="DJ57">
        <v>1.88461552000018E-2</v>
      </c>
      <c r="DK57">
        <v>2.4466551380533201</v>
      </c>
      <c r="DL57">
        <v>0.15970333799303599</v>
      </c>
      <c r="DM57">
        <v>67.914812114447301</v>
      </c>
      <c r="DN57">
        <v>229.88295933471301</v>
      </c>
      <c r="DO57">
        <v>327.66000000000003</v>
      </c>
      <c r="DP57">
        <v>29.836232949754798</v>
      </c>
      <c r="DQ57">
        <v>157.94999999999899</v>
      </c>
      <c r="DR57">
        <v>169.71</v>
      </c>
      <c r="DS57">
        <v>156.26693883532599</v>
      </c>
      <c r="DT57">
        <v>0</v>
      </c>
      <c r="DU57">
        <v>0</v>
      </c>
      <c r="DV57">
        <v>0</v>
      </c>
      <c r="DW57">
        <v>0</v>
      </c>
      <c r="DX57">
        <v>0</v>
      </c>
      <c r="DY57">
        <v>0</v>
      </c>
      <c r="DZ57">
        <v>0</v>
      </c>
      <c r="EA57">
        <v>0</v>
      </c>
      <c r="EB57">
        <v>0</v>
      </c>
      <c r="EC57">
        <v>0</v>
      </c>
      <c r="ED57">
        <v>0</v>
      </c>
      <c r="EE57">
        <v>0</v>
      </c>
      <c r="EF57">
        <v>1.26680660303649</v>
      </c>
      <c r="EG57">
        <v>0</v>
      </c>
      <c r="EH57">
        <v>0</v>
      </c>
      <c r="EI57">
        <v>0</v>
      </c>
      <c r="EJ57">
        <v>0</v>
      </c>
      <c r="EK57">
        <v>0</v>
      </c>
      <c r="EL57">
        <v>0</v>
      </c>
      <c r="EM57">
        <v>0</v>
      </c>
      <c r="EN57">
        <v>0</v>
      </c>
      <c r="EO57">
        <v>0</v>
      </c>
      <c r="EP57">
        <v>0</v>
      </c>
      <c r="EQ57">
        <v>0</v>
      </c>
      <c r="ER57">
        <v>0</v>
      </c>
      <c r="ES57">
        <v>0</v>
      </c>
      <c r="ET57">
        <v>0</v>
      </c>
      <c r="EU57">
        <v>0</v>
      </c>
      <c r="EV57">
        <v>824.25754901575795</v>
      </c>
      <c r="EW57">
        <v>-28.649999999999899</v>
      </c>
      <c r="EX57">
        <v>1489.9766788426</v>
      </c>
      <c r="EY57">
        <v>840.48371356234702</v>
      </c>
      <c r="EZ57">
        <v>91.160076005168904</v>
      </c>
      <c r="FA57">
        <v>674.23421557534004</v>
      </c>
      <c r="FB57">
        <v>724.58239746093705</v>
      </c>
      <c r="FC57">
        <v>0.39317340781029297</v>
      </c>
      <c r="FD57">
        <v>0.71703408481796205</v>
      </c>
      <c r="FE57">
        <v>0</v>
      </c>
      <c r="FF57">
        <v>1</v>
      </c>
      <c r="FG57" s="159">
        <v>5.89988580385125E-13</v>
      </c>
      <c r="FH57">
        <v>0</v>
      </c>
      <c r="FI57">
        <v>5.4512674794765098E-5</v>
      </c>
      <c r="FJ57">
        <v>-5.1472485306821901E-3</v>
      </c>
      <c r="FK57" s="159">
        <v>6.57534000000779E-6</v>
      </c>
      <c r="FL57" s="159">
        <v>2.4354106506712701E-6</v>
      </c>
      <c r="FM57" s="159">
        <v>4.0978919128858597E-6</v>
      </c>
      <c r="FN57">
        <v>0</v>
      </c>
      <c r="FO57">
        <v>0</v>
      </c>
      <c r="FP57">
        <v>0</v>
      </c>
      <c r="FQ57">
        <v>0</v>
      </c>
      <c r="FR57">
        <v>0</v>
      </c>
      <c r="FS57">
        <v>0</v>
      </c>
      <c r="FT57">
        <v>0</v>
      </c>
      <c r="FU57">
        <v>0</v>
      </c>
      <c r="FV57">
        <v>-999</v>
      </c>
      <c r="FW57">
        <v>0.48695212459918302</v>
      </c>
      <c r="FX57">
        <v>3.2231117802820801E-3</v>
      </c>
      <c r="FY57">
        <v>1.2160025215835999</v>
      </c>
      <c r="FZ57">
        <v>9.2491958567162704E-4</v>
      </c>
      <c r="GA57">
        <v>42.127737100755503</v>
      </c>
      <c r="GB57">
        <v>1.06331908522955E-2</v>
      </c>
      <c r="GC57">
        <v>2.87383536548529E-3</v>
      </c>
      <c r="GD57">
        <v>0</v>
      </c>
      <c r="GE57">
        <v>7.0218667314390004E-3</v>
      </c>
      <c r="GF57">
        <v>0.39177676324962002</v>
      </c>
      <c r="GG57">
        <v>5.5969583430637998E-4</v>
      </c>
      <c r="GH57">
        <v>9.4078583108606999E-3</v>
      </c>
      <c r="GI57">
        <v>1.8486868256001598E-2</v>
      </c>
      <c r="GJ57">
        <v>9.1025737504628898E-4</v>
      </c>
      <c r="GK57">
        <v>1.76700810636979E-3</v>
      </c>
      <c r="GL57">
        <v>0.400580303069207</v>
      </c>
      <c r="GM57">
        <v>6.6973860855833803E-3</v>
      </c>
      <c r="GN57">
        <v>5.5491526360785203E-4</v>
      </c>
      <c r="GO57">
        <v>0</v>
      </c>
      <c r="GP57">
        <v>0</v>
      </c>
      <c r="GQ57">
        <v>0</v>
      </c>
      <c r="GR57">
        <v>6.1188812384651202E-2</v>
      </c>
      <c r="GS57">
        <v>1.13619409783095E-3</v>
      </c>
      <c r="GT57">
        <v>1.27457019664803E-4</v>
      </c>
      <c r="GU57">
        <v>3.8564696920451398E-2</v>
      </c>
      <c r="GV57">
        <v>7.1609464733862998E-4</v>
      </c>
      <c r="GW57">
        <v>8.0330719656034497E-5</v>
      </c>
      <c r="GX57">
        <v>0.123122905830563</v>
      </c>
      <c r="GY57">
        <v>0.13368674305692901</v>
      </c>
      <c r="GZ57">
        <v>58.947391185391801</v>
      </c>
      <c r="HA57">
        <v>676.71141805352204</v>
      </c>
      <c r="HB57">
        <v>0</v>
      </c>
      <c r="HC57">
        <v>0.99981306831759997</v>
      </c>
      <c r="HD57">
        <v>0.42293451024561601</v>
      </c>
      <c r="HE57">
        <v>1.0981118605240099E-2</v>
      </c>
      <c r="HF57">
        <v>9.5073295069473304E-4</v>
      </c>
      <c r="HG57">
        <v>1.3098661034469499E-2</v>
      </c>
      <c r="HH57" s="159">
        <v>4.7618772714274098E-7</v>
      </c>
      <c r="HI57" s="159">
        <v>3.33332544027359E-7</v>
      </c>
      <c r="HJ57">
        <v>0</v>
      </c>
      <c r="HK57">
        <v>0</v>
      </c>
      <c r="HL57">
        <v>0</v>
      </c>
      <c r="HM57">
        <v>0</v>
      </c>
      <c r="HN57">
        <v>0</v>
      </c>
      <c r="HO57">
        <v>1.15866156794705E-2</v>
      </c>
      <c r="HP57">
        <v>0.55662125330254597</v>
      </c>
      <c r="HQ57">
        <v>1.0981118605240099E-2</v>
      </c>
      <c r="HR57">
        <v>9.5073295069473304E-4</v>
      </c>
      <c r="HS57">
        <v>0.71950414661820605</v>
      </c>
      <c r="HT57">
        <v>-999</v>
      </c>
      <c r="HU57">
        <v>1</v>
      </c>
      <c r="HV57">
        <v>0.80219783524136601</v>
      </c>
      <c r="HW57">
        <v>0.19780216475863299</v>
      </c>
      <c r="HX57">
        <v>12526.9928890835</v>
      </c>
      <c r="HY57">
        <v>399.982339334046</v>
      </c>
      <c r="HZ57">
        <v>40.251121917407602</v>
      </c>
      <c r="IA57">
        <v>-0.13368674305692901</v>
      </c>
      <c r="IB57">
        <v>0</v>
      </c>
      <c r="IC57">
        <v>0</v>
      </c>
      <c r="ID57">
        <v>0</v>
      </c>
      <c r="IE57">
        <v>0</v>
      </c>
      <c r="IF57">
        <v>0</v>
      </c>
      <c r="IG57">
        <v>0</v>
      </c>
      <c r="IH57">
        <v>0</v>
      </c>
      <c r="II57">
        <v>46.337800049999601</v>
      </c>
      <c r="IJ57">
        <v>463.37800049999902</v>
      </c>
      <c r="IK57">
        <v>1.0631400697562901E-2</v>
      </c>
      <c r="IL57">
        <v>2.3241640176092401E-3</v>
      </c>
      <c r="IM57">
        <v>1.29555647151722E-2</v>
      </c>
      <c r="IN57">
        <v>9.0446761537871603E-4</v>
      </c>
      <c r="IO57">
        <v>0.42417478248704599</v>
      </c>
      <c r="IP57">
        <v>1.8852908336677701E-2</v>
      </c>
      <c r="IQ57">
        <v>1.62331773975485E-3</v>
      </c>
      <c r="IR57">
        <v>0.29276122671534499</v>
      </c>
      <c r="IS57">
        <v>0.236915451703301</v>
      </c>
      <c r="IT57">
        <v>0.27514917043778803</v>
      </c>
      <c r="IU57">
        <v>0.29999285282442301</v>
      </c>
      <c r="IV57">
        <v>1.4386363042172799E-2</v>
      </c>
      <c r="IW57">
        <v>1.17666321030435E-3</v>
      </c>
      <c r="IX57">
        <v>7.4927734124456399E-2</v>
      </c>
      <c r="IY57">
        <v>2.6949824277230599E-3</v>
      </c>
      <c r="IZ57">
        <v>2.6949824277230401E-4</v>
      </c>
      <c r="JA57">
        <v>7.50552376285092E-2</v>
      </c>
      <c r="JB57">
        <v>2.6995684425934001E-3</v>
      </c>
      <c r="JC57">
        <v>2.6995684425933802E-4</v>
      </c>
      <c r="JD57">
        <v>1.76970315964306E-4</v>
      </c>
      <c r="JE57">
        <v>3.2475283188014002E-3</v>
      </c>
      <c r="JF57" s="159">
        <v>9.21571846612678E-19</v>
      </c>
      <c r="JG57">
        <v>0</v>
      </c>
      <c r="JH57">
        <v>4.1303667695939796E-3</v>
      </c>
      <c r="JI57">
        <v>5.4215243918497903E-4</v>
      </c>
      <c r="JJ57">
        <v>-0.50873483350986204</v>
      </c>
      <c r="JK57">
        <v>1.76970315964306E-4</v>
      </c>
      <c r="JL57" s="159">
        <v>6.5753399999999896E-6</v>
      </c>
      <c r="JM57">
        <v>-0.50873483350986204</v>
      </c>
      <c r="JN57">
        <v>0</v>
      </c>
      <c r="JO57">
        <v>1.4628364677179</v>
      </c>
      <c r="JP57">
        <v>-1.48099585333513E-2</v>
      </c>
      <c r="JQ57">
        <v>9.8077316961465706E-4</v>
      </c>
      <c r="JR57">
        <v>2.59956010844462E-2</v>
      </c>
      <c r="JS57">
        <v>1565.06610082322</v>
      </c>
      <c r="JT57">
        <v>4.5478004640075599E-2</v>
      </c>
      <c r="JU57">
        <v>0</v>
      </c>
      <c r="JV57">
        <v>365</v>
      </c>
      <c r="JW57">
        <v>0</v>
      </c>
      <c r="JX57">
        <v>-0.40268092994350901</v>
      </c>
      <c r="JY57">
        <v>0</v>
      </c>
      <c r="JZ57">
        <v>1.32259018708403</v>
      </c>
      <c r="KA57">
        <v>1.4039268202023101</v>
      </c>
      <c r="KB57">
        <v>1.4335819989705201</v>
      </c>
      <c r="KC57">
        <v>0</v>
      </c>
      <c r="KD57">
        <v>0</v>
      </c>
      <c r="KE57">
        <v>0</v>
      </c>
      <c r="KF57">
        <v>3.5762221277939399E-3</v>
      </c>
      <c r="KG57">
        <v>2.2520301712641098E-2</v>
      </c>
      <c r="KH57">
        <v>3.8433386631222297E-2</v>
      </c>
      <c r="KI57">
        <v>0</v>
      </c>
      <c r="KJ57">
        <v>0</v>
      </c>
      <c r="KK57">
        <v>0</v>
      </c>
      <c r="KL57">
        <v>0</v>
      </c>
      <c r="KM57">
        <v>0</v>
      </c>
      <c r="KN57">
        <v>0</v>
      </c>
      <c r="KO57">
        <v>0</v>
      </c>
      <c r="KP57">
        <v>0</v>
      </c>
      <c r="KQ57">
        <v>0</v>
      </c>
      <c r="KR57">
        <v>0</v>
      </c>
      <c r="KS57">
        <v>0</v>
      </c>
      <c r="KT57">
        <v>0</v>
      </c>
      <c r="KU57">
        <v>0.34999999999999898</v>
      </c>
      <c r="KV57">
        <v>-0.11456518734377701</v>
      </c>
      <c r="KW57">
        <v>1.8178945583997199E-3</v>
      </c>
      <c r="KX57">
        <v>33711.710778767003</v>
      </c>
      <c r="KY57">
        <v>0</v>
      </c>
      <c r="KZ57">
        <v>0.210377983561644</v>
      </c>
      <c r="LA57">
        <v>1.73602675993533E-5</v>
      </c>
      <c r="LB57">
        <v>0</v>
      </c>
      <c r="LC57">
        <v>-12.138908561599701</v>
      </c>
      <c r="LD57">
        <v>1.5716608228192298E-2</v>
      </c>
      <c r="LE57">
        <v>3.4118945548984102E-3</v>
      </c>
      <c r="LF57">
        <v>1.5716608228192298E-2</v>
      </c>
      <c r="LG57">
        <v>0.95071482161054699</v>
      </c>
      <c r="LH57">
        <v>1.23831229728471</v>
      </c>
      <c r="LI57">
        <v>0</v>
      </c>
      <c r="LJ57">
        <v>0</v>
      </c>
      <c r="LK57">
        <v>0.24322992599433099</v>
      </c>
      <c r="LL57">
        <v>0</v>
      </c>
      <c r="LM57">
        <v>0</v>
      </c>
      <c r="LN57">
        <v>0</v>
      </c>
      <c r="LO57">
        <v>0</v>
      </c>
      <c r="LP57">
        <v>0</v>
      </c>
      <c r="LQ57">
        <v>0</v>
      </c>
      <c r="LR57">
        <v>0</v>
      </c>
      <c r="LS57">
        <v>0</v>
      </c>
      <c r="LT57">
        <v>-999</v>
      </c>
      <c r="LU57">
        <v>0.42566418160875302</v>
      </c>
      <c r="LV57">
        <v>56</v>
      </c>
      <c r="LW57">
        <v>217.8</v>
      </c>
      <c r="LX57">
        <v>2.0349999999999899</v>
      </c>
      <c r="LY57">
        <v>0</v>
      </c>
      <c r="LZ57">
        <v>-999</v>
      </c>
      <c r="MA57">
        <v>0</v>
      </c>
      <c r="MB57">
        <v>0</v>
      </c>
      <c r="MC57">
        <v>617.79999999999905</v>
      </c>
      <c r="MD57">
        <v>-23.6999999999999</v>
      </c>
      <c r="ME57">
        <v>-33.6</v>
      </c>
      <c r="MF57">
        <v>0</v>
      </c>
      <c r="MG57">
        <v>8.0706896550000007</v>
      </c>
      <c r="MH57">
        <v>0</v>
      </c>
      <c r="MI57">
        <v>0</v>
      </c>
      <c r="MJ57">
        <v>0</v>
      </c>
      <c r="MK57">
        <v>0</v>
      </c>
      <c r="ML57">
        <v>0</v>
      </c>
      <c r="MM57">
        <v>0</v>
      </c>
      <c r="MN57">
        <v>0</v>
      </c>
      <c r="MO57">
        <v>0</v>
      </c>
      <c r="MP57">
        <v>0</v>
      </c>
      <c r="MQ57">
        <v>0</v>
      </c>
      <c r="MR57">
        <v>0</v>
      </c>
      <c r="MS57">
        <v>0</v>
      </c>
      <c r="MT57">
        <v>0</v>
      </c>
      <c r="MU57">
        <v>0</v>
      </c>
      <c r="MV57">
        <v>0</v>
      </c>
    </row>
    <row r="58" spans="1:360" x14ac:dyDescent="0.25">
      <c r="A58">
        <v>20805</v>
      </c>
      <c r="B58">
        <v>0</v>
      </c>
      <c r="C58">
        <v>-33.6</v>
      </c>
      <c r="D58">
        <v>-23.6999999999999</v>
      </c>
      <c r="E58">
        <v>400</v>
      </c>
      <c r="F58">
        <v>0</v>
      </c>
      <c r="G58">
        <v>0</v>
      </c>
      <c r="H58">
        <v>0</v>
      </c>
      <c r="I58">
        <v>0</v>
      </c>
      <c r="J58">
        <v>0</v>
      </c>
      <c r="K58">
        <v>0</v>
      </c>
      <c r="L58" s="159">
        <v>6.5753399999999896E-6</v>
      </c>
      <c r="M58">
        <v>0</v>
      </c>
      <c r="N58">
        <v>0</v>
      </c>
      <c r="O58">
        <v>0</v>
      </c>
      <c r="P58">
        <v>0</v>
      </c>
      <c r="Q58">
        <v>0</v>
      </c>
      <c r="R58">
        <v>0</v>
      </c>
      <c r="S58">
        <v>0</v>
      </c>
      <c r="T58">
        <v>0</v>
      </c>
      <c r="U58">
        <v>708.51545767856896</v>
      </c>
      <c r="V58">
        <v>14.031076585905801</v>
      </c>
      <c r="W58">
        <v>1.3575639109145901</v>
      </c>
      <c r="X58">
        <v>0.31247991501275402</v>
      </c>
      <c r="Y58">
        <v>0.272761739439144</v>
      </c>
      <c r="Z58">
        <v>0.41475834554810098</v>
      </c>
      <c r="AA58">
        <v>0.112427590665848</v>
      </c>
      <c r="AB58">
        <v>0.51899315651655298</v>
      </c>
      <c r="AC58">
        <v>0.36857925281759701</v>
      </c>
      <c r="AD58">
        <v>0.88456167403478503</v>
      </c>
      <c r="AE58">
        <v>4.0785087929645303E-2</v>
      </c>
      <c r="AF58">
        <v>7.4653238035568906E-2</v>
      </c>
      <c r="AG58">
        <v>0</v>
      </c>
      <c r="AH58">
        <v>3422.59125671431</v>
      </c>
      <c r="AI58">
        <v>79.580217421585104</v>
      </c>
      <c r="AJ58">
        <v>8.1215515181129607</v>
      </c>
      <c r="AK58">
        <v>408.96540773859101</v>
      </c>
      <c r="AL58">
        <v>7.5939385711328899</v>
      </c>
      <c r="AM58">
        <v>0.85187977973301399</v>
      </c>
      <c r="AN58">
        <v>8696.1121478642199</v>
      </c>
      <c r="AO58">
        <v>312.77963629696399</v>
      </c>
      <c r="AP58">
        <v>31.277963629696199</v>
      </c>
      <c r="AQ58">
        <v>3.0219396690581799E-2</v>
      </c>
      <c r="AR58">
        <v>6.2594989557877402E-3</v>
      </c>
      <c r="AS58">
        <v>2.01732075342663E-2</v>
      </c>
      <c r="AT58">
        <v>9.48</v>
      </c>
      <c r="AU58">
        <v>5.98240212322857</v>
      </c>
      <c r="AV58">
        <v>0</v>
      </c>
      <c r="AW58">
        <v>85.148746895118805</v>
      </c>
      <c r="AX58">
        <v>66.555833667696803</v>
      </c>
      <c r="AY58">
        <v>361.47157935711499</v>
      </c>
      <c r="AZ58">
        <v>0.54833294000258104</v>
      </c>
      <c r="BA58">
        <v>0.84330541104351198</v>
      </c>
      <c r="BB58">
        <v>1.40903407968276E-2</v>
      </c>
      <c r="BC58">
        <v>1.17897476322675E-3</v>
      </c>
      <c r="BD58">
        <v>0.59834376908920395</v>
      </c>
      <c r="BE58">
        <v>9.2874476427042101E-3</v>
      </c>
      <c r="BF58">
        <v>7.57058743131712E-4</v>
      </c>
      <c r="BG58">
        <v>766.29999847710098</v>
      </c>
      <c r="BH58">
        <v>-1626.59999865293</v>
      </c>
      <c r="BI58">
        <v>429.707876412828</v>
      </c>
      <c r="BJ58">
        <v>211.699642096719</v>
      </c>
      <c r="BK58">
        <v>3.6714977225183398</v>
      </c>
      <c r="BL58">
        <v>4.7141826604374399</v>
      </c>
      <c r="BM58">
        <v>193.44609782045299</v>
      </c>
      <c r="BN58">
        <v>22.191191708369502</v>
      </c>
      <c r="BO58">
        <v>215.637289528823</v>
      </c>
      <c r="BP58">
        <v>3.4927533441256999</v>
      </c>
      <c r="BQ58">
        <v>0.29398962670955198</v>
      </c>
      <c r="BR58">
        <v>208.02814437420099</v>
      </c>
      <c r="BS58">
        <v>2.2053748049914099</v>
      </c>
      <c r="BT58">
        <v>0.29371661657488701</v>
      </c>
      <c r="BU58">
        <v>3.5063404489935301</v>
      </c>
      <c r="BV58">
        <v>1.7145048361775099</v>
      </c>
      <c r="BW58">
        <v>0.51773219107617596</v>
      </c>
      <c r="BX58">
        <v>1.2741034217398399</v>
      </c>
      <c r="BY58">
        <v>0</v>
      </c>
      <c r="BZ58">
        <v>3.08069270656364</v>
      </c>
      <c r="CA58">
        <v>0.41206063756206102</v>
      </c>
      <c r="CB58">
        <v>0.29529127706069402</v>
      </c>
      <c r="CC58">
        <v>0.247765112002864</v>
      </c>
      <c r="CD58">
        <v>4.62245147066878E-2</v>
      </c>
      <c r="CE58">
        <v>21.858033872781299</v>
      </c>
      <c r="CF58">
        <v>165.52612141331099</v>
      </c>
      <c r="CG58">
        <v>42.2078365765936</v>
      </c>
      <c r="CH58">
        <v>0.40587434383140403</v>
      </c>
      <c r="CI58">
        <v>7.2564088144916603</v>
      </c>
      <c r="CJ58">
        <v>1.7276083728105001</v>
      </c>
      <c r="CK58">
        <v>9.6606896184566207</v>
      </c>
      <c r="CL58">
        <v>1.5181211498693701</v>
      </c>
      <c r="CM58">
        <v>9.93086383018386E-2</v>
      </c>
      <c r="CN58">
        <v>4.5530542996056501E-2</v>
      </c>
      <c r="CO58">
        <v>0.58783766807557203</v>
      </c>
      <c r="CP58">
        <v>0.72868404726676395</v>
      </c>
      <c r="CQ58">
        <v>0.151812114986936</v>
      </c>
      <c r="CR58">
        <v>42.5020229608905</v>
      </c>
      <c r="CS58">
        <v>1.5287023738369701</v>
      </c>
      <c r="CT58">
        <v>0.15287023738369601</v>
      </c>
      <c r="CU58">
        <v>1.4699999999998501E-2</v>
      </c>
      <c r="CV58">
        <v>2.0960605809575302E-3</v>
      </c>
      <c r="CW58">
        <v>2.23106206720843</v>
      </c>
      <c r="CX58">
        <v>2.0299999999997799E-2</v>
      </c>
      <c r="CY58">
        <v>6.01527295970322E-3</v>
      </c>
      <c r="CZ58">
        <v>0</v>
      </c>
      <c r="DA58">
        <v>2.3999991000028501E-3</v>
      </c>
      <c r="DB58">
        <v>1.4956662548754999E-3</v>
      </c>
      <c r="DC58">
        <v>1.9999999999997901E-3</v>
      </c>
      <c r="DD58">
        <v>3.4099179459666702E-3</v>
      </c>
      <c r="DE58">
        <v>9.9178919461610109E-4</v>
      </c>
      <c r="DF58">
        <v>2.3999990999999999E-3</v>
      </c>
      <c r="DG58">
        <v>0</v>
      </c>
      <c r="DH58">
        <v>0</v>
      </c>
      <c r="DI58">
        <v>0.231807693999976</v>
      </c>
      <c r="DJ58">
        <v>1.8846155199998001E-2</v>
      </c>
      <c r="DK58">
        <v>2.45084695455943</v>
      </c>
      <c r="DL58">
        <v>0.15997695525844799</v>
      </c>
      <c r="DM58">
        <v>67.528390606222402</v>
      </c>
      <c r="DN58">
        <v>230.29964077332099</v>
      </c>
      <c r="DO58">
        <v>327.66000000000003</v>
      </c>
      <c r="DP58">
        <v>29.806340377792001</v>
      </c>
      <c r="DQ58">
        <v>157.94999999999899</v>
      </c>
      <c r="DR58">
        <v>169.71</v>
      </c>
      <c r="DS58">
        <v>156.28706271104599</v>
      </c>
      <c r="DT58">
        <v>0</v>
      </c>
      <c r="DU58">
        <v>0</v>
      </c>
      <c r="DV58">
        <v>0</v>
      </c>
      <c r="DW58">
        <v>0</v>
      </c>
      <c r="DX58">
        <v>0</v>
      </c>
      <c r="DY58">
        <v>0</v>
      </c>
      <c r="DZ58">
        <v>0</v>
      </c>
      <c r="EA58">
        <v>0</v>
      </c>
      <c r="EB58">
        <v>0</v>
      </c>
      <c r="EC58">
        <v>0</v>
      </c>
      <c r="ED58">
        <v>0</v>
      </c>
      <c r="EE58">
        <v>0</v>
      </c>
      <c r="EF58">
        <v>1.26602657419627</v>
      </c>
      <c r="EG58">
        <v>0</v>
      </c>
      <c r="EH58">
        <v>0</v>
      </c>
      <c r="EI58">
        <v>0</v>
      </c>
      <c r="EJ58">
        <v>0</v>
      </c>
      <c r="EK58">
        <v>0</v>
      </c>
      <c r="EL58">
        <v>0</v>
      </c>
      <c r="EM58">
        <v>0</v>
      </c>
      <c r="EN58">
        <v>0</v>
      </c>
      <c r="EO58">
        <v>0</v>
      </c>
      <c r="EP58">
        <v>0</v>
      </c>
      <c r="EQ58">
        <v>0</v>
      </c>
      <c r="ER58">
        <v>0</v>
      </c>
      <c r="ES58">
        <v>0</v>
      </c>
      <c r="ET58">
        <v>0</v>
      </c>
      <c r="EU58">
        <v>0</v>
      </c>
      <c r="EV58">
        <v>825.07405959784398</v>
      </c>
      <c r="EW58">
        <v>-28.649999999999899</v>
      </c>
      <c r="EX58">
        <v>1491.6114898496201</v>
      </c>
      <c r="EY58">
        <v>840.96313202937699</v>
      </c>
      <c r="EZ58">
        <v>90.983418058420199</v>
      </c>
      <c r="FA58">
        <v>675.035806820733</v>
      </c>
      <c r="FB58">
        <v>725.59228515625</v>
      </c>
      <c r="FC58">
        <v>0.39241148208596599</v>
      </c>
      <c r="FD58">
        <v>0.715644553624882</v>
      </c>
      <c r="FE58">
        <v>0</v>
      </c>
      <c r="FF58">
        <v>1</v>
      </c>
      <c r="FG58" s="159">
        <v>5.9001395732952602E-13</v>
      </c>
      <c r="FH58">
        <v>0</v>
      </c>
      <c r="FI58">
        <v>5.4512674794765098E-5</v>
      </c>
      <c r="FJ58">
        <v>-5.1378399447913302E-3</v>
      </c>
      <c r="FK58" s="159">
        <v>6.57534000000779E-6</v>
      </c>
      <c r="FL58" s="159">
        <v>2.4256560929204901E-6</v>
      </c>
      <c r="FM58" s="159">
        <v>4.0975467906776398E-6</v>
      </c>
      <c r="FN58">
        <v>0</v>
      </c>
      <c r="FO58">
        <v>0</v>
      </c>
      <c r="FP58">
        <v>0</v>
      </c>
      <c r="FQ58">
        <v>0</v>
      </c>
      <c r="FR58">
        <v>0</v>
      </c>
      <c r="FS58">
        <v>0</v>
      </c>
      <c r="FT58">
        <v>0</v>
      </c>
      <c r="FU58">
        <v>0</v>
      </c>
      <c r="FV58">
        <v>-999</v>
      </c>
      <c r="FW58">
        <v>0.48727625313930101</v>
      </c>
      <c r="FX58">
        <v>3.22423652587378E-3</v>
      </c>
      <c r="FY58">
        <v>1.2171571048786001</v>
      </c>
      <c r="FZ58">
        <v>9.2332935049085397E-4</v>
      </c>
      <c r="GA58">
        <v>42.0980816545053</v>
      </c>
      <c r="GB58">
        <v>1.06358282798648E-2</v>
      </c>
      <c r="GC58">
        <v>2.8745481837472498E-3</v>
      </c>
      <c r="GD58">
        <v>0</v>
      </c>
      <c r="GE58">
        <v>7.0221140601118897E-3</v>
      </c>
      <c r="GF58">
        <v>0.390207578577836</v>
      </c>
      <c r="GG58">
        <v>5.5975621557352703E-4</v>
      </c>
      <c r="GH58">
        <v>9.4066562783854703E-3</v>
      </c>
      <c r="GI58">
        <v>1.84840688005979E-2</v>
      </c>
      <c r="GJ58">
        <v>9.1013237706519896E-4</v>
      </c>
      <c r="GK58">
        <v>1.7667986318732299E-3</v>
      </c>
      <c r="GL58">
        <v>0.40099984439504699</v>
      </c>
      <c r="GM58">
        <v>6.7046033480396101E-3</v>
      </c>
      <c r="GN58">
        <v>5.5550513929607497E-4</v>
      </c>
      <c r="GO58">
        <v>0</v>
      </c>
      <c r="GP58">
        <v>0</v>
      </c>
      <c r="GQ58">
        <v>0</v>
      </c>
      <c r="GR58">
        <v>6.1231438532221197E-2</v>
      </c>
      <c r="GS58">
        <v>1.13698560816421E-3</v>
      </c>
      <c r="GT58">
        <v>1.2754581043418199E-4</v>
      </c>
      <c r="GU58">
        <v>3.8596287389889003E-2</v>
      </c>
      <c r="GV58">
        <v>7.1668123994476105E-4</v>
      </c>
      <c r="GW58">
        <v>8.0396522977383805E-5</v>
      </c>
      <c r="GX58">
        <v>0.123263942853773</v>
      </c>
      <c r="GY58">
        <v>0.133826579041046</v>
      </c>
      <c r="GZ58">
        <v>58.946125014825803</v>
      </c>
      <c r="HA58">
        <v>676.71567268855597</v>
      </c>
      <c r="HB58">
        <v>0</v>
      </c>
      <c r="HC58">
        <v>0.99981306828775296</v>
      </c>
      <c r="HD58">
        <v>0.42335832688151898</v>
      </c>
      <c r="HE58">
        <v>1.0992215249830401E-2</v>
      </c>
      <c r="HF58">
        <v>9.51687455008959E-4</v>
      </c>
      <c r="HG58">
        <v>1.3116259468927E-2</v>
      </c>
      <c r="HH58" s="159">
        <v>4.76187731478748E-7</v>
      </c>
      <c r="HI58" s="159">
        <v>3.3333254397503799E-7</v>
      </c>
      <c r="HJ58">
        <v>0</v>
      </c>
      <c r="HK58">
        <v>0</v>
      </c>
      <c r="HL58">
        <v>0</v>
      </c>
      <c r="HM58">
        <v>0</v>
      </c>
      <c r="HN58">
        <v>0</v>
      </c>
      <c r="HO58">
        <v>1.16021847386209E-2</v>
      </c>
      <c r="HP58">
        <v>0.55718490592256498</v>
      </c>
      <c r="HQ58">
        <v>1.0992215249830401E-2</v>
      </c>
      <c r="HR58">
        <v>9.51687455008959E-4</v>
      </c>
      <c r="HS58">
        <v>0.71925990941982298</v>
      </c>
      <c r="HT58">
        <v>-999</v>
      </c>
      <c r="HU58">
        <v>1</v>
      </c>
      <c r="HV58">
        <v>0.80269369858315198</v>
      </c>
      <c r="HW58">
        <v>0.19730630141684599</v>
      </c>
      <c r="HX58">
        <v>12527.668812317101</v>
      </c>
      <c r="HY58">
        <v>399.95379228968199</v>
      </c>
      <c r="HZ58">
        <v>40.251394927542201</v>
      </c>
      <c r="IA58">
        <v>-0.133826579041046</v>
      </c>
      <c r="IB58">
        <v>0</v>
      </c>
      <c r="IC58">
        <v>0</v>
      </c>
      <c r="ID58">
        <v>0</v>
      </c>
      <c r="IE58">
        <v>0</v>
      </c>
      <c r="IF58">
        <v>0</v>
      </c>
      <c r="IG58">
        <v>0</v>
      </c>
      <c r="IH58">
        <v>0</v>
      </c>
      <c r="II58">
        <v>46.337800049999601</v>
      </c>
      <c r="IJ58">
        <v>463.37800049999902</v>
      </c>
      <c r="IK58">
        <v>1.06456406180068E-2</v>
      </c>
      <c r="IL58">
        <v>2.3278997083279601E-3</v>
      </c>
      <c r="IM58">
        <v>1.2973540326334699E-2</v>
      </c>
      <c r="IN58">
        <v>9.0118245896359797E-4</v>
      </c>
      <c r="IO58">
        <v>0.42425537130471702</v>
      </c>
      <c r="IP58">
        <v>1.88694494094305E-2</v>
      </c>
      <c r="IQ58">
        <v>1.6200917530677201E-3</v>
      </c>
      <c r="IR58">
        <v>0.29263318292392898</v>
      </c>
      <c r="IS58">
        <v>0.23664919463299999</v>
      </c>
      <c r="IT58">
        <v>0.275628833827116</v>
      </c>
      <c r="IU58">
        <v>0.30010417162724401</v>
      </c>
      <c r="IV58">
        <v>1.4404009403520599E-2</v>
      </c>
      <c r="IW58">
        <v>1.17354775247674E-3</v>
      </c>
      <c r="IX58">
        <v>7.4925110191492506E-2</v>
      </c>
      <c r="IY58">
        <v>2.6948880507435399E-3</v>
      </c>
      <c r="IZ58">
        <v>2.6948880507435198E-4</v>
      </c>
      <c r="JA58">
        <v>7.50529877317445E-2</v>
      </c>
      <c r="JB58">
        <v>2.6994875188564699E-3</v>
      </c>
      <c r="JC58">
        <v>2.69948751885645E-4</v>
      </c>
      <c r="JD58">
        <v>1.7724932080224299E-4</v>
      </c>
      <c r="JE58">
        <v>3.2496875363788999E-3</v>
      </c>
      <c r="JF58" s="159">
        <v>-1.28749007982653E-19</v>
      </c>
      <c r="JG58">
        <v>0</v>
      </c>
      <c r="JH58">
        <v>4.1299565960423897E-3</v>
      </c>
      <c r="JI58">
        <v>5.4231404539878804E-4</v>
      </c>
      <c r="JJ58">
        <v>-0.50898373840003497</v>
      </c>
      <c r="JK58">
        <v>1.7724932080224299E-4</v>
      </c>
      <c r="JL58" s="159">
        <v>6.5753399999999896E-6</v>
      </c>
      <c r="JM58">
        <v>-0.50898373840003497</v>
      </c>
      <c r="JN58">
        <v>0</v>
      </c>
      <c r="JO58">
        <v>1.45245846195843</v>
      </c>
      <c r="JP58">
        <v>-1.49334952972762E-2</v>
      </c>
      <c r="JQ58">
        <v>9.9008115403311794E-4</v>
      </c>
      <c r="JR58">
        <v>2.56282426636644E-2</v>
      </c>
      <c r="JS58">
        <v>1566.5553969986599</v>
      </c>
      <c r="JT58">
        <v>4.53898733958552E-2</v>
      </c>
      <c r="JU58">
        <v>0</v>
      </c>
      <c r="JV58">
        <v>365</v>
      </c>
      <c r="JW58">
        <v>0</v>
      </c>
      <c r="JX58">
        <v>-0.40268092994350901</v>
      </c>
      <c r="JY58">
        <v>0</v>
      </c>
      <c r="JZ58">
        <v>1.3229438613214599</v>
      </c>
      <c r="KA58">
        <v>1.40411454447345</v>
      </c>
      <c r="KB58">
        <v>1.4339924783005999</v>
      </c>
      <c r="KC58">
        <v>0</v>
      </c>
      <c r="KD58">
        <v>0</v>
      </c>
      <c r="KE58">
        <v>0</v>
      </c>
      <c r="KF58">
        <v>3.5776137476796802E-3</v>
      </c>
      <c r="KG58">
        <v>2.25343803633925E-2</v>
      </c>
      <c r="KH58">
        <v>3.83942100448115E-2</v>
      </c>
      <c r="KI58">
        <v>0</v>
      </c>
      <c r="KJ58">
        <v>0</v>
      </c>
      <c r="KK58">
        <v>0</v>
      </c>
      <c r="KL58">
        <v>0</v>
      </c>
      <c r="KM58">
        <v>0</v>
      </c>
      <c r="KN58">
        <v>0</v>
      </c>
      <c r="KO58">
        <v>0</v>
      </c>
      <c r="KP58">
        <v>0</v>
      </c>
      <c r="KQ58">
        <v>0</v>
      </c>
      <c r="KR58">
        <v>0</v>
      </c>
      <c r="KS58">
        <v>0</v>
      </c>
      <c r="KT58">
        <v>0</v>
      </c>
      <c r="KU58">
        <v>0.34999999999999898</v>
      </c>
      <c r="KV58">
        <v>-0.114492922749725</v>
      </c>
      <c r="KW58">
        <v>1.81681488143542E-3</v>
      </c>
      <c r="KX58">
        <v>33751.790341036598</v>
      </c>
      <c r="KY58">
        <v>0</v>
      </c>
      <c r="KZ58">
        <v>0.21038393406067701</v>
      </c>
      <c r="LA58">
        <v>1.73602675993533E-5</v>
      </c>
      <c r="LB58">
        <v>0</v>
      </c>
      <c r="LC58">
        <v>-12.138481950876001</v>
      </c>
      <c r="LD58">
        <v>1.57168566674468E-2</v>
      </c>
      <c r="LE58">
        <v>3.4121289315536501E-3</v>
      </c>
      <c r="LF58">
        <v>1.57168566674468E-2</v>
      </c>
      <c r="LG58">
        <v>0.95090250301388501</v>
      </c>
      <c r="LH58">
        <v>1.2385255716066801</v>
      </c>
      <c r="LI58">
        <v>0</v>
      </c>
      <c r="LJ58">
        <v>0</v>
      </c>
      <c r="LK58">
        <v>0.243282133986054</v>
      </c>
      <c r="LL58">
        <v>0</v>
      </c>
      <c r="LM58">
        <v>0</v>
      </c>
      <c r="LN58">
        <v>0</v>
      </c>
      <c r="LO58">
        <v>0</v>
      </c>
      <c r="LP58">
        <v>0</v>
      </c>
      <c r="LQ58">
        <v>0</v>
      </c>
      <c r="LR58">
        <v>0</v>
      </c>
      <c r="LS58">
        <v>0</v>
      </c>
      <c r="LT58">
        <v>-999</v>
      </c>
      <c r="LU58">
        <v>0.42566582130330399</v>
      </c>
      <c r="LV58">
        <v>57</v>
      </c>
      <c r="LW58">
        <v>221.759999999999</v>
      </c>
      <c r="LX58">
        <v>2.0720000000000001</v>
      </c>
      <c r="LY58">
        <v>0</v>
      </c>
      <c r="LZ58">
        <v>-999</v>
      </c>
      <c r="MA58">
        <v>0</v>
      </c>
      <c r="MB58">
        <v>0</v>
      </c>
      <c r="MC58">
        <v>621.75999999999897</v>
      </c>
      <c r="MD58">
        <v>-23.6999999999999</v>
      </c>
      <c r="ME58">
        <v>-33.6</v>
      </c>
      <c r="MF58">
        <v>0</v>
      </c>
      <c r="MG58">
        <v>8.0706896550000007</v>
      </c>
      <c r="MH58">
        <v>0</v>
      </c>
      <c r="MI58">
        <v>0</v>
      </c>
      <c r="MJ58">
        <v>0</v>
      </c>
      <c r="MK58">
        <v>0</v>
      </c>
      <c r="ML58">
        <v>0</v>
      </c>
      <c r="MM58">
        <v>0</v>
      </c>
      <c r="MN58">
        <v>0</v>
      </c>
      <c r="MO58">
        <v>0</v>
      </c>
      <c r="MP58">
        <v>0</v>
      </c>
      <c r="MQ58">
        <v>0</v>
      </c>
      <c r="MR58">
        <v>0</v>
      </c>
      <c r="MS58">
        <v>0</v>
      </c>
      <c r="MT58">
        <v>0</v>
      </c>
      <c r="MU58">
        <v>0</v>
      </c>
      <c r="MV58">
        <v>0</v>
      </c>
    </row>
    <row r="59" spans="1:360" x14ac:dyDescent="0.25">
      <c r="A59">
        <v>21170</v>
      </c>
      <c r="B59">
        <v>0</v>
      </c>
      <c r="C59">
        <v>-33.6</v>
      </c>
      <c r="D59">
        <v>-23.6999999999999</v>
      </c>
      <c r="E59">
        <v>400</v>
      </c>
      <c r="F59">
        <v>0</v>
      </c>
      <c r="G59">
        <v>0</v>
      </c>
      <c r="H59">
        <v>0</v>
      </c>
      <c r="I59">
        <v>0</v>
      </c>
      <c r="J59">
        <v>0</v>
      </c>
      <c r="K59">
        <v>0</v>
      </c>
      <c r="L59" s="159">
        <v>6.5753399999999896E-6</v>
      </c>
      <c r="M59">
        <v>0</v>
      </c>
      <c r="N59">
        <v>0</v>
      </c>
      <c r="O59">
        <v>0</v>
      </c>
      <c r="P59">
        <v>0</v>
      </c>
      <c r="Q59">
        <v>0</v>
      </c>
      <c r="R59">
        <v>0</v>
      </c>
      <c r="S59">
        <v>0</v>
      </c>
      <c r="T59">
        <v>0</v>
      </c>
      <c r="U59">
        <v>709.27896069168696</v>
      </c>
      <c r="V59">
        <v>14.0445052285634</v>
      </c>
      <c r="W59">
        <v>1.35885482290441</v>
      </c>
      <c r="X59">
        <v>0.31131463474438498</v>
      </c>
      <c r="Y59">
        <v>0.27250694975166301</v>
      </c>
      <c r="Z59">
        <v>0.41617841550395002</v>
      </c>
      <c r="AA59">
        <v>0.112429521972836</v>
      </c>
      <c r="AB59">
        <v>0.51979041476647503</v>
      </c>
      <c r="AC59">
        <v>0.36778006326068802</v>
      </c>
      <c r="AD59">
        <v>0.88456188848741701</v>
      </c>
      <c r="AE59">
        <v>4.0690050141914097E-2</v>
      </c>
      <c r="AF59">
        <v>7.4748061370668195E-2</v>
      </c>
      <c r="AG59">
        <v>0</v>
      </c>
      <c r="AH59">
        <v>3423.2304627325698</v>
      </c>
      <c r="AI59">
        <v>79.556133584226401</v>
      </c>
      <c r="AJ59">
        <v>8.1222142219559306</v>
      </c>
      <c r="AK59">
        <v>409.29605263023501</v>
      </c>
      <c r="AL59">
        <v>7.6000782028682003</v>
      </c>
      <c r="AM59">
        <v>0.852568516951697</v>
      </c>
      <c r="AN59">
        <v>8695.8184386371304</v>
      </c>
      <c r="AO59">
        <v>312.76907223527002</v>
      </c>
      <c r="AP59">
        <v>31.276907223526798</v>
      </c>
      <c r="AQ59">
        <v>3.0239157175771001E-2</v>
      </c>
      <c r="AR59">
        <v>6.2656171156218301E-3</v>
      </c>
      <c r="AS59">
        <v>2.0094410817084501E-2</v>
      </c>
      <c r="AT59">
        <v>9.48</v>
      </c>
      <c r="AU59">
        <v>5.9818941548545101</v>
      </c>
      <c r="AV59">
        <v>0</v>
      </c>
      <c r="AW59">
        <v>85.166781892145096</v>
      </c>
      <c r="AX59">
        <v>66.563086459699704</v>
      </c>
      <c r="AY59">
        <v>361.469711550407</v>
      </c>
      <c r="AZ59">
        <v>0.54833294000258104</v>
      </c>
      <c r="BA59">
        <v>0.84384720353369702</v>
      </c>
      <c r="BB59">
        <v>1.40970453165745E-2</v>
      </c>
      <c r="BC59">
        <v>1.17960975823348E-3</v>
      </c>
      <c r="BD59">
        <v>0.59852830476692898</v>
      </c>
      <c r="BE59">
        <v>9.2903519892315704E-3</v>
      </c>
      <c r="BF59">
        <v>7.5720234873516196E-4</v>
      </c>
      <c r="BG59">
        <v>766.29999847710098</v>
      </c>
      <c r="BH59">
        <v>-1626.59999865293</v>
      </c>
      <c r="BI59">
        <v>429.950653667133</v>
      </c>
      <c r="BJ59">
        <v>211.7711178918</v>
      </c>
      <c r="BK59">
        <v>3.6628313941521999</v>
      </c>
      <c r="BL59">
        <v>4.7192815801424501</v>
      </c>
      <c r="BM59">
        <v>193.51994332230601</v>
      </c>
      <c r="BN59">
        <v>22.206953136518099</v>
      </c>
      <c r="BO59">
        <v>215.726896458824</v>
      </c>
      <c r="BP59">
        <v>3.49456524112983</v>
      </c>
      <c r="BQ59">
        <v>0.29415658620777901</v>
      </c>
      <c r="BR59">
        <v>208.10828649764801</v>
      </c>
      <c r="BS59">
        <v>2.2056595713256901</v>
      </c>
      <c r="BT59">
        <v>0.29386155131546399</v>
      </c>
      <c r="BU59">
        <v>3.5079938837874201</v>
      </c>
      <c r="BV59">
        <v>1.7157020071033799</v>
      </c>
      <c r="BW59">
        <v>0.51681036853743001</v>
      </c>
      <c r="BX59">
        <v>1.2754815081466</v>
      </c>
      <c r="BY59">
        <v>0</v>
      </c>
      <c r="BZ59">
        <v>3.0822119350073298</v>
      </c>
      <c r="CA59">
        <v>0.41235330612250498</v>
      </c>
      <c r="CB59">
        <v>0.29544749819759802</v>
      </c>
      <c r="CC59">
        <v>0.24789924025990201</v>
      </c>
      <c r="CD59">
        <v>4.6257345947876997E-2</v>
      </c>
      <c r="CE59">
        <v>21.8763082448747</v>
      </c>
      <c r="CF59">
        <v>165.60668919820401</v>
      </c>
      <c r="CG59">
        <v>42.207888072359303</v>
      </c>
      <c r="CH59">
        <v>0.40621367438718498</v>
      </c>
      <c r="CI59">
        <v>7.2617049206660296</v>
      </c>
      <c r="CJ59">
        <v>1.7286142134612099</v>
      </c>
      <c r="CK59">
        <v>9.6672916417028301</v>
      </c>
      <c r="CL59">
        <v>1.51812300205649</v>
      </c>
      <c r="CM59">
        <v>9.9469091557056896E-2</v>
      </c>
      <c r="CN59">
        <v>4.5568608729194597E-2</v>
      </c>
      <c r="CO59">
        <v>0.58553047168110695</v>
      </c>
      <c r="CP59">
        <v>0.726523316621561</v>
      </c>
      <c r="CQ59">
        <v>0.15181230020564801</v>
      </c>
      <c r="CR59">
        <v>42.501597299443901</v>
      </c>
      <c r="CS59">
        <v>1.5286870637501</v>
      </c>
      <c r="CT59">
        <v>0.15286870637500799</v>
      </c>
      <c r="CU59">
        <v>1.4700000000001099E-2</v>
      </c>
      <c r="CV59">
        <v>2.0991625346305299E-3</v>
      </c>
      <c r="CW59">
        <v>2.2311528546637001</v>
      </c>
      <c r="CX59">
        <v>2.0300000000001501E-2</v>
      </c>
      <c r="CY59">
        <v>6.0221545052290696E-3</v>
      </c>
      <c r="CZ59">
        <v>0</v>
      </c>
      <c r="DA59">
        <v>2.3999991000029598E-3</v>
      </c>
      <c r="DB59">
        <v>1.4955397908892199E-3</v>
      </c>
      <c r="DC59">
        <v>2.0000000000001501E-3</v>
      </c>
      <c r="DD59">
        <v>3.4008173091084298E-3</v>
      </c>
      <c r="DE59">
        <v>9.8757141683161504E-4</v>
      </c>
      <c r="DF59">
        <v>2.3999991000001001E-3</v>
      </c>
      <c r="DG59">
        <v>0</v>
      </c>
      <c r="DH59">
        <v>0</v>
      </c>
      <c r="DI59">
        <v>0.23180769400001799</v>
      </c>
      <c r="DJ59">
        <v>1.8846155200001401E-2</v>
      </c>
      <c r="DK59">
        <v>2.4549943922102</v>
      </c>
      <c r="DL59">
        <v>0.16024767573173601</v>
      </c>
      <c r="DM59">
        <v>67.145952325266194</v>
      </c>
      <c r="DN59">
        <v>230.711933492073</v>
      </c>
      <c r="DO59">
        <v>327.66000000000003</v>
      </c>
      <c r="DP59">
        <v>29.776830179452801</v>
      </c>
      <c r="DQ59">
        <v>157.94999999999899</v>
      </c>
      <c r="DR59">
        <v>169.71</v>
      </c>
      <c r="DS59">
        <v>156.30691092654899</v>
      </c>
      <c r="DT59">
        <v>0</v>
      </c>
      <c r="DU59">
        <v>0</v>
      </c>
      <c r="DV59">
        <v>0</v>
      </c>
      <c r="DW59">
        <v>0</v>
      </c>
      <c r="DX59">
        <v>0</v>
      </c>
      <c r="DY59">
        <v>0</v>
      </c>
      <c r="DZ59">
        <v>0</v>
      </c>
      <c r="EA59">
        <v>0</v>
      </c>
      <c r="EB59">
        <v>0</v>
      </c>
      <c r="EC59">
        <v>0</v>
      </c>
      <c r="ED59">
        <v>0</v>
      </c>
      <c r="EE59">
        <v>0</v>
      </c>
      <c r="EF59">
        <v>1.2652548039918801</v>
      </c>
      <c r="EG59">
        <v>0</v>
      </c>
      <c r="EH59">
        <v>0</v>
      </c>
      <c r="EI59">
        <v>0</v>
      </c>
      <c r="EJ59">
        <v>0</v>
      </c>
      <c r="EK59">
        <v>0</v>
      </c>
      <c r="EL59">
        <v>0</v>
      </c>
      <c r="EM59">
        <v>0</v>
      </c>
      <c r="EN59">
        <v>0</v>
      </c>
      <c r="EO59">
        <v>0</v>
      </c>
      <c r="EP59">
        <v>0</v>
      </c>
      <c r="EQ59">
        <v>0</v>
      </c>
      <c r="ER59">
        <v>0</v>
      </c>
      <c r="ES59">
        <v>0</v>
      </c>
      <c r="ET59">
        <v>0</v>
      </c>
      <c r="EU59">
        <v>0</v>
      </c>
      <c r="EV59">
        <v>825.87697463557697</v>
      </c>
      <c r="EW59">
        <v>-28.649999999999899</v>
      </c>
      <c r="EX59">
        <v>1493.2188646140701</v>
      </c>
      <c r="EY59">
        <v>841.434148459222</v>
      </c>
      <c r="EZ59">
        <v>90.809690066782196</v>
      </c>
      <c r="FA59">
        <v>675.82365264192697</v>
      </c>
      <c r="FB59">
        <v>726.58551025390602</v>
      </c>
      <c r="FC59">
        <v>0.39166219325803098</v>
      </c>
      <c r="FD59">
        <v>0.71427806845999098</v>
      </c>
      <c r="FE59">
        <v>0</v>
      </c>
      <c r="FF59">
        <v>1</v>
      </c>
      <c r="FG59" s="159">
        <v>5.9003933427392705E-13</v>
      </c>
      <c r="FH59">
        <v>0</v>
      </c>
      <c r="FI59">
        <v>5.4512674794765098E-5</v>
      </c>
      <c r="FJ59">
        <v>-5.1285726390934896E-3</v>
      </c>
      <c r="FK59" s="159">
        <v>6.57534000000779E-6</v>
      </c>
      <c r="FL59" s="159">
        <v>2.4161319731175299E-6</v>
      </c>
      <c r="FM59" s="159">
        <v>4.09719886619212E-6</v>
      </c>
      <c r="FN59">
        <v>0</v>
      </c>
      <c r="FO59">
        <v>0</v>
      </c>
      <c r="FP59">
        <v>0</v>
      </c>
      <c r="FQ59">
        <v>0</v>
      </c>
      <c r="FR59">
        <v>0</v>
      </c>
      <c r="FS59">
        <v>0</v>
      </c>
      <c r="FT59">
        <v>0</v>
      </c>
      <c r="FU59">
        <v>0</v>
      </c>
      <c r="FV59">
        <v>-999</v>
      </c>
      <c r="FW59">
        <v>0.48759309094311698</v>
      </c>
      <c r="FX59">
        <v>3.2253363565398901E-3</v>
      </c>
      <c r="FY59">
        <v>1.21829048619602</v>
      </c>
      <c r="FZ59">
        <v>9.2172535539617503E-4</v>
      </c>
      <c r="GA59">
        <v>42.068572467182598</v>
      </c>
      <c r="GB59">
        <v>1.0638573001281499E-2</v>
      </c>
      <c r="GC59">
        <v>2.8752900003463601E-3</v>
      </c>
      <c r="GD59">
        <v>0</v>
      </c>
      <c r="GE59">
        <v>7.0223517122824297E-3</v>
      </c>
      <c r="GF59">
        <v>0.38867546372559197</v>
      </c>
      <c r="GG59">
        <v>5.5981682395092505E-4</v>
      </c>
      <c r="GH59">
        <v>9.4055235715182605E-3</v>
      </c>
      <c r="GI59">
        <v>1.84813219234535E-2</v>
      </c>
      <c r="GJ59">
        <v>9.1001718174489501E-4</v>
      </c>
      <c r="GK59">
        <v>1.7665931795590401E-3</v>
      </c>
      <c r="GL59">
        <v>0.401412215832609</v>
      </c>
      <c r="GM59">
        <v>6.7117308375844601E-3</v>
      </c>
      <c r="GN59">
        <v>5.5608948783836601E-4</v>
      </c>
      <c r="GO59">
        <v>0</v>
      </c>
      <c r="GP59">
        <v>0</v>
      </c>
      <c r="GQ59">
        <v>0</v>
      </c>
      <c r="GR59">
        <v>6.1273332447599201E-2</v>
      </c>
      <c r="GS59">
        <v>1.1377635219287101E-3</v>
      </c>
      <c r="GT59">
        <v>1.2763307595524799E-4</v>
      </c>
      <c r="GU59">
        <v>3.8627635947369801E-2</v>
      </c>
      <c r="GV59">
        <v>7.1726334057062595E-4</v>
      </c>
      <c r="GW59">
        <v>8.0461822393266795E-5</v>
      </c>
      <c r="GX59">
        <v>0.123403212447161</v>
      </c>
      <c r="GY59">
        <v>0.133964705694532</v>
      </c>
      <c r="GZ59">
        <v>58.944630964599199</v>
      </c>
      <c r="HA59">
        <v>676.71534154586095</v>
      </c>
      <c r="HB59">
        <v>0</v>
      </c>
      <c r="HC59">
        <v>0.99981306825188399</v>
      </c>
      <c r="HD59">
        <v>0.42377628666839501</v>
      </c>
      <c r="HE59">
        <v>1.1003141794825101E-2</v>
      </c>
      <c r="HF59">
        <v>9.5262810694005801E-4</v>
      </c>
      <c r="HG59">
        <v>1.31335167180331E-2</v>
      </c>
      <c r="HH59" s="159">
        <v>4.7618773572751699E-7</v>
      </c>
      <c r="HI59" s="159">
        <v>3.3333254391626502E-7</v>
      </c>
      <c r="HJ59">
        <v>0</v>
      </c>
      <c r="HK59">
        <v>0</v>
      </c>
      <c r="HL59">
        <v>0</v>
      </c>
      <c r="HM59">
        <v>0</v>
      </c>
      <c r="HN59">
        <v>0</v>
      </c>
      <c r="HO59">
        <v>1.16174526426487E-2</v>
      </c>
      <c r="HP59">
        <v>0.55774099236292696</v>
      </c>
      <c r="HQ59">
        <v>1.1003141794825101E-2</v>
      </c>
      <c r="HR59">
        <v>9.5262810694005801E-4</v>
      </c>
      <c r="HS59">
        <v>0.71901815319960205</v>
      </c>
      <c r="HT59">
        <v>-999</v>
      </c>
      <c r="HU59">
        <v>1</v>
      </c>
      <c r="HV59">
        <v>0.80318068131588205</v>
      </c>
      <c r="HW59">
        <v>0.19681931868411701</v>
      </c>
      <c r="HX59">
        <v>12528.3449539999</v>
      </c>
      <c r="HY59">
        <v>399.92528402236502</v>
      </c>
      <c r="HZ59">
        <v>40.251689962434398</v>
      </c>
      <c r="IA59">
        <v>-0.133964705694532</v>
      </c>
      <c r="IB59">
        <v>0</v>
      </c>
      <c r="IC59">
        <v>0</v>
      </c>
      <c r="ID59">
        <v>0</v>
      </c>
      <c r="IE59">
        <v>0</v>
      </c>
      <c r="IF59">
        <v>0</v>
      </c>
      <c r="IG59">
        <v>0</v>
      </c>
      <c r="IH59">
        <v>0</v>
      </c>
      <c r="II59">
        <v>46.337800049999601</v>
      </c>
      <c r="IJ59">
        <v>463.37800049999902</v>
      </c>
      <c r="IK59">
        <v>1.06597408011901E-2</v>
      </c>
      <c r="IL59">
        <v>2.33160051644421E-3</v>
      </c>
      <c r="IM59">
        <v>1.2991341317634301E-2</v>
      </c>
      <c r="IN59">
        <v>8.9797691714199102E-4</v>
      </c>
      <c r="IO59">
        <v>0.42433618531013101</v>
      </c>
      <c r="IP59">
        <v>1.8885820252630799E-2</v>
      </c>
      <c r="IQ59">
        <v>1.61694754951689E-3</v>
      </c>
      <c r="IR59">
        <v>0.29250784992947299</v>
      </c>
      <c r="IS59">
        <v>0.23638781147801699</v>
      </c>
      <c r="IT59">
        <v>0.27609910530619403</v>
      </c>
      <c r="IU59">
        <v>0.30021452009778998</v>
      </c>
      <c r="IV59">
        <v>1.4421442535144199E-2</v>
      </c>
      <c r="IW59">
        <v>1.1705097777682299E-3</v>
      </c>
      <c r="IX59">
        <v>7.4922815964988995E-2</v>
      </c>
      <c r="IY59">
        <v>2.69480553256539E-3</v>
      </c>
      <c r="IZ59">
        <v>2.6948055325653802E-4</v>
      </c>
      <c r="JA59">
        <v>7.5050732232362805E-2</v>
      </c>
      <c r="JB59">
        <v>2.69940639360598E-3</v>
      </c>
      <c r="JC59">
        <v>2.6994063936059602E-4</v>
      </c>
      <c r="JD59">
        <v>1.77528561899744E-4</v>
      </c>
      <c r="JE59">
        <v>3.2517980442440201E-3</v>
      </c>
      <c r="JF59" s="159">
        <v>5.6920614055488896E-19</v>
      </c>
      <c r="JG59">
        <v>0</v>
      </c>
      <c r="JH59">
        <v>4.1295076111158499E-3</v>
      </c>
      <c r="JI59">
        <v>5.4247349998684199E-4</v>
      </c>
      <c r="JJ59">
        <v>-0.50922995802468496</v>
      </c>
      <c r="JK59">
        <v>1.77528561899744E-4</v>
      </c>
      <c r="JL59" s="159">
        <v>6.5753399999999896E-6</v>
      </c>
      <c r="JM59">
        <v>-0.50922995802468496</v>
      </c>
      <c r="JN59">
        <v>0</v>
      </c>
      <c r="JO59">
        <v>1.4396446959420299</v>
      </c>
      <c r="JP59">
        <v>-1.5053746014534901E-2</v>
      </c>
      <c r="JQ59">
        <v>9.99181790891831E-4</v>
      </c>
      <c r="JR59">
        <v>2.5284003207019599E-2</v>
      </c>
      <c r="JS59">
        <v>1568.0196703634299</v>
      </c>
      <c r="JT59">
        <v>4.5303203849759201E-2</v>
      </c>
      <c r="JU59">
        <v>0</v>
      </c>
      <c r="JV59">
        <v>365</v>
      </c>
      <c r="JW59">
        <v>0</v>
      </c>
      <c r="JX59">
        <v>-0.40268092994350901</v>
      </c>
      <c r="JY59">
        <v>0</v>
      </c>
      <c r="JZ59">
        <v>1.3233017979869299</v>
      </c>
      <c r="KA59">
        <v>1.40429917226729</v>
      </c>
      <c r="KB59">
        <v>1.43439510989593</v>
      </c>
      <c r="KC59">
        <v>0</v>
      </c>
      <c r="KD59">
        <v>0</v>
      </c>
      <c r="KE59">
        <v>0</v>
      </c>
      <c r="KF59">
        <v>3.5789745803436802E-3</v>
      </c>
      <c r="KG59">
        <v>2.2548235255916801E-2</v>
      </c>
      <c r="KH59">
        <v>3.8355489777759502E-2</v>
      </c>
      <c r="KI59">
        <v>0</v>
      </c>
      <c r="KJ59">
        <v>0</v>
      </c>
      <c r="KK59">
        <v>0</v>
      </c>
      <c r="KL59">
        <v>0</v>
      </c>
      <c r="KM59">
        <v>0</v>
      </c>
      <c r="KN59">
        <v>0</v>
      </c>
      <c r="KO59">
        <v>0</v>
      </c>
      <c r="KP59">
        <v>0</v>
      </c>
      <c r="KQ59">
        <v>0</v>
      </c>
      <c r="KR59">
        <v>0</v>
      </c>
      <c r="KS59">
        <v>0</v>
      </c>
      <c r="KT59">
        <v>0</v>
      </c>
      <c r="KU59">
        <v>0.34999999999999898</v>
      </c>
      <c r="KV59">
        <v>-0.114421995087854</v>
      </c>
      <c r="KW59">
        <v>1.8157555907408901E-3</v>
      </c>
      <c r="KX59">
        <v>33791.182632096301</v>
      </c>
      <c r="KY59">
        <v>0</v>
      </c>
      <c r="KZ59">
        <v>0.210389931977427</v>
      </c>
      <c r="LA59">
        <v>1.73602675993533E-5</v>
      </c>
      <c r="LB59">
        <v>0</v>
      </c>
      <c r="LC59">
        <v>-12.1380617212385</v>
      </c>
      <c r="LD59">
        <v>1.5717101208222499E-2</v>
      </c>
      <c r="LE59">
        <v>3.4123596303985799E-3</v>
      </c>
      <c r="LF59">
        <v>1.5717101208222499E-2</v>
      </c>
      <c r="LG59">
        <v>0.95108761767647698</v>
      </c>
      <c r="LH59">
        <v>1.2387359291778099</v>
      </c>
      <c r="LI59">
        <v>0</v>
      </c>
      <c r="LJ59">
        <v>0</v>
      </c>
      <c r="LK59">
        <v>0.243333662548986</v>
      </c>
      <c r="LL59">
        <v>0</v>
      </c>
      <c r="LM59">
        <v>0</v>
      </c>
      <c r="LN59">
        <v>0</v>
      </c>
      <c r="LO59">
        <v>0</v>
      </c>
      <c r="LP59">
        <v>0</v>
      </c>
      <c r="LQ59">
        <v>0</v>
      </c>
      <c r="LR59">
        <v>0</v>
      </c>
      <c r="LS59">
        <v>0</v>
      </c>
      <c r="LT59">
        <v>-999</v>
      </c>
      <c r="LU59">
        <v>0.425667405975035</v>
      </c>
      <c r="LV59">
        <v>58</v>
      </c>
      <c r="LW59">
        <v>225.72</v>
      </c>
      <c r="LX59">
        <v>2.109</v>
      </c>
      <c r="LY59">
        <v>0</v>
      </c>
      <c r="LZ59">
        <v>-999</v>
      </c>
      <c r="MA59">
        <v>0</v>
      </c>
      <c r="MB59">
        <v>0</v>
      </c>
      <c r="MC59">
        <v>625.72</v>
      </c>
      <c r="MD59">
        <v>-23.6999999999999</v>
      </c>
      <c r="ME59">
        <v>-33.6</v>
      </c>
      <c r="MF59">
        <v>0</v>
      </c>
      <c r="MG59">
        <v>8.0706896550000007</v>
      </c>
      <c r="MH59">
        <v>0</v>
      </c>
      <c r="MI59">
        <v>0</v>
      </c>
      <c r="MJ59">
        <v>0</v>
      </c>
      <c r="MK59">
        <v>0</v>
      </c>
      <c r="ML59">
        <v>0</v>
      </c>
      <c r="MM59">
        <v>0</v>
      </c>
      <c r="MN59">
        <v>0</v>
      </c>
      <c r="MO59">
        <v>0</v>
      </c>
      <c r="MP59">
        <v>0</v>
      </c>
      <c r="MQ59">
        <v>0</v>
      </c>
      <c r="MR59">
        <v>0</v>
      </c>
      <c r="MS59">
        <v>0</v>
      </c>
      <c r="MT59">
        <v>0</v>
      </c>
      <c r="MU59">
        <v>0</v>
      </c>
      <c r="MV59">
        <v>0</v>
      </c>
    </row>
    <row r="60" spans="1:360" x14ac:dyDescent="0.25">
      <c r="A60">
        <v>21535</v>
      </c>
      <c r="B60">
        <v>0</v>
      </c>
      <c r="C60">
        <v>-33.6</v>
      </c>
      <c r="D60">
        <v>-23.6999999999999</v>
      </c>
      <c r="E60">
        <v>400</v>
      </c>
      <c r="F60">
        <v>0</v>
      </c>
      <c r="G60">
        <v>0</v>
      </c>
      <c r="H60">
        <v>0</v>
      </c>
      <c r="I60">
        <v>0</v>
      </c>
      <c r="J60">
        <v>0</v>
      </c>
      <c r="K60">
        <v>0</v>
      </c>
      <c r="L60" s="159">
        <v>6.5753399999999896E-6</v>
      </c>
      <c r="M60">
        <v>0</v>
      </c>
      <c r="N60">
        <v>0</v>
      </c>
      <c r="O60">
        <v>0</v>
      </c>
      <c r="P60">
        <v>0</v>
      </c>
      <c r="Q60">
        <v>0</v>
      </c>
      <c r="R60">
        <v>0</v>
      </c>
      <c r="S60">
        <v>0</v>
      </c>
      <c r="T60">
        <v>0</v>
      </c>
      <c r="U60">
        <v>710.03248149210299</v>
      </c>
      <c r="V60">
        <v>14.057766488992</v>
      </c>
      <c r="W60">
        <v>1.36013394618442</v>
      </c>
      <c r="X60">
        <v>0.31016528049540198</v>
      </c>
      <c r="Y60">
        <v>0.27225834956829298</v>
      </c>
      <c r="Z60">
        <v>0.41757636993630298</v>
      </c>
      <c r="AA60">
        <v>0.112431716884295</v>
      </c>
      <c r="AB60">
        <v>0.52058664817544498</v>
      </c>
      <c r="AC60">
        <v>0.36698163494025798</v>
      </c>
      <c r="AD60">
        <v>0.88456209211970704</v>
      </c>
      <c r="AE60">
        <v>4.0594991739170201E-2</v>
      </c>
      <c r="AF60">
        <v>7.4842916141122304E-2</v>
      </c>
      <c r="AG60">
        <v>0</v>
      </c>
      <c r="AH60">
        <v>3423.8715419545301</v>
      </c>
      <c r="AI60">
        <v>79.532125908223904</v>
      </c>
      <c r="AJ60">
        <v>8.1229028162445793</v>
      </c>
      <c r="AK60">
        <v>409.62410007701698</v>
      </c>
      <c r="AL60">
        <v>7.6061696035395903</v>
      </c>
      <c r="AM60">
        <v>0.85325184366202</v>
      </c>
      <c r="AN60">
        <v>8695.52538656877</v>
      </c>
      <c r="AO60">
        <v>312.75853181010098</v>
      </c>
      <c r="AP60">
        <v>31.2758531810099</v>
      </c>
      <c r="AQ60">
        <v>3.0258354852899402E-2</v>
      </c>
      <c r="AR60">
        <v>6.2715887509382203E-3</v>
      </c>
      <c r="AS60">
        <v>2.0017439518156498E-2</v>
      </c>
      <c r="AT60">
        <v>9.48</v>
      </c>
      <c r="AU60">
        <v>5.9813821939915801</v>
      </c>
      <c r="AV60">
        <v>0</v>
      </c>
      <c r="AW60">
        <v>85.184554172823795</v>
      </c>
      <c r="AX60">
        <v>66.570216028966598</v>
      </c>
      <c r="AY60">
        <v>361.46787179253602</v>
      </c>
      <c r="AZ60">
        <v>0.54833294000258104</v>
      </c>
      <c r="BA60">
        <v>0.84438301316741704</v>
      </c>
      <c r="BB60">
        <v>1.41036727882407E-2</v>
      </c>
      <c r="BC60">
        <v>1.18023834899849E-3</v>
      </c>
      <c r="BD60">
        <v>0.59871512930583604</v>
      </c>
      <c r="BE60">
        <v>9.2932181196389105E-3</v>
      </c>
      <c r="BF60">
        <v>7.57346122791632E-4</v>
      </c>
      <c r="BG60">
        <v>766.29999847710098</v>
      </c>
      <c r="BH60">
        <v>-1626.59999865293</v>
      </c>
      <c r="BI60">
        <v>430.19391106476201</v>
      </c>
      <c r="BJ60">
        <v>211.8443944382</v>
      </c>
      <c r="BK60">
        <v>3.65687518953645</v>
      </c>
      <c r="BL60">
        <v>4.7243802097957204</v>
      </c>
      <c r="BM60">
        <v>193.592777153757</v>
      </c>
      <c r="BN60">
        <v>22.222476693821299</v>
      </c>
      <c r="BO60">
        <v>215.81525384757799</v>
      </c>
      <c r="BP60">
        <v>3.4963562558884802</v>
      </c>
      <c r="BQ60">
        <v>0.29432229520782499</v>
      </c>
      <c r="BR60">
        <v>208.18751924866399</v>
      </c>
      <c r="BS60">
        <v>2.2059143007565698</v>
      </c>
      <c r="BT60">
        <v>0.294004416725831</v>
      </c>
      <c r="BU60">
        <v>3.50961751631709</v>
      </c>
      <c r="BV60">
        <v>1.7168775030757799</v>
      </c>
      <c r="BW60">
        <v>0.51588049708029005</v>
      </c>
      <c r="BX60">
        <v>1.2768595161609999</v>
      </c>
      <c r="BY60">
        <v>0</v>
      </c>
      <c r="BZ60">
        <v>3.0837146981477801</v>
      </c>
      <c r="CA60">
        <v>0.41264155774069899</v>
      </c>
      <c r="CB60">
        <v>0.295601418487839</v>
      </c>
      <c r="CC60">
        <v>0.24803261350654199</v>
      </c>
      <c r="CD60">
        <v>4.6289681701282698E-2</v>
      </c>
      <c r="CE60">
        <v>21.8944292470403</v>
      </c>
      <c r="CF60">
        <v>165.68637774922101</v>
      </c>
      <c r="CG60">
        <v>42.208089431063001</v>
      </c>
      <c r="CH60">
        <v>0.40655015706931102</v>
      </c>
      <c r="CI60">
        <v>7.2669589889488497</v>
      </c>
      <c r="CJ60">
        <v>1.72961400868226</v>
      </c>
      <c r="CK60">
        <v>9.6738166287406102</v>
      </c>
      <c r="CL60">
        <v>1.5181302444771201</v>
      </c>
      <c r="CM60">
        <v>9.9629554072075105E-2</v>
      </c>
      <c r="CN60">
        <v>4.5606354990959698E-2</v>
      </c>
      <c r="CO60">
        <v>0.58327713737120601</v>
      </c>
      <c r="CP60">
        <v>0.72441448713233403</v>
      </c>
      <c r="CQ60">
        <v>0.151813024447711</v>
      </c>
      <c r="CR60">
        <v>42.501141499442397</v>
      </c>
      <c r="CS60">
        <v>1.52867066964705</v>
      </c>
      <c r="CT60">
        <v>0.15286706696470301</v>
      </c>
      <c r="CU60">
        <v>1.4700000000000201E-2</v>
      </c>
      <c r="CV60">
        <v>2.1022146306262702E-3</v>
      </c>
      <c r="CW60">
        <v>2.2312293940552901</v>
      </c>
      <c r="CX60">
        <v>2.03000000000002E-2</v>
      </c>
      <c r="CY60">
        <v>6.0289166574245797E-3</v>
      </c>
      <c r="CZ60">
        <v>0</v>
      </c>
      <c r="DA60">
        <v>2.3999991000028501E-3</v>
      </c>
      <c r="DB60">
        <v>1.4954123160287401E-3</v>
      </c>
      <c r="DC60">
        <v>2.00000000000002E-3</v>
      </c>
      <c r="DD60">
        <v>3.3919294998408199E-3</v>
      </c>
      <c r="DE60">
        <v>9.834514531102971E-4</v>
      </c>
      <c r="DF60">
        <v>2.3999990999999999E-3</v>
      </c>
      <c r="DG60">
        <v>0</v>
      </c>
      <c r="DH60">
        <v>0</v>
      </c>
      <c r="DI60">
        <v>0.23180769400000301</v>
      </c>
      <c r="DJ60">
        <v>1.88461552000002E-2</v>
      </c>
      <c r="DK60">
        <v>2.4590874827614901</v>
      </c>
      <c r="DL60">
        <v>0.16051484874422201</v>
      </c>
      <c r="DM60">
        <v>66.768256401332707</v>
      </c>
      <c r="DN60">
        <v>231.11894741525199</v>
      </c>
      <c r="DO60">
        <v>327.66000000000003</v>
      </c>
      <c r="DP60">
        <v>29.7478986455626</v>
      </c>
      <c r="DQ60">
        <v>157.94999999999899</v>
      </c>
      <c r="DR60">
        <v>169.71</v>
      </c>
      <c r="DS60">
        <v>156.32641343939099</v>
      </c>
      <c r="DT60">
        <v>0</v>
      </c>
      <c r="DU60">
        <v>0</v>
      </c>
      <c r="DV60">
        <v>0</v>
      </c>
      <c r="DW60">
        <v>0</v>
      </c>
      <c r="DX60">
        <v>0</v>
      </c>
      <c r="DY60">
        <v>0</v>
      </c>
      <c r="DZ60">
        <v>0</v>
      </c>
      <c r="EA60">
        <v>0</v>
      </c>
      <c r="EB60">
        <v>0</v>
      </c>
      <c r="EC60">
        <v>0</v>
      </c>
      <c r="ED60">
        <v>0</v>
      </c>
      <c r="EE60">
        <v>0</v>
      </c>
      <c r="EF60">
        <v>1.2645008125449</v>
      </c>
      <c r="EG60">
        <v>0</v>
      </c>
      <c r="EH60">
        <v>0</v>
      </c>
      <c r="EI60">
        <v>0</v>
      </c>
      <c r="EJ60">
        <v>0</v>
      </c>
      <c r="EK60">
        <v>0</v>
      </c>
      <c r="EL60">
        <v>0</v>
      </c>
      <c r="EM60">
        <v>0</v>
      </c>
      <c r="EN60">
        <v>0</v>
      </c>
      <c r="EO60">
        <v>0</v>
      </c>
      <c r="EP60">
        <v>0</v>
      </c>
      <c r="EQ60">
        <v>0</v>
      </c>
      <c r="ER60">
        <v>0</v>
      </c>
      <c r="ES60">
        <v>0</v>
      </c>
      <c r="ET60">
        <v>0</v>
      </c>
      <c r="EU60">
        <v>0</v>
      </c>
      <c r="EV60">
        <v>826.66960593281203</v>
      </c>
      <c r="EW60">
        <v>-28.649999999999899</v>
      </c>
      <c r="EX60">
        <v>1494.8052241938999</v>
      </c>
      <c r="EY60">
        <v>841.89879594566401</v>
      </c>
      <c r="EZ60">
        <v>90.638710062988906</v>
      </c>
      <c r="FA60">
        <v>676.60011798814003</v>
      </c>
      <c r="FB60">
        <v>727.56640625</v>
      </c>
      <c r="FC60">
        <v>0.39092475650167102</v>
      </c>
      <c r="FD60">
        <v>0.71293319803079902</v>
      </c>
      <c r="FE60">
        <v>0</v>
      </c>
      <c r="FF60">
        <v>1</v>
      </c>
      <c r="FG60" s="159">
        <v>5.90090088162729E-13</v>
      </c>
      <c r="FH60">
        <v>0</v>
      </c>
      <c r="FI60">
        <v>5.4512674794765098E-5</v>
      </c>
      <c r="FJ60">
        <v>-5.1194585973978702E-3</v>
      </c>
      <c r="FK60" s="159">
        <v>6.57534000000779E-6</v>
      </c>
      <c r="FL60" s="159">
        <v>2.4068286434860701E-6</v>
      </c>
      <c r="FM60" s="159">
        <v>4.0968482071177803E-6</v>
      </c>
      <c r="FN60">
        <v>0</v>
      </c>
      <c r="FO60">
        <v>0</v>
      </c>
      <c r="FP60">
        <v>0</v>
      </c>
      <c r="FQ60">
        <v>0</v>
      </c>
      <c r="FR60">
        <v>0</v>
      </c>
      <c r="FS60">
        <v>0</v>
      </c>
      <c r="FT60">
        <v>0</v>
      </c>
      <c r="FU60">
        <v>0</v>
      </c>
      <c r="FV60">
        <v>-999</v>
      </c>
      <c r="FW60">
        <v>0.48790087484556099</v>
      </c>
      <c r="FX60">
        <v>3.2264164413057499E-3</v>
      </c>
      <c r="FY60">
        <v>1.21939605930711</v>
      </c>
      <c r="FZ60">
        <v>9.2010933150833598E-4</v>
      </c>
      <c r="GA60">
        <v>42.039230372859997</v>
      </c>
      <c r="GB60">
        <v>1.0641483363541201E-2</v>
      </c>
      <c r="GC60">
        <v>2.8760765847408699E-3</v>
      </c>
      <c r="GD60">
        <v>0</v>
      </c>
      <c r="GE60">
        <v>7.0226023575549598E-3</v>
      </c>
      <c r="GF60">
        <v>0.38717886668580598</v>
      </c>
      <c r="GG60">
        <v>5.5987875635945205E-4</v>
      </c>
      <c r="GH60">
        <v>9.4044135392776108E-3</v>
      </c>
      <c r="GI60">
        <v>1.8478623827530901E-2</v>
      </c>
      <c r="GJ60">
        <v>9.0990713985355501E-4</v>
      </c>
      <c r="GK60">
        <v>1.7663917396266099E-3</v>
      </c>
      <c r="GL60">
        <v>0.40181883442543997</v>
      </c>
      <c r="GM60">
        <v>6.7187607079234298E-3</v>
      </c>
      <c r="GN60">
        <v>5.5666755013881704E-4</v>
      </c>
      <c r="GO60">
        <v>0</v>
      </c>
      <c r="GP60">
        <v>0</v>
      </c>
      <c r="GQ60">
        <v>0</v>
      </c>
      <c r="GR60">
        <v>6.1314678231749499E-2</v>
      </c>
      <c r="GS60">
        <v>1.1385312576322E-3</v>
      </c>
      <c r="GT60">
        <v>1.2771919971248601E-4</v>
      </c>
      <c r="GU60">
        <v>3.8658734709807699E-2</v>
      </c>
      <c r="GV60">
        <v>7.1784080283790604E-4</v>
      </c>
      <c r="GW60">
        <v>8.0526601483121903E-5</v>
      </c>
      <c r="GX60">
        <v>0.123540609079309</v>
      </c>
      <c r="GY60">
        <v>0.13410106842969999</v>
      </c>
      <c r="GZ60">
        <v>58.943146657582297</v>
      </c>
      <c r="HA60">
        <v>676.71314904593601</v>
      </c>
      <c r="HB60">
        <v>0</v>
      </c>
      <c r="HC60">
        <v>0.99981306821759797</v>
      </c>
      <c r="HD60">
        <v>0.42418881507129402</v>
      </c>
      <c r="HE60">
        <v>1.1013918143580499E-2</v>
      </c>
      <c r="HF60">
        <v>9.5355680292400098E-4</v>
      </c>
      <c r="HG60">
        <v>1.31504162703883E-2</v>
      </c>
      <c r="HH60" s="159">
        <v>4.7618773988145698E-7</v>
      </c>
      <c r="HI60" s="159">
        <v>3.3333254385331401E-7</v>
      </c>
      <c r="HJ60">
        <v>0</v>
      </c>
      <c r="HK60">
        <v>0</v>
      </c>
      <c r="HL60">
        <v>0</v>
      </c>
      <c r="HM60">
        <v>0</v>
      </c>
      <c r="HN60">
        <v>0</v>
      </c>
      <c r="HO60">
        <v>1.1632404006796699E-2</v>
      </c>
      <c r="HP60">
        <v>0.55828988350099495</v>
      </c>
      <c r="HQ60">
        <v>1.1013918143580499E-2</v>
      </c>
      <c r="HR60">
        <v>9.5355680292400098E-4</v>
      </c>
      <c r="HS60">
        <v>0.71878111495789998</v>
      </c>
      <c r="HT60">
        <v>-999</v>
      </c>
      <c r="HU60">
        <v>1</v>
      </c>
      <c r="HV60">
        <v>0.80365968124250398</v>
      </c>
      <c r="HW60">
        <v>0.196340318757495</v>
      </c>
      <c r="HX60">
        <v>12529.0210286003</v>
      </c>
      <c r="HY60">
        <v>399.89682732186498</v>
      </c>
      <c r="HZ60">
        <v>40.252007840916498</v>
      </c>
      <c r="IA60">
        <v>-0.13410106842969999</v>
      </c>
      <c r="IB60">
        <v>0</v>
      </c>
      <c r="IC60">
        <v>0</v>
      </c>
      <c r="ID60">
        <v>0</v>
      </c>
      <c r="IE60">
        <v>0</v>
      </c>
      <c r="IF60">
        <v>0</v>
      </c>
      <c r="IG60">
        <v>0</v>
      </c>
      <c r="IH60">
        <v>0</v>
      </c>
      <c r="II60">
        <v>46.337800049999601</v>
      </c>
      <c r="IJ60">
        <v>463.37800049999902</v>
      </c>
      <c r="IK60">
        <v>1.06736593395718E-2</v>
      </c>
      <c r="IL60">
        <v>2.3352532753237302E-3</v>
      </c>
      <c r="IM60">
        <v>1.30089126148955E-2</v>
      </c>
      <c r="IN60">
        <v>8.94847366430237E-4</v>
      </c>
      <c r="IO60">
        <v>0.42441717841316301</v>
      </c>
      <c r="IP60">
        <v>1.8901966250054601E-2</v>
      </c>
      <c r="IQ60">
        <v>1.6138815383563499E-3</v>
      </c>
      <c r="IR60">
        <v>0.29238490663822703</v>
      </c>
      <c r="IS60">
        <v>0.23613168093070999</v>
      </c>
      <c r="IT60">
        <v>0.27656014133890999</v>
      </c>
      <c r="IU60">
        <v>0.30032400132717002</v>
      </c>
      <c r="IV60">
        <v>1.4438613186533601E-2</v>
      </c>
      <c r="IW60">
        <v>1.16754623200426E-3</v>
      </c>
      <c r="IX60">
        <v>7.4920853885350899E-2</v>
      </c>
      <c r="IY60">
        <v>2.69473496096453E-3</v>
      </c>
      <c r="IZ60">
        <v>2.6947349609645097E-4</v>
      </c>
      <c r="JA60">
        <v>7.5048472891744197E-2</v>
      </c>
      <c r="JB60">
        <v>2.69932513019482E-3</v>
      </c>
      <c r="JC60">
        <v>2.6993251301948E-4</v>
      </c>
      <c r="JD60">
        <v>1.7780791413953399E-4</v>
      </c>
      <c r="JE60">
        <v>3.2538481740215001E-3</v>
      </c>
      <c r="JF60" s="159">
        <v>8.7074986977741998E-19</v>
      </c>
      <c r="JG60">
        <v>0</v>
      </c>
      <c r="JH60">
        <v>4.1290257018329101E-3</v>
      </c>
      <c r="JI60">
        <v>5.4263137859350997E-4</v>
      </c>
      <c r="JJ60">
        <v>-0.509473542648614</v>
      </c>
      <c r="JK60">
        <v>1.7780791413953399E-4</v>
      </c>
      <c r="JL60" s="159">
        <v>6.5753399999999896E-6</v>
      </c>
      <c r="JM60">
        <v>-0.509473542648614</v>
      </c>
      <c r="JN60">
        <v>0</v>
      </c>
      <c r="JO60">
        <v>1.4295954007751499</v>
      </c>
      <c r="JP60">
        <v>-1.5170270760197901E-2</v>
      </c>
      <c r="JQ60">
        <v>1.0080696001592E-3</v>
      </c>
      <c r="JR60">
        <v>2.48975378526523E-2</v>
      </c>
      <c r="JS60">
        <v>1569.4651920873</v>
      </c>
      <c r="JT60">
        <v>4.5217905221830598E-2</v>
      </c>
      <c r="JU60">
        <v>0</v>
      </c>
      <c r="JV60">
        <v>365</v>
      </c>
      <c r="JW60">
        <v>0</v>
      </c>
      <c r="JX60">
        <v>-0.40268092994350901</v>
      </c>
      <c r="JY60">
        <v>0</v>
      </c>
      <c r="JZ60">
        <v>1.3236477862285201</v>
      </c>
      <c r="KA60">
        <v>1.40448214692277</v>
      </c>
      <c r="KB60">
        <v>1.4347910277728699</v>
      </c>
      <c r="KC60">
        <v>0</v>
      </c>
      <c r="KD60">
        <v>0</v>
      </c>
      <c r="KE60">
        <v>0</v>
      </c>
      <c r="KF60">
        <v>3.58031062991197E-3</v>
      </c>
      <c r="KG60">
        <v>2.2561864186717399E-2</v>
      </c>
      <c r="KH60">
        <v>3.8317443568870603E-2</v>
      </c>
      <c r="KI60">
        <v>0</v>
      </c>
      <c r="KJ60">
        <v>0</v>
      </c>
      <c r="KK60">
        <v>0</v>
      </c>
      <c r="KL60">
        <v>0</v>
      </c>
      <c r="KM60">
        <v>0</v>
      </c>
      <c r="KN60">
        <v>0</v>
      </c>
      <c r="KO60">
        <v>0</v>
      </c>
      <c r="KP60">
        <v>0</v>
      </c>
      <c r="KQ60">
        <v>0</v>
      </c>
      <c r="KR60">
        <v>0</v>
      </c>
      <c r="KS60">
        <v>0</v>
      </c>
      <c r="KT60">
        <v>0</v>
      </c>
      <c r="KU60">
        <v>0.34999999999999898</v>
      </c>
      <c r="KV60">
        <v>-0.11435218657573</v>
      </c>
      <c r="KW60">
        <v>1.8147134123701299E-3</v>
      </c>
      <c r="KX60">
        <v>33830.005899406999</v>
      </c>
      <c r="KY60">
        <v>0</v>
      </c>
      <c r="KZ60">
        <v>0.210395973821945</v>
      </c>
      <c r="LA60">
        <v>1.73602675993533E-5</v>
      </c>
      <c r="LB60">
        <v>0</v>
      </c>
      <c r="LC60">
        <v>-12.1376483523335</v>
      </c>
      <c r="LD60">
        <v>1.57173415723844E-2</v>
      </c>
      <c r="LE60">
        <v>3.4125863890419402E-3</v>
      </c>
      <c r="LF60">
        <v>1.57173415723844E-2</v>
      </c>
      <c r="LG60">
        <v>0.951269921006479</v>
      </c>
      <c r="LH60">
        <v>1.2389430920528099</v>
      </c>
      <c r="LI60">
        <v>0</v>
      </c>
      <c r="LJ60">
        <v>0</v>
      </c>
      <c r="LK60">
        <v>0.24338444049378199</v>
      </c>
      <c r="LL60">
        <v>0</v>
      </c>
      <c r="LM60">
        <v>0</v>
      </c>
      <c r="LN60">
        <v>0</v>
      </c>
      <c r="LO60">
        <v>0</v>
      </c>
      <c r="LP60">
        <v>0</v>
      </c>
      <c r="LQ60">
        <v>0</v>
      </c>
      <c r="LR60">
        <v>0</v>
      </c>
      <c r="LS60">
        <v>0</v>
      </c>
      <c r="LT60">
        <v>-999</v>
      </c>
      <c r="LU60">
        <v>0.42566893679696899</v>
      </c>
      <c r="LV60">
        <v>59</v>
      </c>
      <c r="LW60">
        <v>229.68</v>
      </c>
      <c r="LX60">
        <v>2.1459999999999901</v>
      </c>
      <c r="LY60">
        <v>0</v>
      </c>
      <c r="LZ60">
        <v>-999</v>
      </c>
      <c r="MA60">
        <v>0</v>
      </c>
      <c r="MB60">
        <v>0</v>
      </c>
      <c r="MC60">
        <v>629.67999999999995</v>
      </c>
      <c r="MD60">
        <v>-23.6999999999999</v>
      </c>
      <c r="ME60">
        <v>-33.6</v>
      </c>
      <c r="MF60">
        <v>0</v>
      </c>
      <c r="MG60">
        <v>8.0706896550000007</v>
      </c>
      <c r="MH60">
        <v>0</v>
      </c>
      <c r="MI60">
        <v>0</v>
      </c>
      <c r="MJ60">
        <v>0</v>
      </c>
      <c r="MK60">
        <v>0</v>
      </c>
      <c r="ML60">
        <v>0</v>
      </c>
      <c r="MM60">
        <v>0</v>
      </c>
      <c r="MN60">
        <v>0</v>
      </c>
      <c r="MO60">
        <v>0</v>
      </c>
      <c r="MP60">
        <v>0</v>
      </c>
      <c r="MQ60">
        <v>0</v>
      </c>
      <c r="MR60">
        <v>0</v>
      </c>
      <c r="MS60">
        <v>0</v>
      </c>
      <c r="MT60">
        <v>0</v>
      </c>
      <c r="MU60">
        <v>0</v>
      </c>
      <c r="MV60">
        <v>0</v>
      </c>
    </row>
    <row r="61" spans="1:360" x14ac:dyDescent="0.25">
      <c r="A61">
        <v>21900</v>
      </c>
      <c r="B61">
        <v>0</v>
      </c>
      <c r="C61">
        <v>-33.6</v>
      </c>
      <c r="D61">
        <v>-23.6999999999999</v>
      </c>
      <c r="E61">
        <v>400</v>
      </c>
      <c r="F61">
        <v>0</v>
      </c>
      <c r="G61">
        <v>0</v>
      </c>
      <c r="H61">
        <v>0</v>
      </c>
      <c r="I61">
        <v>0</v>
      </c>
      <c r="J61">
        <v>0</v>
      </c>
      <c r="K61">
        <v>0</v>
      </c>
      <c r="L61" s="159">
        <v>6.5753399999999896E-6</v>
      </c>
      <c r="M61">
        <v>0</v>
      </c>
      <c r="N61">
        <v>0</v>
      </c>
      <c r="O61">
        <v>0</v>
      </c>
      <c r="P61">
        <v>0</v>
      </c>
      <c r="Q61">
        <v>0</v>
      </c>
      <c r="R61">
        <v>0</v>
      </c>
      <c r="S61">
        <v>0</v>
      </c>
      <c r="T61">
        <v>0</v>
      </c>
      <c r="U61">
        <v>710.776584014067</v>
      </c>
      <c r="V61">
        <v>14.070873164218201</v>
      </c>
      <c r="W61">
        <v>1.3614012098719599</v>
      </c>
      <c r="X61">
        <v>0.30903077858816203</v>
      </c>
      <c r="Y61">
        <v>0.27201537781547902</v>
      </c>
      <c r="Z61">
        <v>0.41895384359635801</v>
      </c>
      <c r="AA61">
        <v>0.112434092070192</v>
      </c>
      <c r="AB61">
        <v>0.52138204568482704</v>
      </c>
      <c r="AC61">
        <v>0.36618386224498001</v>
      </c>
      <c r="AD61">
        <v>0.88456212709503901</v>
      </c>
      <c r="AE61">
        <v>4.0499808827494599E-2</v>
      </c>
      <c r="AF61">
        <v>7.4938064077465394E-2</v>
      </c>
      <c r="AG61">
        <v>0</v>
      </c>
      <c r="AH61">
        <v>3424.5138773677299</v>
      </c>
      <c r="AI61">
        <v>79.508179711568502</v>
      </c>
      <c r="AJ61">
        <v>8.1236167102787604</v>
      </c>
      <c r="AK61">
        <v>409.94949424982798</v>
      </c>
      <c r="AL61">
        <v>7.6122117364754898</v>
      </c>
      <c r="AM61">
        <v>0.85392964357129297</v>
      </c>
      <c r="AN61">
        <v>8695.2331640251195</v>
      </c>
      <c r="AO61">
        <v>312.748021221074</v>
      </c>
      <c r="AP61">
        <v>31.2748021221072</v>
      </c>
      <c r="AQ61">
        <v>3.0277051761076899E-2</v>
      </c>
      <c r="AR61">
        <v>6.2774350442985896E-3</v>
      </c>
      <c r="AS61">
        <v>1.9942169706590199E-2</v>
      </c>
      <c r="AT61">
        <v>9.48</v>
      </c>
      <c r="AU61">
        <v>5.9808663314348696</v>
      </c>
      <c r="AV61">
        <v>0</v>
      </c>
      <c r="AW61">
        <v>85.202095491120801</v>
      </c>
      <c r="AX61">
        <v>66.577245236829498</v>
      </c>
      <c r="AY61">
        <v>361.46605690461098</v>
      </c>
      <c r="AZ61">
        <v>0.54833294000258104</v>
      </c>
      <c r="BA61">
        <v>0.84491270846791899</v>
      </c>
      <c r="BB61">
        <v>1.41102164102549E-2</v>
      </c>
      <c r="BC61">
        <v>1.18085989100487E-3</v>
      </c>
      <c r="BD61">
        <v>0.59890008903408798</v>
      </c>
      <c r="BE61">
        <v>9.2960782118825403E-3</v>
      </c>
      <c r="BF61">
        <v>7.5749053731218995E-4</v>
      </c>
      <c r="BG61">
        <v>766.29999847710098</v>
      </c>
      <c r="BH61">
        <v>-1626.59999865293</v>
      </c>
      <c r="BI61">
        <v>430.43456804930599</v>
      </c>
      <c r="BJ61">
        <v>211.91700815144401</v>
      </c>
      <c r="BK61">
        <v>3.6509347259209801</v>
      </c>
      <c r="BL61">
        <v>4.7295292436502496</v>
      </c>
      <c r="BM61">
        <v>193.66463648261399</v>
      </c>
      <c r="BN61">
        <v>22.237798390517099</v>
      </c>
      <c r="BO61">
        <v>215.902434873131</v>
      </c>
      <c r="BP61">
        <v>3.4981246682838298</v>
      </c>
      <c r="BQ61">
        <v>0.29448654278293002</v>
      </c>
      <c r="BR61">
        <v>208.26607342552401</v>
      </c>
      <c r="BS61">
        <v>2.20614546754837</v>
      </c>
      <c r="BT61">
        <v>0.29414590774218702</v>
      </c>
      <c r="BU61">
        <v>3.5112313435100502</v>
      </c>
      <c r="BV61">
        <v>1.7180367064214499</v>
      </c>
      <c r="BW61">
        <v>0.51494349015609298</v>
      </c>
      <c r="BX61">
        <v>1.2782511469325</v>
      </c>
      <c r="BY61">
        <v>0</v>
      </c>
      <c r="BZ61">
        <v>3.0851986072054101</v>
      </c>
      <c r="CA61">
        <v>0.41292606107841701</v>
      </c>
      <c r="CB61">
        <v>0.29575380647046501</v>
      </c>
      <c r="CC61">
        <v>0.24816494580627299</v>
      </c>
      <c r="CD61">
        <v>4.6321596976656498E-2</v>
      </c>
      <c r="CE61">
        <v>21.912404217705401</v>
      </c>
      <c r="CF61">
        <v>165.765396259791</v>
      </c>
      <c r="CG61">
        <v>42.2084546220823</v>
      </c>
      <c r="CH61">
        <v>0.406883928142526</v>
      </c>
      <c r="CI61">
        <v>7.2721347149156097</v>
      </c>
      <c r="CJ61">
        <v>1.7305960251118799</v>
      </c>
      <c r="CK61">
        <v>9.6802222389702202</v>
      </c>
      <c r="CL61">
        <v>1.51814337957845</v>
      </c>
      <c r="CM61">
        <v>9.97900452730138E-2</v>
      </c>
      <c r="CN61">
        <v>4.5643797067382502E-2</v>
      </c>
      <c r="CO61">
        <v>0.58107297292261195</v>
      </c>
      <c r="CP61">
        <v>0.72235348380423503</v>
      </c>
      <c r="CQ61">
        <v>0.15181433795784399</v>
      </c>
      <c r="CR61">
        <v>42.500677165732398</v>
      </c>
      <c r="CS61">
        <v>1.5286539686056499</v>
      </c>
      <c r="CT61">
        <v>0.152865396860564</v>
      </c>
      <c r="CU61">
        <v>1.47000000000006E-2</v>
      </c>
      <c r="CV61">
        <v>2.1052077930178098E-3</v>
      </c>
      <c r="CW61">
        <v>2.2312808815376002</v>
      </c>
      <c r="CX61">
        <v>2.0300000000000901E-2</v>
      </c>
      <c r="CY61">
        <v>6.0355199762707097E-3</v>
      </c>
      <c r="CZ61">
        <v>0</v>
      </c>
      <c r="DA61">
        <v>2.3999991000028401E-3</v>
      </c>
      <c r="DB61">
        <v>1.4952838540624499E-3</v>
      </c>
      <c r="DC61">
        <v>2.0000000000000798E-3</v>
      </c>
      <c r="DD61">
        <v>3.3832327400047301E-3</v>
      </c>
      <c r="DE61">
        <v>9.7942129734964497E-4</v>
      </c>
      <c r="DF61">
        <v>2.3999990999999999E-3</v>
      </c>
      <c r="DG61">
        <v>0</v>
      </c>
      <c r="DH61">
        <v>0</v>
      </c>
      <c r="DI61">
        <v>0.23180769400001</v>
      </c>
      <c r="DJ61">
        <v>1.88461552000008E-2</v>
      </c>
      <c r="DK61">
        <v>2.4631328555834702</v>
      </c>
      <c r="DL61">
        <v>0.16077890702241901</v>
      </c>
      <c r="DM61">
        <v>66.394755992501203</v>
      </c>
      <c r="DN61">
        <v>231.52131737237499</v>
      </c>
      <c r="DO61">
        <v>327.66000000000003</v>
      </c>
      <c r="DP61">
        <v>29.719361874445099</v>
      </c>
      <c r="DQ61">
        <v>157.94999999999899</v>
      </c>
      <c r="DR61">
        <v>169.71</v>
      </c>
      <c r="DS61">
        <v>156.34562253915701</v>
      </c>
      <c r="DT61">
        <v>0</v>
      </c>
      <c r="DU61">
        <v>0</v>
      </c>
      <c r="DV61">
        <v>0</v>
      </c>
      <c r="DW61">
        <v>0</v>
      </c>
      <c r="DX61">
        <v>0</v>
      </c>
      <c r="DY61">
        <v>0</v>
      </c>
      <c r="DZ61">
        <v>0</v>
      </c>
      <c r="EA61">
        <v>0</v>
      </c>
      <c r="EB61">
        <v>0</v>
      </c>
      <c r="EC61">
        <v>0</v>
      </c>
      <c r="ED61">
        <v>0</v>
      </c>
      <c r="EE61">
        <v>0</v>
      </c>
      <c r="EF61">
        <v>1.2637562248624701</v>
      </c>
      <c r="EG61">
        <v>0</v>
      </c>
      <c r="EH61">
        <v>0</v>
      </c>
      <c r="EI61">
        <v>0</v>
      </c>
      <c r="EJ61">
        <v>0</v>
      </c>
      <c r="EK61">
        <v>0</v>
      </c>
      <c r="EL61">
        <v>0</v>
      </c>
      <c r="EM61">
        <v>0</v>
      </c>
      <c r="EN61">
        <v>0</v>
      </c>
      <c r="EO61">
        <v>0</v>
      </c>
      <c r="EP61">
        <v>0</v>
      </c>
      <c r="EQ61">
        <v>0</v>
      </c>
      <c r="ER61">
        <v>0</v>
      </c>
      <c r="ES61">
        <v>0</v>
      </c>
      <c r="ET61">
        <v>0</v>
      </c>
      <c r="EU61">
        <v>0</v>
      </c>
      <c r="EV61">
        <v>827.45250839984396</v>
      </c>
      <c r="EW61">
        <v>-28.649999999999899</v>
      </c>
      <c r="EX61">
        <v>1496.3717558190899</v>
      </c>
      <c r="EY61">
        <v>842.35740733062198</v>
      </c>
      <c r="EZ61">
        <v>90.470244497798205</v>
      </c>
      <c r="FA61">
        <v>677.36596162726505</v>
      </c>
      <c r="FB61">
        <v>728.53552246093705</v>
      </c>
      <c r="FC61">
        <v>0.39019816451900302</v>
      </c>
      <c r="FD61">
        <v>0.71160810531857899</v>
      </c>
      <c r="FE61">
        <v>0</v>
      </c>
      <c r="FF61">
        <v>1</v>
      </c>
      <c r="FG61" s="159">
        <v>5.9011546510713003E-13</v>
      </c>
      <c r="FH61">
        <v>0</v>
      </c>
      <c r="FI61">
        <v>5.4512674794765098E-5</v>
      </c>
      <c r="FJ61">
        <v>-5.1104807405074996E-3</v>
      </c>
      <c r="FK61" s="159">
        <v>6.57534000000779E-6</v>
      </c>
      <c r="FL61" s="159">
        <v>2.3977310971900602E-6</v>
      </c>
      <c r="FM61" s="159">
        <v>4.0964948756432104E-6</v>
      </c>
      <c r="FN61">
        <v>0</v>
      </c>
      <c r="FO61">
        <v>0</v>
      </c>
      <c r="FP61">
        <v>0</v>
      </c>
      <c r="FQ61">
        <v>0</v>
      </c>
      <c r="FR61">
        <v>0</v>
      </c>
      <c r="FS61">
        <v>0</v>
      </c>
      <c r="FT61">
        <v>0</v>
      </c>
      <c r="FU61">
        <v>0</v>
      </c>
      <c r="FV61">
        <v>-999</v>
      </c>
      <c r="FW61">
        <v>0.48820060244344399</v>
      </c>
      <c r="FX61">
        <v>3.2274782165499102E-3</v>
      </c>
      <c r="FY61">
        <v>1.2204778555865601</v>
      </c>
      <c r="FZ61">
        <v>9.1848066573726897E-4</v>
      </c>
      <c r="GA61">
        <v>42.010039170136899</v>
      </c>
      <c r="GB61">
        <v>1.0644576812932301E-2</v>
      </c>
      <c r="GC61">
        <v>2.8769126521438798E-3</v>
      </c>
      <c r="GD61">
        <v>0</v>
      </c>
      <c r="GE61">
        <v>7.0228715344310601E-3</v>
      </c>
      <c r="GF61">
        <v>0.38571537335650702</v>
      </c>
      <c r="GG61">
        <v>5.5994187317465096E-4</v>
      </c>
      <c r="GH61">
        <v>9.4033271541643405E-3</v>
      </c>
      <c r="GI61">
        <v>1.8475969504428699E-2</v>
      </c>
      <c r="GJ61">
        <v>9.0980146115278296E-4</v>
      </c>
      <c r="GK61">
        <v>1.7661938352683899E-3</v>
      </c>
      <c r="GL61">
        <v>0.40222005189042298</v>
      </c>
      <c r="GM61">
        <v>6.7257013288058902E-3</v>
      </c>
      <c r="GN61">
        <v>5.5723948939506002E-4</v>
      </c>
      <c r="GO61">
        <v>0</v>
      </c>
      <c r="GP61">
        <v>0</v>
      </c>
      <c r="GQ61">
        <v>0</v>
      </c>
      <c r="GR61">
        <v>6.1355500123838197E-2</v>
      </c>
      <c r="GS61">
        <v>1.1392892653634501E-3</v>
      </c>
      <c r="GT61">
        <v>1.27804232196366E-4</v>
      </c>
      <c r="GU61">
        <v>3.8689579998041498E-2</v>
      </c>
      <c r="GV61">
        <v>7.1841355842951497E-4</v>
      </c>
      <c r="GW61">
        <v>8.0590852583212904E-5</v>
      </c>
      <c r="GX61">
        <v>0.123676291433427</v>
      </c>
      <c r="GY61">
        <v>0.13423583878790701</v>
      </c>
      <c r="GZ61">
        <v>58.941653707498297</v>
      </c>
      <c r="HA61">
        <v>676.70943824917902</v>
      </c>
      <c r="HB61">
        <v>0</v>
      </c>
      <c r="HC61">
        <v>0.999813068205052</v>
      </c>
      <c r="HD61">
        <v>0.424596233636863</v>
      </c>
      <c r="HE61">
        <v>1.10245546063279E-2</v>
      </c>
      <c r="HF61">
        <v>9.5447412093819595E-4</v>
      </c>
      <c r="HG61">
        <v>1.31669922502969E-2</v>
      </c>
      <c r="HH61" s="159">
        <v>4.7618774395157799E-7</v>
      </c>
      <c r="HI61" s="159">
        <v>3.3333254378628702E-7</v>
      </c>
      <c r="HJ61">
        <v>0</v>
      </c>
      <c r="HK61">
        <v>0</v>
      </c>
      <c r="HL61">
        <v>0</v>
      </c>
      <c r="HM61">
        <v>0</v>
      </c>
      <c r="HN61">
        <v>0</v>
      </c>
      <c r="HO61">
        <v>1.1647066937174599E-2</v>
      </c>
      <c r="HP61">
        <v>0.55883207242477095</v>
      </c>
      <c r="HQ61">
        <v>1.10245546063279E-2</v>
      </c>
      <c r="HR61">
        <v>9.5447412093819595E-4</v>
      </c>
      <c r="HS61">
        <v>0.71854839164584405</v>
      </c>
      <c r="HT61">
        <v>-999</v>
      </c>
      <c r="HU61">
        <v>1</v>
      </c>
      <c r="HV61">
        <v>0.80413130546782396</v>
      </c>
      <c r="HW61">
        <v>0.19586869453217501</v>
      </c>
      <c r="HX61">
        <v>12529.696535642601</v>
      </c>
      <c r="HY61">
        <v>399.86841266911802</v>
      </c>
      <c r="HZ61">
        <v>40.252348475957199</v>
      </c>
      <c r="IA61">
        <v>-0.13423583878790701</v>
      </c>
      <c r="IB61">
        <v>0</v>
      </c>
      <c r="IC61">
        <v>0</v>
      </c>
      <c r="ID61">
        <v>0</v>
      </c>
      <c r="IE61">
        <v>0</v>
      </c>
      <c r="IF61">
        <v>0</v>
      </c>
      <c r="IG61">
        <v>0</v>
      </c>
      <c r="IH61">
        <v>0</v>
      </c>
      <c r="II61">
        <v>46.337800049999601</v>
      </c>
      <c r="IJ61">
        <v>463.37800049999902</v>
      </c>
      <c r="IK61">
        <v>1.06874160322871E-2</v>
      </c>
      <c r="IL61">
        <v>2.3388651137018599E-3</v>
      </c>
      <c r="IM61">
        <v>1.3026281145988999E-2</v>
      </c>
      <c r="IN61">
        <v>8.9178823794577899E-4</v>
      </c>
      <c r="IO61">
        <v>0.42449829170307501</v>
      </c>
      <c r="IP61">
        <v>1.8917913489180899E-2</v>
      </c>
      <c r="IQ61">
        <v>1.6108881282326101E-3</v>
      </c>
      <c r="IR61">
        <v>0.29226422891843601</v>
      </c>
      <c r="IS61">
        <v>0.23588032319334401</v>
      </c>
      <c r="IT61">
        <v>0.27701262860926101</v>
      </c>
      <c r="IU61">
        <v>0.30043262580128199</v>
      </c>
      <c r="IV61">
        <v>1.4455549941209201E-2</v>
      </c>
      <c r="IW61">
        <v>1.1646517734354401E-3</v>
      </c>
      <c r="IX61">
        <v>7.4919194230250105E-2</v>
      </c>
      <c r="IY61">
        <v>2.6946752668955002E-3</v>
      </c>
      <c r="IZ61">
        <v>2.69467526689548E-4</v>
      </c>
      <c r="JA61">
        <v>7.5046214310195994E-2</v>
      </c>
      <c r="JB61">
        <v>2.69924389408572E-3</v>
      </c>
      <c r="JC61">
        <v>2.6992438940857E-4</v>
      </c>
      <c r="JD61">
        <v>1.78087354580688E-4</v>
      </c>
      <c r="JE61">
        <v>3.25584466782416E-3</v>
      </c>
      <c r="JF61" s="159">
        <v>-1.48400172358953E-18</v>
      </c>
      <c r="JG61">
        <v>0</v>
      </c>
      <c r="JH61">
        <v>4.12851268930593E-3</v>
      </c>
      <c r="JI61">
        <v>5.4278792489823903E-4</v>
      </c>
      <c r="JJ61">
        <v>-0.50971467889938504</v>
      </c>
      <c r="JK61">
        <v>1.78087354580688E-4</v>
      </c>
      <c r="JL61" s="159">
        <v>6.5753399999999896E-6</v>
      </c>
      <c r="JM61">
        <v>-0.50971467889938504</v>
      </c>
      <c r="JN61">
        <v>0</v>
      </c>
      <c r="JO61">
        <v>1.4196095643370701</v>
      </c>
      <c r="JP61">
        <v>-1.5283434318692101E-2</v>
      </c>
      <c r="JQ61">
        <v>1.01676635999535E-3</v>
      </c>
      <c r="JR61">
        <v>2.4564760678625602E-2</v>
      </c>
      <c r="JS61">
        <v>1570.89295702354</v>
      </c>
      <c r="JT61">
        <v>4.5133860998846101E-2</v>
      </c>
      <c r="JU61">
        <v>0</v>
      </c>
      <c r="JV61">
        <v>365</v>
      </c>
      <c r="JW61">
        <v>0</v>
      </c>
      <c r="JX61">
        <v>-0.40268092994350901</v>
      </c>
      <c r="JY61">
        <v>0</v>
      </c>
      <c r="JZ61">
        <v>1.3239891085673601</v>
      </c>
      <c r="KA61">
        <v>1.4046590055250501</v>
      </c>
      <c r="KB61">
        <v>1.43517888708659</v>
      </c>
      <c r="KC61">
        <v>0</v>
      </c>
      <c r="KD61">
        <v>0</v>
      </c>
      <c r="KE61">
        <v>0</v>
      </c>
      <c r="KF61">
        <v>3.5816243716580002E-3</v>
      </c>
      <c r="KG61">
        <v>2.25753091067654E-2</v>
      </c>
      <c r="KH61">
        <v>3.8279997939511E-2</v>
      </c>
      <c r="KI61">
        <v>0</v>
      </c>
      <c r="KJ61">
        <v>0</v>
      </c>
      <c r="KK61">
        <v>0</v>
      </c>
      <c r="KL61">
        <v>0</v>
      </c>
      <c r="KM61">
        <v>0</v>
      </c>
      <c r="KN61">
        <v>0</v>
      </c>
      <c r="KO61">
        <v>0</v>
      </c>
      <c r="KP61">
        <v>0</v>
      </c>
      <c r="KQ61">
        <v>0</v>
      </c>
      <c r="KR61">
        <v>0</v>
      </c>
      <c r="KS61">
        <v>0</v>
      </c>
      <c r="KT61">
        <v>0</v>
      </c>
      <c r="KU61">
        <v>0.34999999999999898</v>
      </c>
      <c r="KV61">
        <v>-0.114283424782296</v>
      </c>
      <c r="KW61">
        <v>1.8136872464163301E-3</v>
      </c>
      <c r="KX61">
        <v>33868.298081363202</v>
      </c>
      <c r="KY61">
        <v>0</v>
      </c>
      <c r="KZ61">
        <v>0.21040205187505101</v>
      </c>
      <c r="LA61">
        <v>1.73602675993533E-5</v>
      </c>
      <c r="LB61">
        <v>0</v>
      </c>
      <c r="LC61">
        <v>-12.1372406127823</v>
      </c>
      <c r="LD61">
        <v>1.5717578339947198E-2</v>
      </c>
      <c r="LE61">
        <v>3.4128097546672399E-3</v>
      </c>
      <c r="LF61">
        <v>1.5717578339947198E-2</v>
      </c>
      <c r="LG61">
        <v>0.95144976684975202</v>
      </c>
      <c r="LH61">
        <v>1.23914746232926</v>
      </c>
      <c r="LI61">
        <v>0</v>
      </c>
      <c r="LJ61">
        <v>0</v>
      </c>
      <c r="LK61">
        <v>0.243434558546059</v>
      </c>
      <c r="LL61">
        <v>0</v>
      </c>
      <c r="LM61">
        <v>0</v>
      </c>
      <c r="LN61">
        <v>0</v>
      </c>
      <c r="LO61">
        <v>0</v>
      </c>
      <c r="LP61">
        <v>0</v>
      </c>
      <c r="LQ61">
        <v>0</v>
      </c>
      <c r="LR61">
        <v>0</v>
      </c>
      <c r="LS61">
        <v>0</v>
      </c>
      <c r="LT61">
        <v>-999</v>
      </c>
      <c r="LU61">
        <v>0.42567043141868399</v>
      </c>
      <c r="LV61">
        <v>60</v>
      </c>
      <c r="LW61">
        <v>233.63999999999899</v>
      </c>
      <c r="LX61">
        <v>2.1829999999999901</v>
      </c>
      <c r="LY61">
        <v>0</v>
      </c>
      <c r="LZ61">
        <v>-999</v>
      </c>
      <c r="MA61">
        <v>0</v>
      </c>
      <c r="MB61">
        <v>0</v>
      </c>
      <c r="MC61">
        <v>633.63999999999896</v>
      </c>
      <c r="MD61">
        <v>-23.6999999999999</v>
      </c>
      <c r="ME61">
        <v>-33.6</v>
      </c>
      <c r="MF61">
        <v>0</v>
      </c>
      <c r="MG61">
        <v>8.0706896550000007</v>
      </c>
      <c r="MH61">
        <v>0</v>
      </c>
      <c r="MI61">
        <v>0</v>
      </c>
      <c r="MJ61">
        <v>0</v>
      </c>
      <c r="MK61">
        <v>0</v>
      </c>
      <c r="ML61">
        <v>0</v>
      </c>
      <c r="MM61">
        <v>0</v>
      </c>
      <c r="MN61">
        <v>0</v>
      </c>
      <c r="MO61">
        <v>0</v>
      </c>
      <c r="MP61">
        <v>0</v>
      </c>
      <c r="MQ61">
        <v>0</v>
      </c>
      <c r="MR61">
        <v>0</v>
      </c>
      <c r="MS61">
        <v>0</v>
      </c>
      <c r="MT61">
        <v>0</v>
      </c>
      <c r="MU61">
        <v>0</v>
      </c>
      <c r="MV61">
        <v>0</v>
      </c>
    </row>
    <row r="62" spans="1:360" x14ac:dyDescent="0.25">
      <c r="A62">
        <v>22265</v>
      </c>
      <c r="B62">
        <v>0</v>
      </c>
      <c r="C62">
        <v>-33.6</v>
      </c>
      <c r="D62">
        <v>-23.6999999999999</v>
      </c>
      <c r="E62">
        <v>400</v>
      </c>
      <c r="F62">
        <v>0</v>
      </c>
      <c r="G62">
        <v>0</v>
      </c>
      <c r="H62">
        <v>0</v>
      </c>
      <c r="I62">
        <v>0</v>
      </c>
      <c r="J62">
        <v>0</v>
      </c>
      <c r="K62">
        <v>0</v>
      </c>
      <c r="L62" s="159">
        <v>6.5753399999999896E-6</v>
      </c>
      <c r="M62">
        <v>0</v>
      </c>
      <c r="N62">
        <v>0</v>
      </c>
      <c r="O62">
        <v>0</v>
      </c>
      <c r="P62">
        <v>0</v>
      </c>
      <c r="Q62">
        <v>0</v>
      </c>
      <c r="R62">
        <v>0</v>
      </c>
      <c r="S62">
        <v>0</v>
      </c>
      <c r="T62">
        <v>0</v>
      </c>
      <c r="U62">
        <v>711.51310008689097</v>
      </c>
      <c r="V62">
        <v>14.083833686996099</v>
      </c>
      <c r="W62">
        <v>1.36265668451046</v>
      </c>
      <c r="X62">
        <v>0.30791021624084303</v>
      </c>
      <c r="Y62">
        <v>0.27177761858739702</v>
      </c>
      <c r="Z62">
        <v>0.42031216517175801</v>
      </c>
      <c r="AA62">
        <v>0.11243656363398501</v>
      </c>
      <c r="AB62">
        <v>0.522176338315681</v>
      </c>
      <c r="AC62">
        <v>0.36538709805033198</v>
      </c>
      <c r="AD62">
        <v>0.88456196691893396</v>
      </c>
      <c r="AE62">
        <v>4.04045050761907E-2</v>
      </c>
      <c r="AF62">
        <v>7.50335280048747E-2</v>
      </c>
      <c r="AG62">
        <v>0</v>
      </c>
      <c r="AH62">
        <v>3425.1571415706599</v>
      </c>
      <c r="AI62">
        <v>79.484284846798104</v>
      </c>
      <c r="AJ62">
        <v>8.1243551733690698</v>
      </c>
      <c r="AK62">
        <v>410.27221351106499</v>
      </c>
      <c r="AL62">
        <v>7.6182041998946302</v>
      </c>
      <c r="AM62">
        <v>0.85460187160812895</v>
      </c>
      <c r="AN62">
        <v>8694.9419268558104</v>
      </c>
      <c r="AO62">
        <v>312.73754607375002</v>
      </c>
      <c r="AP62">
        <v>31.273754607374801</v>
      </c>
      <c r="AQ62">
        <v>3.0295266438513199E-2</v>
      </c>
      <c r="AR62">
        <v>6.2831601660205899E-3</v>
      </c>
      <c r="AS62">
        <v>1.9868487622106499E-2</v>
      </c>
      <c r="AT62">
        <v>9.48</v>
      </c>
      <c r="AU62">
        <v>5.9803466528918303</v>
      </c>
      <c r="AV62">
        <v>0</v>
      </c>
      <c r="AW62">
        <v>85.219405897819897</v>
      </c>
      <c r="AX62">
        <v>66.584176137756501</v>
      </c>
      <c r="AY62">
        <v>361.46426693624198</v>
      </c>
      <c r="AZ62">
        <v>0.54833294000258104</v>
      </c>
      <c r="BA62">
        <v>0.84543678319770899</v>
      </c>
      <c r="BB62">
        <v>1.4116689707739801E-2</v>
      </c>
      <c r="BC62">
        <v>1.18147541236301E-3</v>
      </c>
      <c r="BD62">
        <v>0.59908502068602898</v>
      </c>
      <c r="BE62">
        <v>9.2989281177191796E-3</v>
      </c>
      <c r="BF62">
        <v>7.5763572343152301E-4</v>
      </c>
      <c r="BG62">
        <v>766.29999847710098</v>
      </c>
      <c r="BH62">
        <v>-1626.59999865293</v>
      </c>
      <c r="BI62">
        <v>430.67468026862099</v>
      </c>
      <c r="BJ62">
        <v>211.99047647649201</v>
      </c>
      <c r="BK62">
        <v>3.6465820493578001</v>
      </c>
      <c r="BL62">
        <v>4.7347143469462702</v>
      </c>
      <c r="BM62">
        <v>193.735728896783</v>
      </c>
      <c r="BN62">
        <v>22.252945853835701</v>
      </c>
      <c r="BO62">
        <v>215.988674750618</v>
      </c>
      <c r="BP62">
        <v>3.4998708318141398</v>
      </c>
      <c r="BQ62">
        <v>0.29464918821237002</v>
      </c>
      <c r="BR62">
        <v>208.34389442713501</v>
      </c>
      <c r="BS62">
        <v>2.20635289602949</v>
      </c>
      <c r="BT62">
        <v>0.29428601181757302</v>
      </c>
      <c r="BU62">
        <v>3.5128313545920098</v>
      </c>
      <c r="BV62">
        <v>1.7191796572803499</v>
      </c>
      <c r="BW62">
        <v>0.51399917110995896</v>
      </c>
      <c r="BX62">
        <v>1.27965252620169</v>
      </c>
      <c r="BY62">
        <v>0</v>
      </c>
      <c r="BZ62">
        <v>3.0866635026778999</v>
      </c>
      <c r="CA62">
        <v>0.41320732913623698</v>
      </c>
      <c r="CB62">
        <v>0.29590466285086697</v>
      </c>
      <c r="CC62">
        <v>0.24829603889052501</v>
      </c>
      <c r="CD62">
        <v>4.6353149321845699E-2</v>
      </c>
      <c r="CE62">
        <v>21.9302265925987</v>
      </c>
      <c r="CF62">
        <v>165.84369765465701</v>
      </c>
      <c r="CG62">
        <v>42.208959603178201</v>
      </c>
      <c r="CH62">
        <v>0.40721486571712401</v>
      </c>
      <c r="CI62">
        <v>7.2772521066387998</v>
      </c>
      <c r="CJ62">
        <v>1.73156696713641</v>
      </c>
      <c r="CK62">
        <v>9.6865352798662201</v>
      </c>
      <c r="CL62">
        <v>1.5181615426150801</v>
      </c>
      <c r="CM62">
        <v>9.9950532473908393E-2</v>
      </c>
      <c r="CN62">
        <v>4.5680921285008599E-2</v>
      </c>
      <c r="CO62">
        <v>0.57891494059380699</v>
      </c>
      <c r="CP62">
        <v>0.720337283417534</v>
      </c>
      <c r="CQ62">
        <v>0.15181615426150699</v>
      </c>
      <c r="CR62">
        <v>42.500196772477203</v>
      </c>
      <c r="CS62">
        <v>1.52863668993846</v>
      </c>
      <c r="CT62">
        <v>0.15286366899384499</v>
      </c>
      <c r="CU62">
        <v>1.4699999999996501E-2</v>
      </c>
      <c r="CV62">
        <v>2.1081460649490899E-3</v>
      </c>
      <c r="CW62">
        <v>2.2313138451431498</v>
      </c>
      <c r="CX62">
        <v>2.02999999999952E-2</v>
      </c>
      <c r="CY62">
        <v>6.0419817750612496E-3</v>
      </c>
      <c r="CZ62">
        <v>0</v>
      </c>
      <c r="DA62">
        <v>2.3999991000028401E-3</v>
      </c>
      <c r="DB62">
        <v>1.49515442707799E-3</v>
      </c>
      <c r="DC62">
        <v>1.99999999999952E-3</v>
      </c>
      <c r="DD62">
        <v>3.3747086942116102E-3</v>
      </c>
      <c r="DE62">
        <v>9.75475884058763E-4</v>
      </c>
      <c r="DF62">
        <v>2.3999990999999899E-3</v>
      </c>
      <c r="DG62">
        <v>0</v>
      </c>
      <c r="DH62">
        <v>0</v>
      </c>
      <c r="DI62">
        <v>0.231807693999945</v>
      </c>
      <c r="DJ62">
        <v>1.8846155199995499E-2</v>
      </c>
      <c r="DK62">
        <v>2.4671273756727401</v>
      </c>
      <c r="DL62">
        <v>0.161039645931641</v>
      </c>
      <c r="DM62">
        <v>66.025683657719895</v>
      </c>
      <c r="DN62">
        <v>231.91882242529701</v>
      </c>
      <c r="DO62">
        <v>327.66000000000003</v>
      </c>
      <c r="DP62">
        <v>29.691258068675801</v>
      </c>
      <c r="DQ62">
        <v>157.94999999999899</v>
      </c>
      <c r="DR62">
        <v>169.71</v>
      </c>
      <c r="DS62">
        <v>156.36454993567699</v>
      </c>
      <c r="DT62">
        <v>0</v>
      </c>
      <c r="DU62">
        <v>0</v>
      </c>
      <c r="DV62">
        <v>0</v>
      </c>
      <c r="DW62">
        <v>0</v>
      </c>
      <c r="DX62">
        <v>0</v>
      </c>
      <c r="DY62">
        <v>0</v>
      </c>
      <c r="DZ62">
        <v>0</v>
      </c>
      <c r="EA62">
        <v>0</v>
      </c>
      <c r="EB62">
        <v>0</v>
      </c>
      <c r="EC62">
        <v>0</v>
      </c>
      <c r="ED62">
        <v>0</v>
      </c>
      <c r="EE62">
        <v>0</v>
      </c>
      <c r="EF62">
        <v>1.26302590684224</v>
      </c>
      <c r="EG62">
        <v>0</v>
      </c>
      <c r="EH62">
        <v>0</v>
      </c>
      <c r="EI62">
        <v>0</v>
      </c>
      <c r="EJ62">
        <v>0</v>
      </c>
      <c r="EK62">
        <v>0</v>
      </c>
      <c r="EL62">
        <v>0</v>
      </c>
      <c r="EM62">
        <v>0</v>
      </c>
      <c r="EN62">
        <v>0</v>
      </c>
      <c r="EO62">
        <v>0</v>
      </c>
      <c r="EP62">
        <v>0</v>
      </c>
      <c r="EQ62">
        <v>0</v>
      </c>
      <c r="ER62">
        <v>0</v>
      </c>
      <c r="ES62">
        <v>0</v>
      </c>
      <c r="ET62">
        <v>0</v>
      </c>
      <c r="EU62">
        <v>0</v>
      </c>
      <c r="EV62">
        <v>828.22765728738602</v>
      </c>
      <c r="EW62">
        <v>-28.649999999999899</v>
      </c>
      <c r="EX62">
        <v>1497.9223159723999</v>
      </c>
      <c r="EY62">
        <v>842.81119006149004</v>
      </c>
      <c r="EZ62">
        <v>90.3041325362273</v>
      </c>
      <c r="FA62">
        <v>678.12268432298299</v>
      </c>
      <c r="FB62">
        <v>729.49548339843705</v>
      </c>
      <c r="FC62">
        <v>0.389481723628748</v>
      </c>
      <c r="FD62">
        <v>0.71030152525017798</v>
      </c>
      <c r="FE62">
        <v>0</v>
      </c>
      <c r="FF62">
        <v>1</v>
      </c>
      <c r="FG62" s="159">
        <v>5.9011546510713003E-13</v>
      </c>
      <c r="FH62">
        <v>0</v>
      </c>
      <c r="FI62">
        <v>5.4512674794765098E-5</v>
      </c>
      <c r="FJ62">
        <v>-5.1016383088759998E-3</v>
      </c>
      <c r="FK62" s="159">
        <v>6.57534000000779E-6</v>
      </c>
      <c r="FL62" s="159">
        <v>2.3888256016063201E-6</v>
      </c>
      <c r="FM62" s="159">
        <v>4.0961389304722997E-6</v>
      </c>
      <c r="FN62">
        <v>0</v>
      </c>
      <c r="FO62">
        <v>0</v>
      </c>
      <c r="FP62">
        <v>0</v>
      </c>
      <c r="FQ62">
        <v>0</v>
      </c>
      <c r="FR62">
        <v>0</v>
      </c>
      <c r="FS62">
        <v>0</v>
      </c>
      <c r="FT62">
        <v>0</v>
      </c>
      <c r="FU62">
        <v>0</v>
      </c>
      <c r="FV62">
        <v>-999</v>
      </c>
      <c r="FW62">
        <v>0.48849257295522103</v>
      </c>
      <c r="FX62">
        <v>3.2285237065674201E-3</v>
      </c>
      <c r="FY62">
        <v>1.2215366932374501</v>
      </c>
      <c r="FZ62">
        <v>9.1684010337142203E-4</v>
      </c>
      <c r="GA62">
        <v>41.980997165425599</v>
      </c>
      <c r="GB62">
        <v>1.0647855893083501E-2</v>
      </c>
      <c r="GC62">
        <v>2.8777988900225799E-3</v>
      </c>
      <c r="GD62">
        <v>0</v>
      </c>
      <c r="GE62">
        <v>7.0231626999614303E-3</v>
      </c>
      <c r="GF62">
        <v>0.384282774614289</v>
      </c>
      <c r="GG62">
        <v>5.6000635620459798E-4</v>
      </c>
      <c r="GH62">
        <v>9.4022457218372896E-3</v>
      </c>
      <c r="GI62">
        <v>1.8473356641915399E-2</v>
      </c>
      <c r="GJ62">
        <v>9.0969783277837805E-4</v>
      </c>
      <c r="GK62">
        <v>1.7659994544003701E-3</v>
      </c>
      <c r="GL62">
        <v>0.40261674755238103</v>
      </c>
      <c r="GM62">
        <v>6.7325550369979302E-3</v>
      </c>
      <c r="GN62">
        <v>5.5780517593895197E-4</v>
      </c>
      <c r="GO62">
        <v>0</v>
      </c>
      <c r="GP62">
        <v>0</v>
      </c>
      <c r="GQ62">
        <v>0</v>
      </c>
      <c r="GR62">
        <v>6.1395909611244602E-2</v>
      </c>
      <c r="GS62">
        <v>1.14003961529342E-3</v>
      </c>
      <c r="GT62">
        <v>1.27888405636416E-4</v>
      </c>
      <c r="GU62">
        <v>3.8720169187719998E-2</v>
      </c>
      <c r="GV62">
        <v>7.1898155861477395E-4</v>
      </c>
      <c r="GW62">
        <v>8.0654570226985304E-5</v>
      </c>
      <c r="GX62">
        <v>0.123810325266693</v>
      </c>
      <c r="GY62">
        <v>0.13436908615383999</v>
      </c>
      <c r="GZ62">
        <v>58.940244945619298</v>
      </c>
      <c r="HA62">
        <v>676.70555716383501</v>
      </c>
      <c r="HB62">
        <v>0</v>
      </c>
      <c r="HC62">
        <v>0.99981306821761595</v>
      </c>
      <c r="HD62">
        <v>0.42499898340098402</v>
      </c>
      <c r="HE62">
        <v>1.10350676443286E-2</v>
      </c>
      <c r="HF62">
        <v>9.5538141073654096E-4</v>
      </c>
      <c r="HG62">
        <v>1.31832724941775E-2</v>
      </c>
      <c r="HH62" s="159">
        <v>4.7618774794418298E-7</v>
      </c>
      <c r="HI62" s="159">
        <v>3.3333254371630299E-7</v>
      </c>
      <c r="HJ62">
        <v>0</v>
      </c>
      <c r="HK62">
        <v>0</v>
      </c>
      <c r="HL62">
        <v>0</v>
      </c>
      <c r="HM62">
        <v>0</v>
      </c>
      <c r="HN62">
        <v>0</v>
      </c>
      <c r="HO62">
        <v>1.1661465699125E-2</v>
      </c>
      <c r="HP62">
        <v>0.55936806955482499</v>
      </c>
      <c r="HQ62">
        <v>1.10350676443286E-2</v>
      </c>
      <c r="HR62">
        <v>9.5538141073654096E-4</v>
      </c>
      <c r="HS62">
        <v>0.71831997611700504</v>
      </c>
      <c r="HT62">
        <v>-999</v>
      </c>
      <c r="HU62">
        <v>1</v>
      </c>
      <c r="HV62">
        <v>0.80459620413144795</v>
      </c>
      <c r="HW62">
        <v>0.195403795868551</v>
      </c>
      <c r="HX62">
        <v>12530.3712819375</v>
      </c>
      <c r="HY62">
        <v>399.84003512044302</v>
      </c>
      <c r="HZ62">
        <v>40.252711652351998</v>
      </c>
      <c r="IA62">
        <v>-0.13436908615383999</v>
      </c>
      <c r="IB62">
        <v>0</v>
      </c>
      <c r="IC62">
        <v>0</v>
      </c>
      <c r="ID62">
        <v>0</v>
      </c>
      <c r="IE62">
        <v>0</v>
      </c>
      <c r="IF62">
        <v>0</v>
      </c>
      <c r="IG62">
        <v>0</v>
      </c>
      <c r="IH62">
        <v>0</v>
      </c>
      <c r="II62">
        <v>46.337800049999601</v>
      </c>
      <c r="IJ62">
        <v>463.37800049999902</v>
      </c>
      <c r="IK62">
        <v>1.0701016180069399E-2</v>
      </c>
      <c r="IL62">
        <v>2.3424372945902001E-3</v>
      </c>
      <c r="IM62">
        <v>1.30434534746596E-2</v>
      </c>
      <c r="IN62">
        <v>8.8879453558444804E-4</v>
      </c>
      <c r="IO62">
        <v>0.42457947830690701</v>
      </c>
      <c r="IP62">
        <v>1.8933667716672899E-2</v>
      </c>
      <c r="IQ62">
        <v>1.6079622477482101E-3</v>
      </c>
      <c r="IR62">
        <v>0.29214563563823698</v>
      </c>
      <c r="IS62">
        <v>0.235633475628479</v>
      </c>
      <c r="IT62">
        <v>0.27745713164112401</v>
      </c>
      <c r="IU62">
        <v>0.30054043673798397</v>
      </c>
      <c r="IV62">
        <v>1.4472261786198501E-2</v>
      </c>
      <c r="IW62">
        <v>1.1618216547007801E-3</v>
      </c>
      <c r="IX62">
        <v>7.4917812382026897E-2</v>
      </c>
      <c r="IY62">
        <v>2.6946255649163502E-3</v>
      </c>
      <c r="IZ62">
        <v>2.6946255649163401E-4</v>
      </c>
      <c r="JA62">
        <v>7.5043956725343502E-2</v>
      </c>
      <c r="JB62">
        <v>2.6991626938255202E-3</v>
      </c>
      <c r="JC62">
        <v>2.6991626938254999E-4</v>
      </c>
      <c r="JD62">
        <v>1.78366879214422E-4</v>
      </c>
      <c r="JE62">
        <v>3.2577894595148902E-3</v>
      </c>
      <c r="JF62" s="159">
        <v>-9.2495997840169501E-19</v>
      </c>
      <c r="JG62">
        <v>0</v>
      </c>
      <c r="JH62">
        <v>4.1279710053644296E-3</v>
      </c>
      <c r="JI62">
        <v>5.42943388498886E-4</v>
      </c>
      <c r="JJ62">
        <v>-0.50995347961716897</v>
      </c>
      <c r="JK62">
        <v>1.78366879214422E-4</v>
      </c>
      <c r="JL62" s="159">
        <v>6.5753399999999896E-6</v>
      </c>
      <c r="JM62">
        <v>-0.50995347961716897</v>
      </c>
      <c r="JN62">
        <v>0</v>
      </c>
      <c r="JO62">
        <v>1.4112623676845999</v>
      </c>
      <c r="JP62">
        <v>-1.53930860977558E-2</v>
      </c>
      <c r="JQ62">
        <v>1.0252904057878999E-3</v>
      </c>
      <c r="JR62">
        <v>2.42358483067199E-2</v>
      </c>
      <c r="JS62">
        <v>1572.3066891736</v>
      </c>
      <c r="JT62">
        <v>4.5050990943333299E-2</v>
      </c>
      <c r="JU62">
        <v>0</v>
      </c>
      <c r="JV62">
        <v>365</v>
      </c>
      <c r="JW62">
        <v>0</v>
      </c>
      <c r="JX62">
        <v>-0.40268092994350901</v>
      </c>
      <c r="JY62">
        <v>0</v>
      </c>
      <c r="JZ62">
        <v>1.32432311075142</v>
      </c>
      <c r="KA62">
        <v>1.40483134555373</v>
      </c>
      <c r="KB62">
        <v>1.4355594990537099</v>
      </c>
      <c r="KC62">
        <v>0</v>
      </c>
      <c r="KD62">
        <v>0</v>
      </c>
      <c r="KE62">
        <v>0</v>
      </c>
      <c r="KF62">
        <v>3.5829184036563098E-3</v>
      </c>
      <c r="KG62">
        <v>2.2588585564644301E-2</v>
      </c>
      <c r="KH62">
        <v>3.8243148910381698E-2</v>
      </c>
      <c r="KI62">
        <v>0</v>
      </c>
      <c r="KJ62">
        <v>0</v>
      </c>
      <c r="KK62">
        <v>0</v>
      </c>
      <c r="KL62">
        <v>0</v>
      </c>
      <c r="KM62">
        <v>0</v>
      </c>
      <c r="KN62">
        <v>0</v>
      </c>
      <c r="KO62">
        <v>0</v>
      </c>
      <c r="KP62">
        <v>0</v>
      </c>
      <c r="KQ62">
        <v>0</v>
      </c>
      <c r="KR62">
        <v>0</v>
      </c>
      <c r="KS62">
        <v>0</v>
      </c>
      <c r="KT62">
        <v>0</v>
      </c>
      <c r="KU62">
        <v>0.34999999999999898</v>
      </c>
      <c r="KV62">
        <v>-0.11421557122224101</v>
      </c>
      <c r="KW62">
        <v>1.81267500966906E-3</v>
      </c>
      <c r="KX62">
        <v>33906.134216149097</v>
      </c>
      <c r="KY62">
        <v>0</v>
      </c>
      <c r="KZ62">
        <v>0.21040816315855601</v>
      </c>
      <c r="LA62">
        <v>1.73602675993533E-5</v>
      </c>
      <c r="LB62">
        <v>0</v>
      </c>
      <c r="LC62">
        <v>-12.1368387263019</v>
      </c>
      <c r="LD62">
        <v>1.57178114125112E-2</v>
      </c>
      <c r="LE62">
        <v>3.41302963444454E-3</v>
      </c>
      <c r="LF62">
        <v>1.57178114125112E-2</v>
      </c>
      <c r="LG62">
        <v>0.95162713721859304</v>
      </c>
      <c r="LH62">
        <v>1.2393490195665799</v>
      </c>
      <c r="LI62">
        <v>0</v>
      </c>
      <c r="LJ62">
        <v>0</v>
      </c>
      <c r="LK62">
        <v>0.243484016850914</v>
      </c>
      <c r="LL62">
        <v>0</v>
      </c>
      <c r="LM62">
        <v>0</v>
      </c>
      <c r="LN62">
        <v>0</v>
      </c>
      <c r="LO62">
        <v>0</v>
      </c>
      <c r="LP62">
        <v>0</v>
      </c>
      <c r="LQ62">
        <v>0</v>
      </c>
      <c r="LR62">
        <v>0</v>
      </c>
      <c r="LS62">
        <v>0</v>
      </c>
      <c r="LT62">
        <v>-999</v>
      </c>
      <c r="LU62">
        <v>0.42567188355416602</v>
      </c>
      <c r="LV62">
        <v>61</v>
      </c>
      <c r="LW62">
        <v>237.599999999999</v>
      </c>
      <c r="LX62">
        <v>2.21999999999999</v>
      </c>
      <c r="LY62">
        <v>0</v>
      </c>
      <c r="LZ62">
        <v>-999</v>
      </c>
      <c r="MA62">
        <v>0</v>
      </c>
      <c r="MB62">
        <v>0</v>
      </c>
      <c r="MC62">
        <v>637.6</v>
      </c>
      <c r="MD62">
        <v>-23.6999999999999</v>
      </c>
      <c r="ME62">
        <v>-33.6</v>
      </c>
      <c r="MF62">
        <v>0</v>
      </c>
      <c r="MG62">
        <v>8.0706896550000007</v>
      </c>
      <c r="MH62">
        <v>0</v>
      </c>
      <c r="MI62">
        <v>0</v>
      </c>
      <c r="MJ62">
        <v>0</v>
      </c>
      <c r="MK62">
        <v>0</v>
      </c>
      <c r="ML62">
        <v>0</v>
      </c>
      <c r="MM62">
        <v>0</v>
      </c>
      <c r="MN62">
        <v>0</v>
      </c>
      <c r="MO62">
        <v>0</v>
      </c>
      <c r="MP62">
        <v>0</v>
      </c>
      <c r="MQ62">
        <v>0</v>
      </c>
      <c r="MR62">
        <v>0</v>
      </c>
      <c r="MS62">
        <v>0</v>
      </c>
      <c r="MT62">
        <v>0</v>
      </c>
      <c r="MU62">
        <v>0</v>
      </c>
      <c r="MV62">
        <v>0</v>
      </c>
    </row>
    <row r="63" spans="1:360" x14ac:dyDescent="0.25">
      <c r="A63">
        <v>22630</v>
      </c>
      <c r="B63">
        <v>0</v>
      </c>
      <c r="C63">
        <v>-33.6</v>
      </c>
      <c r="D63">
        <v>-23.6999999999999</v>
      </c>
      <c r="E63">
        <v>400</v>
      </c>
      <c r="F63">
        <v>0</v>
      </c>
      <c r="G63">
        <v>0</v>
      </c>
      <c r="H63">
        <v>0</v>
      </c>
      <c r="I63">
        <v>0</v>
      </c>
      <c r="J63">
        <v>0</v>
      </c>
      <c r="K63">
        <v>0</v>
      </c>
      <c r="L63" s="159">
        <v>6.5753399999999896E-6</v>
      </c>
      <c r="M63">
        <v>0</v>
      </c>
      <c r="N63">
        <v>0</v>
      </c>
      <c r="O63">
        <v>0</v>
      </c>
      <c r="P63">
        <v>0</v>
      </c>
      <c r="Q63">
        <v>0</v>
      </c>
      <c r="R63">
        <v>0</v>
      </c>
      <c r="S63">
        <v>0</v>
      </c>
      <c r="T63">
        <v>0</v>
      </c>
      <c r="U63">
        <v>712.23938370852204</v>
      </c>
      <c r="V63">
        <v>14.0966514101671</v>
      </c>
      <c r="W63">
        <v>1.36390021835326</v>
      </c>
      <c r="X63">
        <v>0.306805951718087</v>
      </c>
      <c r="Y63">
        <v>0.27154352337660898</v>
      </c>
      <c r="Z63">
        <v>0.42165052490530203</v>
      </c>
      <c r="AA63">
        <v>0.11243917849751001</v>
      </c>
      <c r="AB63">
        <v>0.52296955751968799</v>
      </c>
      <c r="AC63">
        <v>0.36459126398280001</v>
      </c>
      <c r="AD63">
        <v>0.88456159574148197</v>
      </c>
      <c r="AE63">
        <v>4.0309073583300201E-2</v>
      </c>
      <c r="AF63">
        <v>7.5129330675217501E-2</v>
      </c>
      <c r="AG63">
        <v>0</v>
      </c>
      <c r="AH63">
        <v>3425.8009019244701</v>
      </c>
      <c r="AI63">
        <v>79.460436082884797</v>
      </c>
      <c r="AJ63">
        <v>8.1251176413544606</v>
      </c>
      <c r="AK63">
        <v>410.59222674567201</v>
      </c>
      <c r="AL63">
        <v>7.6241464160321604</v>
      </c>
      <c r="AM63">
        <v>0.85526846295950099</v>
      </c>
      <c r="AN63">
        <v>8694.6518176628797</v>
      </c>
      <c r="AO63">
        <v>312.72711149720499</v>
      </c>
      <c r="AP63">
        <v>31.272711149720301</v>
      </c>
      <c r="AQ63">
        <v>3.03131718624573E-2</v>
      </c>
      <c r="AR63">
        <v>6.2888150735592599E-3</v>
      </c>
      <c r="AS63">
        <v>1.9796408030652701E-2</v>
      </c>
      <c r="AT63">
        <v>9.48</v>
      </c>
      <c r="AU63">
        <v>5.9798232399238103</v>
      </c>
      <c r="AV63">
        <v>0</v>
      </c>
      <c r="AW63">
        <v>85.236492953327797</v>
      </c>
      <c r="AX63">
        <v>66.590999917791805</v>
      </c>
      <c r="AY63">
        <v>361.46250058746398</v>
      </c>
      <c r="AZ63">
        <v>0.54833294000258104</v>
      </c>
      <c r="BA63">
        <v>0.845954947051477</v>
      </c>
      <c r="BB63">
        <v>1.41230793629127E-2</v>
      </c>
      <c r="BC63">
        <v>1.18208340115767E-3</v>
      </c>
      <c r="BD63">
        <v>0.59926275040662003</v>
      </c>
      <c r="BE63">
        <v>9.3017458811491208E-3</v>
      </c>
      <c r="BF63">
        <v>7.5778072871099497E-4</v>
      </c>
      <c r="BG63">
        <v>766.29999847710098</v>
      </c>
      <c r="BH63">
        <v>-1626.59999865293</v>
      </c>
      <c r="BI63">
        <v>430.908490780303</v>
      </c>
      <c r="BJ63">
        <v>212.060243026922</v>
      </c>
      <c r="BK63">
        <v>3.63922051508015</v>
      </c>
      <c r="BL63">
        <v>4.7399295908204104</v>
      </c>
      <c r="BM63">
        <v>193.80597657500499</v>
      </c>
      <c r="BN63">
        <v>22.267912421105301</v>
      </c>
      <c r="BO63">
        <v>216.07388899610999</v>
      </c>
      <c r="BP63">
        <v>3.5015988777050402</v>
      </c>
      <c r="BQ63">
        <v>0.29481043493803999</v>
      </c>
      <c r="BR63">
        <v>208.42102251184099</v>
      </c>
      <c r="BS63">
        <v>2.2065374789038299</v>
      </c>
      <c r="BT63">
        <v>0.29442483325570201</v>
      </c>
      <c r="BU63">
        <v>3.51441660087609</v>
      </c>
      <c r="BV63">
        <v>1.7203066764388999</v>
      </c>
      <c r="BW63">
        <v>0.51304787286409903</v>
      </c>
      <c r="BX63">
        <v>1.28106205157308</v>
      </c>
      <c r="BY63">
        <v>0</v>
      </c>
      <c r="BZ63">
        <v>3.0881136395077502</v>
      </c>
      <c r="CA63">
        <v>0.413485238197286</v>
      </c>
      <c r="CB63">
        <v>0.29605396878083801</v>
      </c>
      <c r="CC63">
        <v>0.24842611007961299</v>
      </c>
      <c r="CD63">
        <v>4.6384324858425897E-2</v>
      </c>
      <c r="CE63">
        <v>21.947899186498699</v>
      </c>
      <c r="CF63">
        <v>165.92131462258001</v>
      </c>
      <c r="CG63">
        <v>42.209598696348102</v>
      </c>
      <c r="CH63">
        <v>0.407543022059764</v>
      </c>
      <c r="CI63">
        <v>7.2823215011859999</v>
      </c>
      <c r="CJ63">
        <v>1.73252970504409</v>
      </c>
      <c r="CK63">
        <v>9.6927695792274804</v>
      </c>
      <c r="CL63">
        <v>1.51818452936202</v>
      </c>
      <c r="CM63">
        <v>0.100111035911414</v>
      </c>
      <c r="CN63">
        <v>4.5717733507054902E-2</v>
      </c>
      <c r="CO63">
        <v>0.57680069068697004</v>
      </c>
      <c r="CP63">
        <v>0.71836361335203103</v>
      </c>
      <c r="CQ63">
        <v>0.1518184529362</v>
      </c>
      <c r="CR63">
        <v>42.499707889260399</v>
      </c>
      <c r="CS63">
        <v>1.52861910590642</v>
      </c>
      <c r="CT63">
        <v>0.152861910590641</v>
      </c>
      <c r="CU63">
        <v>1.47000000000017E-2</v>
      </c>
      <c r="CV63">
        <v>2.11103908622845E-3</v>
      </c>
      <c r="CW63">
        <v>2.2313315629988302</v>
      </c>
      <c r="CX63">
        <v>2.0300000000002299E-2</v>
      </c>
      <c r="CY63">
        <v>6.0483301831149496E-3</v>
      </c>
      <c r="CZ63">
        <v>0</v>
      </c>
      <c r="DA63">
        <v>2.39999910000287E-3</v>
      </c>
      <c r="DB63">
        <v>1.4950240558549699E-3</v>
      </c>
      <c r="DC63">
        <v>2.0000000000002299E-3</v>
      </c>
      <c r="DD63">
        <v>3.36635613431452E-3</v>
      </c>
      <c r="DE63">
        <v>9.7161108786150696E-4</v>
      </c>
      <c r="DF63">
        <v>2.3999991000000199E-3</v>
      </c>
      <c r="DG63">
        <v>0</v>
      </c>
      <c r="DH63">
        <v>0</v>
      </c>
      <c r="DI63">
        <v>0.23180769400002699</v>
      </c>
      <c r="DJ63">
        <v>1.8846155200002102E-2</v>
      </c>
      <c r="DK63">
        <v>2.4710801919443801</v>
      </c>
      <c r="DL63">
        <v>0.161297662659555</v>
      </c>
      <c r="DM63">
        <v>65.660180321713298</v>
      </c>
      <c r="DN63">
        <v>232.31237188754301</v>
      </c>
      <c r="DO63">
        <v>327.66000000000003</v>
      </c>
      <c r="DP63">
        <v>29.663542004638</v>
      </c>
      <c r="DQ63">
        <v>157.94999999999899</v>
      </c>
      <c r="DR63">
        <v>169.71</v>
      </c>
      <c r="DS63">
        <v>156.38321888084801</v>
      </c>
      <c r="DT63">
        <v>0</v>
      </c>
      <c r="DU63">
        <v>0</v>
      </c>
      <c r="DV63">
        <v>0</v>
      </c>
      <c r="DW63">
        <v>0</v>
      </c>
      <c r="DX63">
        <v>0</v>
      </c>
      <c r="DY63">
        <v>0</v>
      </c>
      <c r="DZ63">
        <v>0</v>
      </c>
      <c r="EA63">
        <v>0</v>
      </c>
      <c r="EB63">
        <v>0</v>
      </c>
      <c r="EC63">
        <v>0</v>
      </c>
      <c r="ED63">
        <v>0</v>
      </c>
      <c r="EE63">
        <v>0</v>
      </c>
      <c r="EF63">
        <v>1.2623024564396601</v>
      </c>
      <c r="EG63">
        <v>0</v>
      </c>
      <c r="EH63">
        <v>0</v>
      </c>
      <c r="EI63">
        <v>0</v>
      </c>
      <c r="EJ63">
        <v>0</v>
      </c>
      <c r="EK63">
        <v>0</v>
      </c>
      <c r="EL63">
        <v>0</v>
      </c>
      <c r="EM63">
        <v>0</v>
      </c>
      <c r="EN63">
        <v>0</v>
      </c>
      <c r="EO63">
        <v>0</v>
      </c>
      <c r="EP63">
        <v>0</v>
      </c>
      <c r="EQ63">
        <v>0</v>
      </c>
      <c r="ER63">
        <v>0</v>
      </c>
      <c r="ES63">
        <v>0</v>
      </c>
      <c r="ET63">
        <v>0</v>
      </c>
      <c r="EU63">
        <v>0</v>
      </c>
      <c r="EV63">
        <v>828.99221300621002</v>
      </c>
      <c r="EW63">
        <v>-28.649999999999899</v>
      </c>
      <c r="EX63">
        <v>1499.4513341232</v>
      </c>
      <c r="EY63">
        <v>843.25851454270696</v>
      </c>
      <c r="EZ63">
        <v>90.140929656503005</v>
      </c>
      <c r="FA63">
        <v>678.86764344880805</v>
      </c>
      <c r="FB63">
        <v>730.44274902343705</v>
      </c>
      <c r="FC63">
        <v>0.38877782960849699</v>
      </c>
      <c r="FD63">
        <v>0.70901782702798599</v>
      </c>
      <c r="FE63">
        <v>0</v>
      </c>
      <c r="FF63">
        <v>1</v>
      </c>
      <c r="FG63" s="159">
        <v>5.9011546510713003E-13</v>
      </c>
      <c r="FH63">
        <v>0</v>
      </c>
      <c r="FI63">
        <v>5.4512674794765098E-5</v>
      </c>
      <c r="FJ63">
        <v>-5.0929267303455802E-3</v>
      </c>
      <c r="FK63" s="159">
        <v>6.57534000000779E-6</v>
      </c>
      <c r="FL63" s="159">
        <v>2.38011390541089E-6</v>
      </c>
      <c r="FM63" s="159">
        <v>4.0957804274691301E-6</v>
      </c>
      <c r="FN63">
        <v>0</v>
      </c>
      <c r="FO63">
        <v>0</v>
      </c>
      <c r="FP63">
        <v>0</v>
      </c>
      <c r="FQ63">
        <v>0</v>
      </c>
      <c r="FR63">
        <v>0</v>
      </c>
      <c r="FS63">
        <v>0</v>
      </c>
      <c r="FT63">
        <v>0</v>
      </c>
      <c r="FU63">
        <v>0</v>
      </c>
      <c r="FV63">
        <v>-999</v>
      </c>
      <c r="FW63">
        <v>0.48877957650915499</v>
      </c>
      <c r="FX63">
        <v>3.2295469121089901E-3</v>
      </c>
      <c r="FY63">
        <v>1.22258248931433</v>
      </c>
      <c r="FZ63">
        <v>9.1518797136725804E-4</v>
      </c>
      <c r="GA63">
        <v>41.952102850438202</v>
      </c>
      <c r="GB63">
        <v>1.0651242885001201E-2</v>
      </c>
      <c r="GC63">
        <v>2.8787142932435702E-3</v>
      </c>
      <c r="GD63">
        <v>0</v>
      </c>
      <c r="GE63">
        <v>7.0234491767198299E-3</v>
      </c>
      <c r="GF63">
        <v>0.38288135176311</v>
      </c>
      <c r="GG63">
        <v>5.6007117938753801E-4</v>
      </c>
      <c r="GH63">
        <v>9.4012063541962804E-3</v>
      </c>
      <c r="GI63">
        <v>1.8470793154802899E-2</v>
      </c>
      <c r="GJ63">
        <v>9.0959952304874004E-4</v>
      </c>
      <c r="GK63">
        <v>1.7658091369102799E-3</v>
      </c>
      <c r="GL63">
        <v>0.40300751653315198</v>
      </c>
      <c r="GM63">
        <v>6.7393218341391401E-3</v>
      </c>
      <c r="GN63">
        <v>5.5836442855510199E-4</v>
      </c>
      <c r="GO63">
        <v>0</v>
      </c>
      <c r="GP63">
        <v>0</v>
      </c>
      <c r="GQ63">
        <v>0</v>
      </c>
      <c r="GR63">
        <v>6.1435758635899902E-2</v>
      </c>
      <c r="GS63">
        <v>1.1407795581825401E-3</v>
      </c>
      <c r="GT63">
        <v>1.2797141162592901E-4</v>
      </c>
      <c r="GU63">
        <v>3.8750498807506598E-2</v>
      </c>
      <c r="GV63">
        <v>7.1954473893562105E-4</v>
      </c>
      <c r="GW63">
        <v>8.0717747183604003E-5</v>
      </c>
      <c r="GX63">
        <v>0.123942686766374</v>
      </c>
      <c r="GY63">
        <v>0.13450072438597599</v>
      </c>
      <c r="GZ63">
        <v>58.938743557488102</v>
      </c>
      <c r="HA63">
        <v>676.69972625434798</v>
      </c>
      <c r="HB63">
        <v>0</v>
      </c>
      <c r="HC63">
        <v>0.99981306825729199</v>
      </c>
      <c r="HD63">
        <v>0.42539636526556801</v>
      </c>
      <c r="HE63">
        <v>1.10454340079183E-2</v>
      </c>
      <c r="HF63">
        <v>9.5627641782965905E-4</v>
      </c>
      <c r="HG63">
        <v>1.31993067355587E-2</v>
      </c>
      <c r="HH63" s="159">
        <v>4.7618775187637398E-7</v>
      </c>
      <c r="HI63" s="159">
        <v>3.3333254364182502E-7</v>
      </c>
      <c r="HJ63">
        <v>0</v>
      </c>
      <c r="HK63">
        <v>0</v>
      </c>
      <c r="HL63">
        <v>0</v>
      </c>
      <c r="HM63">
        <v>0</v>
      </c>
      <c r="HN63">
        <v>0</v>
      </c>
      <c r="HO63">
        <v>1.16756440664251E-2</v>
      </c>
      <c r="HP63">
        <v>0.55989708965154406</v>
      </c>
      <c r="HQ63">
        <v>1.10454340079183E-2</v>
      </c>
      <c r="HR63">
        <v>9.5627641782965905E-4</v>
      </c>
      <c r="HS63">
        <v>0.71809368003389695</v>
      </c>
      <c r="HT63">
        <v>-999</v>
      </c>
      <c r="HU63">
        <v>1</v>
      </c>
      <c r="HV63">
        <v>0.80505281801625495</v>
      </c>
      <c r="HW63">
        <v>0.194947181983744</v>
      </c>
      <c r="HX63">
        <v>12531.044946333001</v>
      </c>
      <c r="HY63">
        <v>399.81169399612202</v>
      </c>
      <c r="HZ63">
        <v>40.253097254034301</v>
      </c>
      <c r="IA63">
        <v>-0.13450072438597599</v>
      </c>
      <c r="IB63">
        <v>0</v>
      </c>
      <c r="IC63">
        <v>0</v>
      </c>
      <c r="ID63">
        <v>0</v>
      </c>
      <c r="IE63">
        <v>0</v>
      </c>
      <c r="IF63">
        <v>0</v>
      </c>
      <c r="IG63">
        <v>0</v>
      </c>
      <c r="IH63">
        <v>0</v>
      </c>
      <c r="II63">
        <v>46.337800049999601</v>
      </c>
      <c r="IJ63">
        <v>463.37800049999902</v>
      </c>
      <c r="IK63">
        <v>1.07145178663197E-2</v>
      </c>
      <c r="IL63">
        <v>2.34598784085401E-3</v>
      </c>
      <c r="IM63">
        <v>1.30605057071737E-2</v>
      </c>
      <c r="IN63">
        <v>8.8586683687181199E-4</v>
      </c>
      <c r="IO63">
        <v>0.42466067883984998</v>
      </c>
      <c r="IP63">
        <v>1.8949304530555499E-2</v>
      </c>
      <c r="IQ63">
        <v>1.6051044147828901E-3</v>
      </c>
      <c r="IR63">
        <v>0.29202948222480801</v>
      </c>
      <c r="IS63">
        <v>0.235390434843114</v>
      </c>
      <c r="IT63">
        <v>0.27789376144887001</v>
      </c>
      <c r="IU63">
        <v>0.30064724067701198</v>
      </c>
      <c r="IV63">
        <v>1.44888194971334E-2</v>
      </c>
      <c r="IW63">
        <v>1.1590559114406801E-3</v>
      </c>
      <c r="IX63">
        <v>7.4916687686734706E-2</v>
      </c>
      <c r="IY63">
        <v>2.6945851121509701E-3</v>
      </c>
      <c r="IZ63">
        <v>2.6945851121509498E-4</v>
      </c>
      <c r="JA63">
        <v>7.5041700355822305E-2</v>
      </c>
      <c r="JB63">
        <v>2.69908153727807E-3</v>
      </c>
      <c r="JC63">
        <v>2.6990815372780503E-4</v>
      </c>
      <c r="JD63">
        <v>1.7864643223762801E-4</v>
      </c>
      <c r="JE63">
        <v>3.2597009837738999E-3</v>
      </c>
      <c r="JF63" s="159">
        <v>-6.7762635780343998E-19</v>
      </c>
      <c r="JG63">
        <v>0</v>
      </c>
      <c r="JH63">
        <v>4.1273953272378001E-3</v>
      </c>
      <c r="JI63">
        <v>5.4309722829667896E-4</v>
      </c>
      <c r="JJ63">
        <v>-0.51018966541881094</v>
      </c>
      <c r="JK63">
        <v>1.7864643223762801E-4</v>
      </c>
      <c r="JL63" s="159">
        <v>6.5753399999999896E-6</v>
      </c>
      <c r="JM63">
        <v>-0.51018966541881094</v>
      </c>
      <c r="JN63">
        <v>0</v>
      </c>
      <c r="JO63">
        <v>1.39994801713615</v>
      </c>
      <c r="JP63">
        <v>-1.54998408174776E-2</v>
      </c>
      <c r="JQ63">
        <v>1.03364296568572E-3</v>
      </c>
      <c r="JR63">
        <v>2.3905786105281299E-2</v>
      </c>
      <c r="JS63">
        <v>1573.7012755595499</v>
      </c>
      <c r="JT63">
        <v>4.4969572172675901E-2</v>
      </c>
      <c r="JU63">
        <v>0</v>
      </c>
      <c r="JV63">
        <v>365</v>
      </c>
      <c r="JW63">
        <v>0</v>
      </c>
      <c r="JX63">
        <v>-0.40268092994350901</v>
      </c>
      <c r="JY63">
        <v>0</v>
      </c>
      <c r="JZ63">
        <v>1.32466227989118</v>
      </c>
      <c r="KA63">
        <v>1.4050007781857301</v>
      </c>
      <c r="KB63">
        <v>1.4359328429902201</v>
      </c>
      <c r="KC63">
        <v>0</v>
      </c>
      <c r="KD63">
        <v>0</v>
      </c>
      <c r="KE63">
        <v>0</v>
      </c>
      <c r="KF63">
        <v>3.5841862571022402E-3</v>
      </c>
      <c r="KG63">
        <v>2.26017046935344E-2</v>
      </c>
      <c r="KH63">
        <v>3.8206604480709602E-2</v>
      </c>
      <c r="KI63">
        <v>0</v>
      </c>
      <c r="KJ63">
        <v>0</v>
      </c>
      <c r="KK63">
        <v>0</v>
      </c>
      <c r="KL63">
        <v>0</v>
      </c>
      <c r="KM63">
        <v>0</v>
      </c>
      <c r="KN63">
        <v>0</v>
      </c>
      <c r="KO63">
        <v>0</v>
      </c>
      <c r="KP63">
        <v>0</v>
      </c>
      <c r="KQ63">
        <v>0</v>
      </c>
      <c r="KR63">
        <v>0</v>
      </c>
      <c r="KS63">
        <v>0</v>
      </c>
      <c r="KT63">
        <v>0</v>
      </c>
      <c r="KU63">
        <v>0.34999999999999898</v>
      </c>
      <c r="KV63">
        <v>-0.11414885898103801</v>
      </c>
      <c r="KW63">
        <v>1.8116801622450501E-3</v>
      </c>
      <c r="KX63">
        <v>33943.382172440397</v>
      </c>
      <c r="KY63">
        <v>0</v>
      </c>
      <c r="KZ63">
        <v>0.21041430263734601</v>
      </c>
      <c r="LA63">
        <v>1.73602675993533E-5</v>
      </c>
      <c r="LB63">
        <v>0</v>
      </c>
      <c r="LC63">
        <v>-12.136442744960901</v>
      </c>
      <c r="LD63">
        <v>1.5718041003731101E-2</v>
      </c>
      <c r="LE63">
        <v>3.4132462299350801E-3</v>
      </c>
      <c r="LF63">
        <v>1.5718041003731101E-2</v>
      </c>
      <c r="LG63">
        <v>0.95180213047487505</v>
      </c>
      <c r="LH63">
        <v>1.2395478755396301</v>
      </c>
      <c r="LI63">
        <v>0</v>
      </c>
      <c r="LJ63">
        <v>0</v>
      </c>
      <c r="LK63">
        <v>0.24353283700950801</v>
      </c>
      <c r="LL63">
        <v>0</v>
      </c>
      <c r="LM63">
        <v>0</v>
      </c>
      <c r="LN63">
        <v>0</v>
      </c>
      <c r="LO63">
        <v>0</v>
      </c>
      <c r="LP63">
        <v>0</v>
      </c>
      <c r="LQ63">
        <v>0</v>
      </c>
      <c r="LR63">
        <v>0</v>
      </c>
      <c r="LS63">
        <v>0</v>
      </c>
      <c r="LT63">
        <v>-999</v>
      </c>
      <c r="LU63">
        <v>0.42567328745734401</v>
      </c>
      <c r="LV63">
        <v>62</v>
      </c>
      <c r="LW63">
        <v>241.56</v>
      </c>
      <c r="LX63">
        <v>2.2569999999999899</v>
      </c>
      <c r="LY63">
        <v>0</v>
      </c>
      <c r="LZ63">
        <v>-999</v>
      </c>
      <c r="MA63">
        <v>0</v>
      </c>
      <c r="MB63">
        <v>0</v>
      </c>
      <c r="MC63">
        <v>641.55999999999904</v>
      </c>
      <c r="MD63">
        <v>-23.6999999999999</v>
      </c>
      <c r="ME63">
        <v>-33.6</v>
      </c>
      <c r="MF63">
        <v>0</v>
      </c>
      <c r="MG63">
        <v>8.0706896550000007</v>
      </c>
      <c r="MH63">
        <v>0</v>
      </c>
      <c r="MI63">
        <v>0</v>
      </c>
      <c r="MJ63">
        <v>0</v>
      </c>
      <c r="MK63">
        <v>0</v>
      </c>
      <c r="ML63">
        <v>0</v>
      </c>
      <c r="MM63">
        <v>0</v>
      </c>
      <c r="MN63">
        <v>0</v>
      </c>
      <c r="MO63">
        <v>0</v>
      </c>
      <c r="MP63">
        <v>0</v>
      </c>
      <c r="MQ63">
        <v>0</v>
      </c>
      <c r="MR63">
        <v>0</v>
      </c>
      <c r="MS63">
        <v>0</v>
      </c>
      <c r="MT63">
        <v>0</v>
      </c>
      <c r="MU63">
        <v>0</v>
      </c>
      <c r="MV63">
        <v>0</v>
      </c>
    </row>
    <row r="64" spans="1:360" x14ac:dyDescent="0.25">
      <c r="A64">
        <v>22995</v>
      </c>
      <c r="B64">
        <v>0</v>
      </c>
      <c r="C64">
        <v>-33.6</v>
      </c>
      <c r="D64">
        <v>-23.6999999999999</v>
      </c>
      <c r="E64">
        <v>400</v>
      </c>
      <c r="F64">
        <v>0</v>
      </c>
      <c r="G64">
        <v>0</v>
      </c>
      <c r="H64">
        <v>0</v>
      </c>
      <c r="I64">
        <v>0</v>
      </c>
      <c r="J64">
        <v>0</v>
      </c>
      <c r="K64">
        <v>0</v>
      </c>
      <c r="L64" s="159">
        <v>6.5753399999999896E-6</v>
      </c>
      <c r="M64">
        <v>0</v>
      </c>
      <c r="N64">
        <v>0</v>
      </c>
      <c r="O64">
        <v>0</v>
      </c>
      <c r="P64">
        <v>0</v>
      </c>
      <c r="Q64">
        <v>0</v>
      </c>
      <c r="R64">
        <v>0</v>
      </c>
      <c r="S64">
        <v>0</v>
      </c>
      <c r="T64">
        <v>0</v>
      </c>
      <c r="U64">
        <v>712.96076697223305</v>
      </c>
      <c r="V64">
        <v>14.109326794644399</v>
      </c>
      <c r="W64">
        <v>1.3651317771598901</v>
      </c>
      <c r="X64">
        <v>0.305714274965385</v>
      </c>
      <c r="Y64">
        <v>0.27131467881608001</v>
      </c>
      <c r="Z64">
        <v>0.42297104621853299</v>
      </c>
      <c r="AA64">
        <v>0.112441885223037</v>
      </c>
      <c r="AB64">
        <v>0.52376173977330498</v>
      </c>
      <c r="AC64">
        <v>0.36379637500365603</v>
      </c>
      <c r="AD64">
        <v>0.88456100556657402</v>
      </c>
      <c r="AE64">
        <v>4.02135776868007E-2</v>
      </c>
      <c r="AF64">
        <v>7.5225416746624696E-2</v>
      </c>
      <c r="AG64">
        <v>0</v>
      </c>
      <c r="AH64">
        <v>3426.44537027447</v>
      </c>
      <c r="AI64">
        <v>79.436632237429194</v>
      </c>
      <c r="AJ64">
        <v>8.1259035384769494</v>
      </c>
      <c r="AK64">
        <v>410.90954602250901</v>
      </c>
      <c r="AL64">
        <v>7.63003860899064</v>
      </c>
      <c r="AM64">
        <v>0.85592944276498595</v>
      </c>
      <c r="AN64">
        <v>8694.3629718271695</v>
      </c>
      <c r="AO64">
        <v>312.71672236078399</v>
      </c>
      <c r="AP64">
        <v>31.271672236078199</v>
      </c>
      <c r="AQ64">
        <v>3.03305556614476E-2</v>
      </c>
      <c r="AR64">
        <v>6.2943341186160401E-3</v>
      </c>
      <c r="AS64">
        <v>1.97257824054251E-2</v>
      </c>
      <c r="AT64">
        <v>9.48</v>
      </c>
      <c r="AU64">
        <v>5.9792961754015002</v>
      </c>
      <c r="AV64">
        <v>0</v>
      </c>
      <c r="AW64">
        <v>85.253334450054496</v>
      </c>
      <c r="AX64">
        <v>66.597714293788499</v>
      </c>
      <c r="AY64">
        <v>361.46076055306099</v>
      </c>
      <c r="AZ64">
        <v>0.54833294000258104</v>
      </c>
      <c r="BA64">
        <v>0.846468288344006</v>
      </c>
      <c r="BB64">
        <v>1.4129424955995101E-2</v>
      </c>
      <c r="BC64">
        <v>1.18268743012329E-3</v>
      </c>
      <c r="BD64">
        <v>0.59944729769062899</v>
      </c>
      <c r="BE64">
        <v>9.3045516812746108E-3</v>
      </c>
      <c r="BF64">
        <v>7.57926775856032E-4</v>
      </c>
      <c r="BG64">
        <v>766.29999847710098</v>
      </c>
      <c r="BH64">
        <v>-1626.59999865293</v>
      </c>
      <c r="BI64">
        <v>431.146758712159</v>
      </c>
      <c r="BJ64">
        <v>212.13473997119499</v>
      </c>
      <c r="BK64">
        <v>3.63748878650311</v>
      </c>
      <c r="BL64">
        <v>4.7451608500402003</v>
      </c>
      <c r="BM64">
        <v>193.875790583282</v>
      </c>
      <c r="BN64">
        <v>22.282726974241399</v>
      </c>
      <c r="BO64">
        <v>216.15851755752399</v>
      </c>
      <c r="BP64">
        <v>3.5033048373778</v>
      </c>
      <c r="BQ64">
        <v>0.29496991869268402</v>
      </c>
      <c r="BR64">
        <v>208.497251184692</v>
      </c>
      <c r="BS64">
        <v>2.2066956735562</v>
      </c>
      <c r="BT64">
        <v>0.29456195540677699</v>
      </c>
      <c r="BU64">
        <v>3.5159802218550702</v>
      </c>
      <c r="BV64">
        <v>1.72141477794611</v>
      </c>
      <c r="BW64">
        <v>0.512089538492699</v>
      </c>
      <c r="BX64">
        <v>1.28247590541627</v>
      </c>
      <c r="BY64">
        <v>0</v>
      </c>
      <c r="BZ64">
        <v>3.0895445128178398</v>
      </c>
      <c r="CA64">
        <v>0.41376032455995798</v>
      </c>
      <c r="CB64">
        <v>0.29620147749931502</v>
      </c>
      <c r="CC64">
        <v>0.24855473494491601</v>
      </c>
      <c r="CD64">
        <v>4.6415183747768499E-2</v>
      </c>
      <c r="CE64">
        <v>21.965407697404402</v>
      </c>
      <c r="CF64">
        <v>165.99806415532399</v>
      </c>
      <c r="CG64">
        <v>42.210341193676001</v>
      </c>
      <c r="CH64">
        <v>0.407868131601485</v>
      </c>
      <c r="CI64">
        <v>7.2873640250802101</v>
      </c>
      <c r="CJ64">
        <v>1.73349145927323</v>
      </c>
      <c r="CK64">
        <v>9.6989507861645308</v>
      </c>
      <c r="CL64">
        <v>1.5182112353244399</v>
      </c>
      <c r="CM64">
        <v>0.100271457114918</v>
      </c>
      <c r="CN64">
        <v>4.5754203942283599E-2</v>
      </c>
      <c r="CO64">
        <v>0.57473105718416795</v>
      </c>
      <c r="CP64">
        <v>0.71643297541643702</v>
      </c>
      <c r="CQ64">
        <v>0.15182112353244201</v>
      </c>
      <c r="CR64">
        <v>42.499187029367597</v>
      </c>
      <c r="CS64">
        <v>1.52860037174509</v>
      </c>
      <c r="CT64">
        <v>0.152860037174508</v>
      </c>
      <c r="CU64">
        <v>1.4699999999997699E-2</v>
      </c>
      <c r="CV64">
        <v>2.1138838481664099E-3</v>
      </c>
      <c r="CW64">
        <v>2.2313410872361601</v>
      </c>
      <c r="CX64">
        <v>2.0299999999996699E-2</v>
      </c>
      <c r="CY64">
        <v>6.0545704251695701E-3</v>
      </c>
      <c r="CZ64">
        <v>0</v>
      </c>
      <c r="DA64">
        <v>2.3999991000027798E-3</v>
      </c>
      <c r="DB64">
        <v>1.49489276113932E-3</v>
      </c>
      <c r="DC64">
        <v>1.99999999999968E-3</v>
      </c>
      <c r="DD64">
        <v>3.35816715499772E-3</v>
      </c>
      <c r="DE64">
        <v>9.6782823883468402E-4</v>
      </c>
      <c r="DF64">
        <v>2.3999990999999301E-3</v>
      </c>
      <c r="DG64">
        <v>0</v>
      </c>
      <c r="DH64">
        <v>0</v>
      </c>
      <c r="DI64">
        <v>0.23180769399996301</v>
      </c>
      <c r="DJ64">
        <v>1.8846155199997001E-2</v>
      </c>
      <c r="DK64">
        <v>2.4749714256511401</v>
      </c>
      <c r="DL64">
        <v>0.16155165963780299</v>
      </c>
      <c r="DM64">
        <v>65.299908337171402</v>
      </c>
      <c r="DN64">
        <v>232.70012309053101</v>
      </c>
      <c r="DO64">
        <v>327.66000000000003</v>
      </c>
      <c r="DP64">
        <v>29.6364172021994</v>
      </c>
      <c r="DQ64">
        <v>157.94999999999899</v>
      </c>
      <c r="DR64">
        <v>169.71</v>
      </c>
      <c r="DS64">
        <v>156.401539005015</v>
      </c>
      <c r="DT64">
        <v>0</v>
      </c>
      <c r="DU64">
        <v>0</v>
      </c>
      <c r="DV64">
        <v>0</v>
      </c>
      <c r="DW64">
        <v>0</v>
      </c>
      <c r="DX64">
        <v>0</v>
      </c>
      <c r="DY64">
        <v>0</v>
      </c>
      <c r="DZ64">
        <v>0</v>
      </c>
      <c r="EA64">
        <v>0</v>
      </c>
      <c r="EB64">
        <v>0</v>
      </c>
      <c r="EC64">
        <v>0</v>
      </c>
      <c r="ED64">
        <v>0</v>
      </c>
      <c r="EE64">
        <v>0</v>
      </c>
      <c r="EF64">
        <v>1.2616006690910599</v>
      </c>
      <c r="EG64">
        <v>0</v>
      </c>
      <c r="EH64">
        <v>0</v>
      </c>
      <c r="EI64">
        <v>0</v>
      </c>
      <c r="EJ64">
        <v>0</v>
      </c>
      <c r="EK64">
        <v>0</v>
      </c>
      <c r="EL64">
        <v>0</v>
      </c>
      <c r="EM64">
        <v>0</v>
      </c>
      <c r="EN64">
        <v>0</v>
      </c>
      <c r="EO64">
        <v>0</v>
      </c>
      <c r="EP64">
        <v>0</v>
      </c>
      <c r="EQ64">
        <v>0</v>
      </c>
      <c r="ER64">
        <v>0</v>
      </c>
      <c r="ES64">
        <v>0</v>
      </c>
      <c r="ET64">
        <v>0</v>
      </c>
      <c r="EU64">
        <v>0</v>
      </c>
      <c r="EV64">
        <v>829.75193787374303</v>
      </c>
      <c r="EW64">
        <v>-28.649999999999899</v>
      </c>
      <c r="EX64">
        <v>1500.9700357310101</v>
      </c>
      <c r="EY64">
        <v>843.70280650665904</v>
      </c>
      <c r="EZ64">
        <v>89.979937502781397</v>
      </c>
      <c r="FA64">
        <v>679.60553833532197</v>
      </c>
      <c r="FB64">
        <v>731.38458251953102</v>
      </c>
      <c r="FC64">
        <v>0.38808347044949598</v>
      </c>
      <c r="FD64">
        <v>0.70775151762297694</v>
      </c>
      <c r="FE64">
        <v>0</v>
      </c>
      <c r="FF64">
        <v>1</v>
      </c>
      <c r="FG64" s="159">
        <v>5.9011546510713003E-13</v>
      </c>
      <c r="FH64">
        <v>0</v>
      </c>
      <c r="FI64">
        <v>5.4512674794765098E-5</v>
      </c>
      <c r="FJ64">
        <v>-5.0843566075915803E-3</v>
      </c>
      <c r="FK64" s="159">
        <v>6.57534000000779E-6</v>
      </c>
      <c r="FL64" s="159">
        <v>2.3715781204307299E-6</v>
      </c>
      <c r="FM64" s="159">
        <v>4.0954194233946204E-6</v>
      </c>
      <c r="FN64">
        <v>0</v>
      </c>
      <c r="FO64">
        <v>0</v>
      </c>
      <c r="FP64">
        <v>0</v>
      </c>
      <c r="FQ64">
        <v>0</v>
      </c>
      <c r="FR64">
        <v>0</v>
      </c>
      <c r="FS64">
        <v>0</v>
      </c>
      <c r="FT64">
        <v>0</v>
      </c>
      <c r="FU64">
        <v>0</v>
      </c>
      <c r="FV64">
        <v>-999</v>
      </c>
      <c r="FW64">
        <v>0.48905818922348099</v>
      </c>
      <c r="FX64">
        <v>3.2305574447492498E-3</v>
      </c>
      <c r="FY64">
        <v>1.22360251973387</v>
      </c>
      <c r="FZ64">
        <v>9.1352544099340097E-4</v>
      </c>
      <c r="GA64">
        <v>41.923363608129101</v>
      </c>
      <c r="GB64">
        <v>1.06548375480378E-2</v>
      </c>
      <c r="GC64">
        <v>2.8796858237940099E-3</v>
      </c>
      <c r="GD64">
        <v>0</v>
      </c>
      <c r="GE64">
        <v>7.02376870953666E-3</v>
      </c>
      <c r="GF64">
        <v>0.38150822718947802</v>
      </c>
      <c r="GG64">
        <v>5.6013798464978005E-4</v>
      </c>
      <c r="GH64">
        <v>9.4001388827011593E-3</v>
      </c>
      <c r="GI64">
        <v>1.84682666024053E-2</v>
      </c>
      <c r="GJ64">
        <v>9.0949968664433398E-4</v>
      </c>
      <c r="GK64">
        <v>1.7656222077589801E-3</v>
      </c>
      <c r="GL64">
        <v>0.40339499637644599</v>
      </c>
      <c r="GM64">
        <v>6.7460004841569899E-3</v>
      </c>
      <c r="GN64">
        <v>5.5891707188600803E-4</v>
      </c>
      <c r="GO64">
        <v>0</v>
      </c>
      <c r="GP64">
        <v>0</v>
      </c>
      <c r="GQ64">
        <v>0</v>
      </c>
      <c r="GR64">
        <v>6.1475353536064002E-2</v>
      </c>
      <c r="GS64">
        <v>1.14151478232102E-3</v>
      </c>
      <c r="GT64">
        <v>1.2805388827112201E-4</v>
      </c>
      <c r="GU64">
        <v>3.8780570018980103E-2</v>
      </c>
      <c r="GV64">
        <v>7.2010312096101501E-4</v>
      </c>
      <c r="GW64">
        <v>8.0780385872650993E-5</v>
      </c>
      <c r="GX64">
        <v>0.12407340874098</v>
      </c>
      <c r="GY64">
        <v>0.134630869638449</v>
      </c>
      <c r="GZ64">
        <v>58.937489717225802</v>
      </c>
      <c r="HA64">
        <v>676.69578027895204</v>
      </c>
      <c r="HB64">
        <v>0</v>
      </c>
      <c r="HC64">
        <v>0.99981306832511996</v>
      </c>
      <c r="HD64">
        <v>0.425789593912211</v>
      </c>
      <c r="HE64">
        <v>1.1055697452641299E-2</v>
      </c>
      <c r="HF64">
        <v>9.5716320068796399E-4</v>
      </c>
      <c r="HG64">
        <v>1.3215056043686399E-2</v>
      </c>
      <c r="HH64" s="159">
        <v>4.76187755731506E-7</v>
      </c>
      <c r="HI64" s="159">
        <v>3.3333254356618699E-7</v>
      </c>
      <c r="HJ64">
        <v>0</v>
      </c>
      <c r="HK64">
        <v>0</v>
      </c>
      <c r="HL64">
        <v>0</v>
      </c>
      <c r="HM64">
        <v>0</v>
      </c>
      <c r="HN64">
        <v>0</v>
      </c>
      <c r="HO64">
        <v>1.1689567486914699E-2</v>
      </c>
      <c r="HP64">
        <v>0.56042046355066</v>
      </c>
      <c r="HQ64">
        <v>1.1055697452641299E-2</v>
      </c>
      <c r="HR64">
        <v>9.5716320068796399E-4</v>
      </c>
      <c r="HS64">
        <v>0.71787281820666704</v>
      </c>
      <c r="HT64">
        <v>-999</v>
      </c>
      <c r="HU64">
        <v>1</v>
      </c>
      <c r="HV64">
        <v>0.805503470053892</v>
      </c>
      <c r="HW64">
        <v>0.194496529946107</v>
      </c>
      <c r="HX64">
        <v>12531.7178881241</v>
      </c>
      <c r="HY64">
        <v>399.78339320720403</v>
      </c>
      <c r="HZ64">
        <v>40.253505217320097</v>
      </c>
      <c r="IA64">
        <v>-0.134630869638449</v>
      </c>
      <c r="IB64">
        <v>0</v>
      </c>
      <c r="IC64">
        <v>0</v>
      </c>
      <c r="ID64">
        <v>0</v>
      </c>
      <c r="IE64">
        <v>0</v>
      </c>
      <c r="IF64">
        <v>0</v>
      </c>
      <c r="IG64">
        <v>0</v>
      </c>
      <c r="IH64">
        <v>0</v>
      </c>
      <c r="II64">
        <v>46.337800049999601</v>
      </c>
      <c r="IJ64">
        <v>463.37800049999902</v>
      </c>
      <c r="IK64">
        <v>1.07278479830306E-2</v>
      </c>
      <c r="IL64">
        <v>2.3494931826918298E-3</v>
      </c>
      <c r="IM64">
        <v>1.30773411657224E-2</v>
      </c>
      <c r="IN64">
        <v>8.8299889290897697E-4</v>
      </c>
      <c r="IO64">
        <v>0.42474191992282001</v>
      </c>
      <c r="IP64">
        <v>1.8964727223190401E-2</v>
      </c>
      <c r="IQ64">
        <v>1.6023083301249801E-3</v>
      </c>
      <c r="IR64">
        <v>0.29191512172633699</v>
      </c>
      <c r="IS64">
        <v>0.235151880728386</v>
      </c>
      <c r="IT64">
        <v>0.278322916394385</v>
      </c>
      <c r="IU64">
        <v>0.30075333066627202</v>
      </c>
      <c r="IV64">
        <v>1.45051359491564E-2</v>
      </c>
      <c r="IW64">
        <v>1.1563492027215801E-3</v>
      </c>
      <c r="IX64">
        <v>7.4915818377459406E-2</v>
      </c>
      <c r="IY64">
        <v>2.6945538450474302E-3</v>
      </c>
      <c r="IZ64">
        <v>2.6945538450474102E-4</v>
      </c>
      <c r="JA64">
        <v>7.5039446439417595E-2</v>
      </c>
      <c r="JB64">
        <v>2.6990004689637099E-3</v>
      </c>
      <c r="JC64">
        <v>2.69900046896369E-4</v>
      </c>
      <c r="JD64">
        <v>1.7892606297216501E-4</v>
      </c>
      <c r="JE64">
        <v>3.2615565677712598E-3</v>
      </c>
      <c r="JF64" s="159">
        <v>-4.03187682893046E-19</v>
      </c>
      <c r="JG64">
        <v>0</v>
      </c>
      <c r="JH64">
        <v>4.12679525239768E-3</v>
      </c>
      <c r="JI64">
        <v>5.4325035670897497E-4</v>
      </c>
      <c r="JJ64">
        <v>-0.51042364674413798</v>
      </c>
      <c r="JK64">
        <v>1.7892606297216501E-4</v>
      </c>
      <c r="JL64" s="159">
        <v>6.5753399999999896E-6</v>
      </c>
      <c r="JM64">
        <v>-0.51042364674413798</v>
      </c>
      <c r="JN64">
        <v>0</v>
      </c>
      <c r="JO64">
        <v>1.3943250548522499</v>
      </c>
      <c r="JP64">
        <v>-1.5602501596229701E-2</v>
      </c>
      <c r="JQ64">
        <v>1.0418319450019001E-3</v>
      </c>
      <c r="JR64">
        <v>2.35513700977278E-2</v>
      </c>
      <c r="JS64">
        <v>1575.0873663985401</v>
      </c>
      <c r="JT64">
        <v>4.4889256290605403E-2</v>
      </c>
      <c r="JU64">
        <v>0</v>
      </c>
      <c r="JV64">
        <v>365</v>
      </c>
      <c r="JW64">
        <v>0</v>
      </c>
      <c r="JX64">
        <v>-0.40268092994350901</v>
      </c>
      <c r="JY64">
        <v>0</v>
      </c>
      <c r="JZ64">
        <v>1.32498289777365</v>
      </c>
      <c r="KA64">
        <v>1.40516802487454</v>
      </c>
      <c r="KB64">
        <v>1.4363005523404999</v>
      </c>
      <c r="KC64">
        <v>0</v>
      </c>
      <c r="KD64">
        <v>0</v>
      </c>
      <c r="KE64">
        <v>0</v>
      </c>
      <c r="KF64">
        <v>3.5854386860293E-3</v>
      </c>
      <c r="KG64">
        <v>2.26146588213633E-2</v>
      </c>
      <c r="KH64">
        <v>3.81707496192491E-2</v>
      </c>
      <c r="KI64">
        <v>0</v>
      </c>
      <c r="KJ64">
        <v>0</v>
      </c>
      <c r="KK64">
        <v>0</v>
      </c>
      <c r="KL64">
        <v>0</v>
      </c>
      <c r="KM64">
        <v>0</v>
      </c>
      <c r="KN64">
        <v>0</v>
      </c>
      <c r="KO64">
        <v>0</v>
      </c>
      <c r="KP64">
        <v>0</v>
      </c>
      <c r="KQ64">
        <v>0</v>
      </c>
      <c r="KR64">
        <v>0</v>
      </c>
      <c r="KS64">
        <v>0</v>
      </c>
      <c r="KT64">
        <v>0</v>
      </c>
      <c r="KU64">
        <v>0.34999999999999898</v>
      </c>
      <c r="KV64">
        <v>-0.114082863771093</v>
      </c>
      <c r="KW64">
        <v>1.8106963617007901E-3</v>
      </c>
      <c r="KX64">
        <v>33980.276916766103</v>
      </c>
      <c r="KY64">
        <v>0</v>
      </c>
      <c r="KZ64">
        <v>0.21042047633935901</v>
      </c>
      <c r="LA64">
        <v>1.73602675993533E-5</v>
      </c>
      <c r="LB64">
        <v>0</v>
      </c>
      <c r="LC64">
        <v>-12.1360531199654</v>
      </c>
      <c r="LD64">
        <v>1.5718266678152001E-2</v>
      </c>
      <c r="LE64">
        <v>3.4134591303321298E-3</v>
      </c>
      <c r="LF64">
        <v>1.5718266678152001E-2</v>
      </c>
      <c r="LG64">
        <v>0.95197449358246999</v>
      </c>
      <c r="LH64">
        <v>1.2397437427073501</v>
      </c>
      <c r="LI64">
        <v>0</v>
      </c>
      <c r="LJ64">
        <v>0</v>
      </c>
      <c r="LK64">
        <v>0.24358095557158399</v>
      </c>
      <c r="LL64">
        <v>0</v>
      </c>
      <c r="LM64">
        <v>0</v>
      </c>
      <c r="LN64">
        <v>0</v>
      </c>
      <c r="LO64">
        <v>0</v>
      </c>
      <c r="LP64">
        <v>0</v>
      </c>
      <c r="LQ64">
        <v>0</v>
      </c>
      <c r="LR64">
        <v>0</v>
      </c>
      <c r="LS64">
        <v>0</v>
      </c>
      <c r="LT64">
        <v>-999</v>
      </c>
      <c r="LU64">
        <v>0.42567464351617401</v>
      </c>
      <c r="LV64">
        <v>63</v>
      </c>
      <c r="LW64">
        <v>245.52</v>
      </c>
      <c r="LX64">
        <v>2.294</v>
      </c>
      <c r="LY64">
        <v>0</v>
      </c>
      <c r="LZ64">
        <v>-999</v>
      </c>
      <c r="MA64">
        <v>0</v>
      </c>
      <c r="MB64">
        <v>0</v>
      </c>
      <c r="MC64">
        <v>645.51999999999896</v>
      </c>
      <c r="MD64">
        <v>-23.6999999999999</v>
      </c>
      <c r="ME64">
        <v>-33.6</v>
      </c>
      <c r="MF64">
        <v>0</v>
      </c>
      <c r="MG64">
        <v>8.0706896550000007</v>
      </c>
      <c r="MH64">
        <v>0</v>
      </c>
      <c r="MI64">
        <v>0</v>
      </c>
      <c r="MJ64">
        <v>0</v>
      </c>
      <c r="MK64">
        <v>0</v>
      </c>
      <c r="ML64">
        <v>0</v>
      </c>
      <c r="MM64">
        <v>0</v>
      </c>
      <c r="MN64">
        <v>0</v>
      </c>
      <c r="MO64">
        <v>0</v>
      </c>
      <c r="MP64">
        <v>0</v>
      </c>
      <c r="MQ64">
        <v>0</v>
      </c>
      <c r="MR64">
        <v>0</v>
      </c>
      <c r="MS64">
        <v>0</v>
      </c>
      <c r="MT64">
        <v>0</v>
      </c>
      <c r="MU64">
        <v>0</v>
      </c>
      <c r="MV64">
        <v>0</v>
      </c>
    </row>
    <row r="65" spans="1:360" x14ac:dyDescent="0.25">
      <c r="A65">
        <v>23360</v>
      </c>
      <c r="B65">
        <v>0</v>
      </c>
      <c r="C65">
        <v>-33.6</v>
      </c>
      <c r="D65">
        <v>-23.6999999999999</v>
      </c>
      <c r="E65">
        <v>400</v>
      </c>
      <c r="F65">
        <v>0</v>
      </c>
      <c r="G65">
        <v>0</v>
      </c>
      <c r="H65">
        <v>0</v>
      </c>
      <c r="I65">
        <v>0</v>
      </c>
      <c r="J65">
        <v>0</v>
      </c>
      <c r="K65">
        <v>0</v>
      </c>
      <c r="L65" s="159">
        <v>6.5753399999999896E-6</v>
      </c>
      <c r="M65">
        <v>0</v>
      </c>
      <c r="N65">
        <v>0</v>
      </c>
      <c r="O65">
        <v>0</v>
      </c>
      <c r="P65">
        <v>0</v>
      </c>
      <c r="Q65">
        <v>0</v>
      </c>
      <c r="R65">
        <v>0</v>
      </c>
      <c r="S65">
        <v>0</v>
      </c>
      <c r="T65">
        <v>0</v>
      </c>
      <c r="U65">
        <v>713.67248041266703</v>
      </c>
      <c r="V65">
        <v>14.121873804150599</v>
      </c>
      <c r="W65">
        <v>1.36635182781608</v>
      </c>
      <c r="X65">
        <v>0.30463769017292303</v>
      </c>
      <c r="Y65">
        <v>0.27108911790386803</v>
      </c>
      <c r="Z65">
        <v>0.424273191923208</v>
      </c>
      <c r="AA65">
        <v>0.11244478435492899</v>
      </c>
      <c r="AB65">
        <v>0.52455257165717994</v>
      </c>
      <c r="AC65">
        <v>0.36300264398788901</v>
      </c>
      <c r="AD65">
        <v>0.88456016524716197</v>
      </c>
      <c r="AE65">
        <v>4.0117930671768803E-2</v>
      </c>
      <c r="AF65">
        <v>7.5321904081068605E-2</v>
      </c>
      <c r="AG65">
        <v>0</v>
      </c>
      <c r="AH65">
        <v>3427.0899595054698</v>
      </c>
      <c r="AI65">
        <v>79.412857009474195</v>
      </c>
      <c r="AJ65">
        <v>8.1267117281458194</v>
      </c>
      <c r="AK65">
        <v>411.22416379258402</v>
      </c>
      <c r="AL65">
        <v>7.6358806385953901</v>
      </c>
      <c r="AM65">
        <v>0.85658479529994402</v>
      </c>
      <c r="AN65">
        <v>8694.07551474916</v>
      </c>
      <c r="AO65">
        <v>312.70638317485998</v>
      </c>
      <c r="AP65">
        <v>31.270638317485801</v>
      </c>
      <c r="AQ65">
        <v>3.0347667379806299E-2</v>
      </c>
      <c r="AR65">
        <v>6.29979348527824E-3</v>
      </c>
      <c r="AS65">
        <v>1.9656619817465401E-2</v>
      </c>
      <c r="AT65">
        <v>9.48</v>
      </c>
      <c r="AU65">
        <v>5.9787655318452204</v>
      </c>
      <c r="AV65">
        <v>0</v>
      </c>
      <c r="AW65">
        <v>85.269980123318604</v>
      </c>
      <c r="AX65">
        <v>66.604342538768293</v>
      </c>
      <c r="AY65">
        <v>361.45904153774097</v>
      </c>
      <c r="AZ65">
        <v>0.54833294000258104</v>
      </c>
      <c r="BA65">
        <v>0.84697584694462003</v>
      </c>
      <c r="BB65">
        <v>1.41356843759309E-2</v>
      </c>
      <c r="BC65">
        <v>1.1832836566416801E-3</v>
      </c>
      <c r="BD65">
        <v>0.59962185233471699</v>
      </c>
      <c r="BE65">
        <v>9.30734029994351E-3</v>
      </c>
      <c r="BF65">
        <v>7.5807284974007696E-4</v>
      </c>
      <c r="BG65">
        <v>766.29999847710098</v>
      </c>
      <c r="BH65">
        <v>-1626.59999865293</v>
      </c>
      <c r="BI65">
        <v>431.376208518103</v>
      </c>
      <c r="BJ65">
        <v>212.203468631243</v>
      </c>
      <c r="BK65">
        <v>3.6304861032936402</v>
      </c>
      <c r="BL65">
        <v>4.7504432097708396</v>
      </c>
      <c r="BM65">
        <v>193.94480605522</v>
      </c>
      <c r="BN65">
        <v>22.297392345357199</v>
      </c>
      <c r="BO65">
        <v>216.24219840057799</v>
      </c>
      <c r="BP65">
        <v>3.5049927102133598</v>
      </c>
      <c r="BQ65">
        <v>0.29512792779682201</v>
      </c>
      <c r="BR65">
        <v>208.57298252794899</v>
      </c>
      <c r="BS65">
        <v>2.2068360796703801</v>
      </c>
      <c r="BT65">
        <v>0.29469830418526699</v>
      </c>
      <c r="BU65">
        <v>3.5175397197195699</v>
      </c>
      <c r="BV65">
        <v>1.7225110253263001</v>
      </c>
      <c r="BW65">
        <v>0.51112512418493095</v>
      </c>
      <c r="BX65">
        <v>1.2839035702083299</v>
      </c>
      <c r="BY65">
        <v>0</v>
      </c>
      <c r="BZ65">
        <v>3.0909600694005701</v>
      </c>
      <c r="CA65">
        <v>0.4140326408128</v>
      </c>
      <c r="CB65">
        <v>0.29634797845301097</v>
      </c>
      <c r="CC65">
        <v>0.248682195907623</v>
      </c>
      <c r="CD65">
        <v>4.6445731889199197E-2</v>
      </c>
      <c r="CE65">
        <v>21.982774575282701</v>
      </c>
      <c r="CF65">
        <v>166.07430766351499</v>
      </c>
      <c r="CG65">
        <v>42.2112177864459</v>
      </c>
      <c r="CH65">
        <v>0.40819061120803601</v>
      </c>
      <c r="CI65">
        <v>7.2923375080625998</v>
      </c>
      <c r="CJ65">
        <v>1.7344375670402901</v>
      </c>
      <c r="CK65">
        <v>9.7050292044513107</v>
      </c>
      <c r="CL65">
        <v>1.51824276439893</v>
      </c>
      <c r="CM65">
        <v>0.100431953310054</v>
      </c>
      <c r="CN65">
        <v>4.5790379354241899E-2</v>
      </c>
      <c r="CO65">
        <v>0.57270015363676596</v>
      </c>
      <c r="CP65">
        <v>0.71454026278983696</v>
      </c>
      <c r="CQ65">
        <v>0.15182427643989199</v>
      </c>
      <c r="CR65">
        <v>42.498674864434797</v>
      </c>
      <c r="CS65">
        <v>1.52858195032196</v>
      </c>
      <c r="CT65">
        <v>0.152858195032195</v>
      </c>
      <c r="CU65">
        <v>1.4699999999997699E-2</v>
      </c>
      <c r="CV65">
        <v>2.1166808997020599E-3</v>
      </c>
      <c r="CW65">
        <v>2.2313288287663</v>
      </c>
      <c r="CX65">
        <v>2.02999999999969E-2</v>
      </c>
      <c r="CY65">
        <v>6.0606781744155297E-3</v>
      </c>
      <c r="CZ65">
        <v>0</v>
      </c>
      <c r="DA65">
        <v>2.3999991000027299E-3</v>
      </c>
      <c r="DB65">
        <v>1.4947605621983501E-3</v>
      </c>
      <c r="DC65">
        <v>1.99999999999969E-3</v>
      </c>
      <c r="DD65">
        <v>3.3501309764816102E-3</v>
      </c>
      <c r="DE65">
        <v>9.6411700593500695E-4</v>
      </c>
      <c r="DF65">
        <v>2.3999990999998798E-3</v>
      </c>
      <c r="DG65">
        <v>0</v>
      </c>
      <c r="DH65">
        <v>0</v>
      </c>
      <c r="DI65">
        <v>0.23180769399996401</v>
      </c>
      <c r="DJ65">
        <v>1.8846155199997099E-2</v>
      </c>
      <c r="DK65">
        <v>2.47883043376717</v>
      </c>
      <c r="DL65">
        <v>0.16180355311796099</v>
      </c>
      <c r="DM65">
        <v>64.942361565851499</v>
      </c>
      <c r="DN65">
        <v>233.08483827279301</v>
      </c>
      <c r="DO65">
        <v>327.66000000000003</v>
      </c>
      <c r="DP65">
        <v>29.609529551464</v>
      </c>
      <c r="DQ65">
        <v>157.94999999999899</v>
      </c>
      <c r="DR65">
        <v>169.71</v>
      </c>
      <c r="DS65">
        <v>156.419641179248</v>
      </c>
      <c r="DT65">
        <v>0</v>
      </c>
      <c r="DU65">
        <v>0</v>
      </c>
      <c r="DV65">
        <v>0</v>
      </c>
      <c r="DW65">
        <v>0</v>
      </c>
      <c r="DX65">
        <v>0</v>
      </c>
      <c r="DY65">
        <v>0</v>
      </c>
      <c r="DZ65">
        <v>0</v>
      </c>
      <c r="EA65">
        <v>0</v>
      </c>
      <c r="EB65">
        <v>0</v>
      </c>
      <c r="EC65">
        <v>0</v>
      </c>
      <c r="ED65">
        <v>0</v>
      </c>
      <c r="EE65">
        <v>0</v>
      </c>
      <c r="EF65">
        <v>1.2608995692160001</v>
      </c>
      <c r="EG65">
        <v>0</v>
      </c>
      <c r="EH65">
        <v>0</v>
      </c>
      <c r="EI65">
        <v>0</v>
      </c>
      <c r="EJ65">
        <v>0</v>
      </c>
      <c r="EK65">
        <v>0</v>
      </c>
      <c r="EL65">
        <v>0</v>
      </c>
      <c r="EM65">
        <v>0</v>
      </c>
      <c r="EN65">
        <v>0</v>
      </c>
      <c r="EO65">
        <v>0</v>
      </c>
      <c r="EP65">
        <v>0</v>
      </c>
      <c r="EQ65">
        <v>0</v>
      </c>
      <c r="ER65">
        <v>0</v>
      </c>
      <c r="ES65">
        <v>0</v>
      </c>
      <c r="ET65">
        <v>0</v>
      </c>
      <c r="EU65">
        <v>0</v>
      </c>
      <c r="EV65">
        <v>830.50160012064703</v>
      </c>
      <c r="EW65">
        <v>-28.649999999999899</v>
      </c>
      <c r="EX65">
        <v>1502.46837981614</v>
      </c>
      <c r="EY65">
        <v>844.14096223291904</v>
      </c>
      <c r="EZ65">
        <v>89.821556092510704</v>
      </c>
      <c r="FA65">
        <v>680.33253574647097</v>
      </c>
      <c r="FB65">
        <v>732.31427001953102</v>
      </c>
      <c r="FC65">
        <v>0.38740037142699801</v>
      </c>
      <c r="FD65">
        <v>0.70650574343604899</v>
      </c>
      <c r="FE65">
        <v>0</v>
      </c>
      <c r="FF65">
        <v>1</v>
      </c>
      <c r="FG65" s="159">
        <v>5.9014084205153095E-13</v>
      </c>
      <c r="FH65">
        <v>0</v>
      </c>
      <c r="FI65">
        <v>5.4512674794765098E-5</v>
      </c>
      <c r="FJ65">
        <v>-5.0759019635850198E-3</v>
      </c>
      <c r="FK65" s="159">
        <v>6.57534000000779E-6</v>
      </c>
      <c r="FL65" s="159">
        <v>2.36321925095792E-6</v>
      </c>
      <c r="FM65" s="159">
        <v>4.0950559679203403E-6</v>
      </c>
      <c r="FN65">
        <v>0</v>
      </c>
      <c r="FO65">
        <v>0</v>
      </c>
      <c r="FP65">
        <v>0</v>
      </c>
      <c r="FQ65">
        <v>0</v>
      </c>
      <c r="FR65">
        <v>0</v>
      </c>
      <c r="FS65">
        <v>0</v>
      </c>
      <c r="FT65">
        <v>0</v>
      </c>
      <c r="FU65">
        <v>0</v>
      </c>
      <c r="FV65">
        <v>-999</v>
      </c>
      <c r="FW65">
        <v>0.489332431889694</v>
      </c>
      <c r="FX65">
        <v>3.2315470176445902E-3</v>
      </c>
      <c r="FY65">
        <v>1.2246114791679601</v>
      </c>
      <c r="FZ65">
        <v>9.1185162544114796E-4</v>
      </c>
      <c r="GA65">
        <v>41.8947532398238</v>
      </c>
      <c r="GB65">
        <v>1.0658535528768999E-2</v>
      </c>
      <c r="GC65">
        <v>2.8806852780457002E-3</v>
      </c>
      <c r="GD65">
        <v>0</v>
      </c>
      <c r="GE65">
        <v>7.0240839211314398E-3</v>
      </c>
      <c r="GF65">
        <v>0.38016356245066502</v>
      </c>
      <c r="GG65">
        <v>5.6020493562311102E-4</v>
      </c>
      <c r="GH65">
        <v>9.3991154781431999E-3</v>
      </c>
      <c r="GI65">
        <v>1.8465784017947601E-2</v>
      </c>
      <c r="GJ65">
        <v>9.0940471438293296E-4</v>
      </c>
      <c r="GK65">
        <v>1.7654388203207699E-3</v>
      </c>
      <c r="GL65">
        <v>0.40377693780656299</v>
      </c>
      <c r="GM65">
        <v>6.7526020689310899E-3</v>
      </c>
      <c r="GN65">
        <v>5.5946371035950305E-4</v>
      </c>
      <c r="GO65">
        <v>0</v>
      </c>
      <c r="GP65">
        <v>0</v>
      </c>
      <c r="GQ65">
        <v>0</v>
      </c>
      <c r="GR65">
        <v>6.1514412820610001E-2</v>
      </c>
      <c r="GS65">
        <v>1.1422400607965699E-3</v>
      </c>
      <c r="GT65">
        <v>1.2813524922265001E-4</v>
      </c>
      <c r="GU65">
        <v>3.8810383334288802E-2</v>
      </c>
      <c r="GV65">
        <v>7.2065671420086302E-4</v>
      </c>
      <c r="GW65">
        <v>8.0842487360937505E-5</v>
      </c>
      <c r="GX65">
        <v>0.124202641185201</v>
      </c>
      <c r="GY65">
        <v>0.13475958543276401</v>
      </c>
      <c r="GZ65">
        <v>58.9361184152296</v>
      </c>
      <c r="HA65">
        <v>676.69001551416795</v>
      </c>
      <c r="HB65">
        <v>0</v>
      </c>
      <c r="HC65">
        <v>0.99981306842504902</v>
      </c>
      <c r="HD65">
        <v>0.42617786543032399</v>
      </c>
      <c r="HE65">
        <v>1.1065825899418701E-2</v>
      </c>
      <c r="HF65">
        <v>9.5803846508735505E-4</v>
      </c>
      <c r="HG65">
        <v>1.32305819102932E-2</v>
      </c>
      <c r="HH65" s="159">
        <v>4.76187759532668E-7</v>
      </c>
      <c r="HI65" s="159">
        <v>3.3333254348610701E-7</v>
      </c>
      <c r="HJ65">
        <v>0</v>
      </c>
      <c r="HK65">
        <v>0</v>
      </c>
      <c r="HL65">
        <v>0</v>
      </c>
      <c r="HM65">
        <v>0</v>
      </c>
      <c r="HN65">
        <v>0</v>
      </c>
      <c r="HO65">
        <v>1.17032899317945E-2</v>
      </c>
      <c r="HP65">
        <v>0.56093745086308899</v>
      </c>
      <c r="HQ65">
        <v>1.1065825899418701E-2</v>
      </c>
      <c r="HR65">
        <v>9.5803846508735505E-4</v>
      </c>
      <c r="HS65">
        <v>0.71765355555878396</v>
      </c>
      <c r="HT65">
        <v>-999</v>
      </c>
      <c r="HU65">
        <v>1</v>
      </c>
      <c r="HV65">
        <v>0.80594659681821101</v>
      </c>
      <c r="HW65">
        <v>0.19405340318178799</v>
      </c>
      <c r="HX65">
        <v>12532.3896380472</v>
      </c>
      <c r="HY65">
        <v>399.75512082293</v>
      </c>
      <c r="HZ65">
        <v>40.253934840931599</v>
      </c>
      <c r="IA65">
        <v>-0.13475958543276401</v>
      </c>
      <c r="IB65">
        <v>0</v>
      </c>
      <c r="IC65">
        <v>0</v>
      </c>
      <c r="ID65">
        <v>0</v>
      </c>
      <c r="IE65">
        <v>0</v>
      </c>
      <c r="IF65">
        <v>0</v>
      </c>
      <c r="IG65">
        <v>0</v>
      </c>
      <c r="IH65">
        <v>0</v>
      </c>
      <c r="II65">
        <v>46.337800049999601</v>
      </c>
      <c r="IJ65">
        <v>463.37800049999902</v>
      </c>
      <c r="IK65">
        <v>1.07410924297338E-2</v>
      </c>
      <c r="IL65">
        <v>2.3529805379238198E-3</v>
      </c>
      <c r="IM65">
        <v>1.30940729676577E-2</v>
      </c>
      <c r="IN65">
        <v>8.8019102294973695E-4</v>
      </c>
      <c r="IO65">
        <v>0.42482314229254498</v>
      </c>
      <c r="IP65">
        <v>1.8980047914736699E-2</v>
      </c>
      <c r="IQ65">
        <v>1.59957423534401E-3</v>
      </c>
      <c r="IR65">
        <v>0.29180302325429303</v>
      </c>
      <c r="IS65">
        <v>0.234916752241764</v>
      </c>
      <c r="IT65">
        <v>0.27874487566774703</v>
      </c>
      <c r="IU65">
        <v>0.30085846502319202</v>
      </c>
      <c r="IV65">
        <v>1.4521316701213699E-2</v>
      </c>
      <c r="IW65">
        <v>1.15370111399171E-3</v>
      </c>
      <c r="IX65">
        <v>7.4915168107748398E-2</v>
      </c>
      <c r="IY65">
        <v>2.6945304563053998E-3</v>
      </c>
      <c r="IZ65">
        <v>2.6945304563053799E-4</v>
      </c>
      <c r="JA65">
        <v>7.5037198451296805E-2</v>
      </c>
      <c r="JB65">
        <v>2.6989196138764199E-3</v>
      </c>
      <c r="JC65">
        <v>2.6989196138763998E-4</v>
      </c>
      <c r="JD65">
        <v>1.79205763126491E-4</v>
      </c>
      <c r="JE65">
        <v>3.2633829444134298E-3</v>
      </c>
      <c r="JF65" s="159">
        <v>-4.7095031867339003E-19</v>
      </c>
      <c r="JG65">
        <v>0</v>
      </c>
      <c r="JH65">
        <v>4.1261633474324599E-3</v>
      </c>
      <c r="JI65">
        <v>5.4340205242962001E-4</v>
      </c>
      <c r="JJ65">
        <v>-0.510655248907253</v>
      </c>
      <c r="JK65">
        <v>1.79205763126491E-4</v>
      </c>
      <c r="JL65" s="159">
        <v>6.5753399999999896E-6</v>
      </c>
      <c r="JM65">
        <v>-0.510655248907253</v>
      </c>
      <c r="JN65">
        <v>0</v>
      </c>
      <c r="JO65">
        <v>1.38346336352613</v>
      </c>
      <c r="JP65">
        <v>-1.5702803682033101E-2</v>
      </c>
      <c r="JQ65">
        <v>1.04986812351797E-3</v>
      </c>
      <c r="JR65">
        <v>2.32706098904387E-2</v>
      </c>
      <c r="JS65">
        <v>1576.4552502090701</v>
      </c>
      <c r="JT65">
        <v>4.4810242858119798E-2</v>
      </c>
      <c r="JU65">
        <v>0</v>
      </c>
      <c r="JV65">
        <v>365</v>
      </c>
      <c r="JW65">
        <v>0</v>
      </c>
      <c r="JX65">
        <v>-0.40268092994350901</v>
      </c>
      <c r="JY65">
        <v>0</v>
      </c>
      <c r="JZ65">
        <v>1.32531385651613</v>
      </c>
      <c r="KA65">
        <v>1.40533034789988</v>
      </c>
      <c r="KB65">
        <v>1.4366604238846501</v>
      </c>
      <c r="KC65">
        <v>0</v>
      </c>
      <c r="KD65">
        <v>0</v>
      </c>
      <c r="KE65">
        <v>0</v>
      </c>
      <c r="KF65">
        <v>3.5866667794162599E-3</v>
      </c>
      <c r="KG65">
        <v>2.2627474254586499E-2</v>
      </c>
      <c r="KH65">
        <v>3.8135149124882001E-2</v>
      </c>
      <c r="KI65">
        <v>0</v>
      </c>
      <c r="KJ65">
        <v>0</v>
      </c>
      <c r="KK65">
        <v>0</v>
      </c>
      <c r="KL65">
        <v>0</v>
      </c>
      <c r="KM65">
        <v>0</v>
      </c>
      <c r="KN65">
        <v>0</v>
      </c>
      <c r="KO65">
        <v>0</v>
      </c>
      <c r="KP65">
        <v>0</v>
      </c>
      <c r="KQ65">
        <v>0</v>
      </c>
      <c r="KR65">
        <v>0</v>
      </c>
      <c r="KS65">
        <v>0</v>
      </c>
      <c r="KT65">
        <v>0</v>
      </c>
      <c r="KU65">
        <v>0.34999999999999898</v>
      </c>
      <c r="KV65">
        <v>-0.114017925177479</v>
      </c>
      <c r="KW65">
        <v>1.80972865594517E-3</v>
      </c>
      <c r="KX65">
        <v>34016.626787323497</v>
      </c>
      <c r="KY65">
        <v>0</v>
      </c>
      <c r="KZ65">
        <v>0.210426676249103</v>
      </c>
      <c r="LA65">
        <v>1.73602675993533E-5</v>
      </c>
      <c r="LB65">
        <v>0</v>
      </c>
      <c r="LC65">
        <v>-12.1356683872723</v>
      </c>
      <c r="LD65">
        <v>1.5718489288077401E-2</v>
      </c>
      <c r="LE65">
        <v>3.4136691396956902E-3</v>
      </c>
      <c r="LF65">
        <v>1.5718489288077401E-2</v>
      </c>
      <c r="LG65">
        <v>0.95214477027031896</v>
      </c>
      <c r="LH65">
        <v>1.2399372389435399</v>
      </c>
      <c r="LI65">
        <v>0</v>
      </c>
      <c r="LJ65">
        <v>0</v>
      </c>
      <c r="LK65">
        <v>0.24362851463805299</v>
      </c>
      <c r="LL65">
        <v>0</v>
      </c>
      <c r="LM65">
        <v>0</v>
      </c>
      <c r="LN65">
        <v>0</v>
      </c>
      <c r="LO65">
        <v>0</v>
      </c>
      <c r="LP65">
        <v>0</v>
      </c>
      <c r="LQ65">
        <v>0</v>
      </c>
      <c r="LR65">
        <v>0</v>
      </c>
      <c r="LS65">
        <v>0</v>
      </c>
      <c r="LT65">
        <v>-999</v>
      </c>
      <c r="LU65">
        <v>0.42567596529964602</v>
      </c>
      <c r="LV65">
        <v>64</v>
      </c>
      <c r="LW65">
        <v>249.479999999999</v>
      </c>
      <c r="LX65">
        <v>2.331</v>
      </c>
      <c r="LY65">
        <v>0</v>
      </c>
      <c r="LZ65">
        <v>-999</v>
      </c>
      <c r="MA65">
        <v>0</v>
      </c>
      <c r="MB65">
        <v>0</v>
      </c>
      <c r="MC65">
        <v>649.48</v>
      </c>
      <c r="MD65">
        <v>-23.6999999999999</v>
      </c>
      <c r="ME65">
        <v>-33.6</v>
      </c>
      <c r="MF65">
        <v>0</v>
      </c>
      <c r="MG65">
        <v>8.0706896550000007</v>
      </c>
      <c r="MH65">
        <v>0</v>
      </c>
      <c r="MI65">
        <v>0</v>
      </c>
      <c r="MJ65">
        <v>0</v>
      </c>
      <c r="MK65">
        <v>0</v>
      </c>
      <c r="ML65">
        <v>0</v>
      </c>
      <c r="MM65">
        <v>0</v>
      </c>
      <c r="MN65">
        <v>0</v>
      </c>
      <c r="MO65">
        <v>0</v>
      </c>
      <c r="MP65">
        <v>0</v>
      </c>
      <c r="MQ65">
        <v>0</v>
      </c>
      <c r="MR65">
        <v>0</v>
      </c>
      <c r="MS65">
        <v>0</v>
      </c>
      <c r="MT65">
        <v>0</v>
      </c>
      <c r="MU65">
        <v>0</v>
      </c>
      <c r="MV65">
        <v>0</v>
      </c>
    </row>
    <row r="66" spans="1:360" x14ac:dyDescent="0.25">
      <c r="A66">
        <v>23725</v>
      </c>
      <c r="B66">
        <v>0</v>
      </c>
      <c r="C66">
        <v>-33.6</v>
      </c>
      <c r="D66">
        <v>-23.6999999999999</v>
      </c>
      <c r="E66">
        <v>400</v>
      </c>
      <c r="F66">
        <v>0</v>
      </c>
      <c r="G66">
        <v>0</v>
      </c>
      <c r="H66">
        <v>0</v>
      </c>
      <c r="I66">
        <v>0</v>
      </c>
      <c r="J66">
        <v>0</v>
      </c>
      <c r="K66">
        <v>0</v>
      </c>
      <c r="L66" s="159">
        <v>6.5753399999999896E-6</v>
      </c>
      <c r="M66">
        <v>0</v>
      </c>
      <c r="N66">
        <v>0</v>
      </c>
      <c r="O66">
        <v>0</v>
      </c>
      <c r="P66">
        <v>0</v>
      </c>
      <c r="Q66">
        <v>0</v>
      </c>
      <c r="R66">
        <v>0</v>
      </c>
      <c r="S66">
        <v>0</v>
      </c>
      <c r="T66">
        <v>0</v>
      </c>
      <c r="U66">
        <v>714.378223735495</v>
      </c>
      <c r="V66">
        <v>14.1342824444719</v>
      </c>
      <c r="W66">
        <v>1.36756003429041</v>
      </c>
      <c r="X66">
        <v>0.30357461973976002</v>
      </c>
      <c r="Y66">
        <v>0.27086804824067401</v>
      </c>
      <c r="Z66">
        <v>0.42555733201956503</v>
      </c>
      <c r="AA66">
        <v>0.11244782670249499</v>
      </c>
      <c r="AB66">
        <v>0.52534204294916698</v>
      </c>
      <c r="AC66">
        <v>0.36221013034833699</v>
      </c>
      <c r="AD66">
        <v>0.88455914871113195</v>
      </c>
      <c r="AE66">
        <v>4.0022273002203998E-2</v>
      </c>
      <c r="AF66">
        <v>7.5418578286663401E-2</v>
      </c>
      <c r="AG66">
        <v>0</v>
      </c>
      <c r="AH66">
        <v>3427.7349343812998</v>
      </c>
      <c r="AI66">
        <v>79.389120022404597</v>
      </c>
      <c r="AJ66">
        <v>8.12754192909434</v>
      </c>
      <c r="AK66">
        <v>411.53608883104101</v>
      </c>
      <c r="AL66">
        <v>7.6416726677890896</v>
      </c>
      <c r="AM66">
        <v>0.85723453884310097</v>
      </c>
      <c r="AN66">
        <v>8693.7895612203702</v>
      </c>
      <c r="AO66">
        <v>312.696098068227</v>
      </c>
      <c r="AP66">
        <v>31.269609806822501</v>
      </c>
      <c r="AQ66">
        <v>3.0364333922585099E-2</v>
      </c>
      <c r="AR66">
        <v>6.3051384780509296E-3</v>
      </c>
      <c r="AS66">
        <v>1.9588868123211499E-2</v>
      </c>
      <c r="AT66">
        <v>9.48</v>
      </c>
      <c r="AU66">
        <v>5.9782313873730804</v>
      </c>
      <c r="AV66">
        <v>0</v>
      </c>
      <c r="AW66">
        <v>85.286463404409403</v>
      </c>
      <c r="AX66">
        <v>66.610855861156494</v>
      </c>
      <c r="AY66">
        <v>361.45733866658401</v>
      </c>
      <c r="AZ66">
        <v>0.54833294000258104</v>
      </c>
      <c r="BA66">
        <v>0.84747867614153605</v>
      </c>
      <c r="BB66">
        <v>1.41418980504783E-2</v>
      </c>
      <c r="BC66">
        <v>1.18387553138384E-3</v>
      </c>
      <c r="BD66">
        <v>0.599800769153498</v>
      </c>
      <c r="BE66">
        <v>9.3100927974770504E-3</v>
      </c>
      <c r="BF66">
        <v>7.5821928948763501E-4</v>
      </c>
      <c r="BG66">
        <v>766.29999847710098</v>
      </c>
      <c r="BH66">
        <v>-1626.59999865293</v>
      </c>
      <c r="BI66">
        <v>431.60813958621702</v>
      </c>
      <c r="BJ66">
        <v>212.27530821649901</v>
      </c>
      <c r="BK66">
        <v>3.62751543148027</v>
      </c>
      <c r="BL66">
        <v>4.7557170932759796</v>
      </c>
      <c r="BM66">
        <v>194.01338039719599</v>
      </c>
      <c r="BN66">
        <v>22.311901589751699</v>
      </c>
      <c r="BO66">
        <v>216.325281986948</v>
      </c>
      <c r="BP66">
        <v>3.5066620182610402</v>
      </c>
      <c r="BQ66">
        <v>0.29528433431777701</v>
      </c>
      <c r="BR66">
        <v>208.64779278501899</v>
      </c>
      <c r="BS66">
        <v>2.20694987710616</v>
      </c>
      <c r="BT66">
        <v>0.294832900489437</v>
      </c>
      <c r="BU66">
        <v>3.5190706585823599</v>
      </c>
      <c r="BV66">
        <v>1.7235877610419601</v>
      </c>
      <c r="BW66">
        <v>0.51015395341175396</v>
      </c>
      <c r="BX66">
        <v>1.28532894412864</v>
      </c>
      <c r="BY66">
        <v>0</v>
      </c>
      <c r="BZ66">
        <v>3.0923599602590102</v>
      </c>
      <c r="CA66">
        <v>0.41430205800202802</v>
      </c>
      <c r="CB66">
        <v>0.29649254079210802</v>
      </c>
      <c r="CC66">
        <v>0.248808379500953</v>
      </c>
      <c r="CD66">
        <v>4.6475954816823303E-2</v>
      </c>
      <c r="CE66">
        <v>21.9999765512955</v>
      </c>
      <c r="CF66">
        <v>166.149663068145</v>
      </c>
      <c r="CG66">
        <v>42.212176188069797</v>
      </c>
      <c r="CH66">
        <v>0.40851002880832898</v>
      </c>
      <c r="CI66">
        <v>7.2973017688977801</v>
      </c>
      <c r="CJ66">
        <v>1.7353878746671401</v>
      </c>
      <c r="CK66">
        <v>9.7110771780833591</v>
      </c>
      <c r="CL66">
        <v>1.51827723595429</v>
      </c>
      <c r="CM66">
        <v>0.100592372897573</v>
      </c>
      <c r="CN66">
        <v>4.5826211273664597E-2</v>
      </c>
      <c r="CO66">
        <v>0.57071128792452697</v>
      </c>
      <c r="CP66">
        <v>0.71268795415519004</v>
      </c>
      <c r="CQ66">
        <v>0.15182772359542801</v>
      </c>
      <c r="CR66">
        <v>42.498129716873898</v>
      </c>
      <c r="CS66">
        <v>1.5285623425877399</v>
      </c>
      <c r="CT66">
        <v>0.15285623425877301</v>
      </c>
      <c r="CU66">
        <v>1.4699999999999399E-2</v>
      </c>
      <c r="CV66">
        <v>2.1194402111216499E-3</v>
      </c>
      <c r="CW66">
        <v>2.2313138839774398</v>
      </c>
      <c r="CX66">
        <v>2.0299999999999201E-2</v>
      </c>
      <c r="CY66">
        <v>6.06671090577108E-3</v>
      </c>
      <c r="CZ66">
        <v>0</v>
      </c>
      <c r="DA66">
        <v>2.3999991000028002E-3</v>
      </c>
      <c r="DB66">
        <v>1.4946274779441299E-3</v>
      </c>
      <c r="DC66">
        <v>1.9999999999999198E-3</v>
      </c>
      <c r="DD66">
        <v>3.3422549637185401E-3</v>
      </c>
      <c r="DE66">
        <v>9.6048300581138895E-4</v>
      </c>
      <c r="DF66">
        <v>2.39999909999995E-3</v>
      </c>
      <c r="DG66">
        <v>0</v>
      </c>
      <c r="DH66">
        <v>0</v>
      </c>
      <c r="DI66">
        <v>0.23180769399999099</v>
      </c>
      <c r="DJ66">
        <v>1.8846155199999201E-2</v>
      </c>
      <c r="DK66">
        <v>2.4826334171783802</v>
      </c>
      <c r="DL66">
        <v>0.162051789633053</v>
      </c>
      <c r="DM66">
        <v>64.589422863639101</v>
      </c>
      <c r="DN66">
        <v>233.46434508745901</v>
      </c>
      <c r="DO66">
        <v>327.66000000000003</v>
      </c>
      <c r="DP66">
        <v>29.583240221543299</v>
      </c>
      <c r="DQ66">
        <v>157.94999999999899</v>
      </c>
      <c r="DR66">
        <v>169.71</v>
      </c>
      <c r="DS66">
        <v>156.43741754832701</v>
      </c>
      <c r="DT66">
        <v>0</v>
      </c>
      <c r="DU66">
        <v>0</v>
      </c>
      <c r="DV66">
        <v>0</v>
      </c>
      <c r="DW66">
        <v>0</v>
      </c>
      <c r="DX66">
        <v>0</v>
      </c>
      <c r="DY66">
        <v>0</v>
      </c>
      <c r="DZ66">
        <v>0</v>
      </c>
      <c r="EA66">
        <v>0</v>
      </c>
      <c r="EB66">
        <v>0</v>
      </c>
      <c r="EC66">
        <v>0</v>
      </c>
      <c r="ED66">
        <v>0</v>
      </c>
      <c r="EE66">
        <v>0</v>
      </c>
      <c r="EF66">
        <v>1.2602187211348801</v>
      </c>
      <c r="EG66">
        <v>0</v>
      </c>
      <c r="EH66">
        <v>0</v>
      </c>
      <c r="EI66">
        <v>0</v>
      </c>
      <c r="EJ66">
        <v>0</v>
      </c>
      <c r="EK66">
        <v>0</v>
      </c>
      <c r="EL66">
        <v>0</v>
      </c>
      <c r="EM66">
        <v>0</v>
      </c>
      <c r="EN66">
        <v>0</v>
      </c>
      <c r="EO66">
        <v>0</v>
      </c>
      <c r="EP66">
        <v>0</v>
      </c>
      <c r="EQ66">
        <v>0</v>
      </c>
      <c r="ER66">
        <v>0</v>
      </c>
      <c r="ES66">
        <v>0</v>
      </c>
      <c r="ET66">
        <v>0</v>
      </c>
      <c r="EU66">
        <v>0</v>
      </c>
      <c r="EV66">
        <v>831.24527125551595</v>
      </c>
      <c r="EW66">
        <v>-28.649999999999899</v>
      </c>
      <c r="EX66">
        <v>1503.95415523262</v>
      </c>
      <c r="EY66">
        <v>844.57543746113595</v>
      </c>
      <c r="EZ66">
        <v>89.665600093496593</v>
      </c>
      <c r="FA66">
        <v>681.05142941399095</v>
      </c>
      <c r="FB66">
        <v>733.23712158203102</v>
      </c>
      <c r="FC66">
        <v>0.38672773320325099</v>
      </c>
      <c r="FD66">
        <v>0.70527904670733399</v>
      </c>
      <c r="FE66">
        <v>0</v>
      </c>
      <c r="FF66">
        <v>1</v>
      </c>
      <c r="FG66" s="159">
        <v>5.9016621899593299E-13</v>
      </c>
      <c r="FH66">
        <v>0</v>
      </c>
      <c r="FI66">
        <v>5.4512674794765098E-5</v>
      </c>
      <c r="FJ66">
        <v>-5.06754527775383E-3</v>
      </c>
      <c r="FK66" s="159">
        <v>6.57534000000779E-6</v>
      </c>
      <c r="FL66" s="159">
        <v>2.3550309485423801E-6</v>
      </c>
      <c r="FM66" s="159">
        <v>4.0946901145519998E-6</v>
      </c>
      <c r="FN66">
        <v>0</v>
      </c>
      <c r="FO66">
        <v>0</v>
      </c>
      <c r="FP66">
        <v>0</v>
      </c>
      <c r="FQ66">
        <v>0</v>
      </c>
      <c r="FR66">
        <v>0</v>
      </c>
      <c r="FS66">
        <v>0</v>
      </c>
      <c r="FT66">
        <v>0</v>
      </c>
      <c r="FU66">
        <v>0</v>
      </c>
      <c r="FV66">
        <v>-999</v>
      </c>
      <c r="FW66">
        <v>0.48959950817094</v>
      </c>
      <c r="FX66">
        <v>3.23252126935605E-3</v>
      </c>
      <c r="FY66">
        <v>1.22559859363803</v>
      </c>
      <c r="FZ66">
        <v>9.1016853521213399E-4</v>
      </c>
      <c r="GA66">
        <v>41.866256893168597</v>
      </c>
      <c r="GB66">
        <v>1.0662381356891E-2</v>
      </c>
      <c r="GC66">
        <v>2.88172469105162E-3</v>
      </c>
      <c r="GD66">
        <v>0</v>
      </c>
      <c r="GE66">
        <v>7.0244144956198096E-3</v>
      </c>
      <c r="GF66">
        <v>0.378846336291708</v>
      </c>
      <c r="GG66">
        <v>5.6027329254379802E-4</v>
      </c>
      <c r="GH66">
        <v>9.3980806497959892E-3</v>
      </c>
      <c r="GI66">
        <v>1.8463341694379701E-2</v>
      </c>
      <c r="GJ66">
        <v>9.0930965517289398E-4</v>
      </c>
      <c r="GK66">
        <v>1.7652590567207101E-3</v>
      </c>
      <c r="GL66">
        <v>0.40415503574619699</v>
      </c>
      <c r="GM66">
        <v>6.7591168190073297E-3</v>
      </c>
      <c r="GN66">
        <v>5.60003750617845E-4</v>
      </c>
      <c r="GO66">
        <v>0</v>
      </c>
      <c r="GP66">
        <v>0</v>
      </c>
      <c r="GQ66">
        <v>0</v>
      </c>
      <c r="GR66">
        <v>6.1553160391708897E-2</v>
      </c>
      <c r="GS66">
        <v>1.1429595511718901E-3</v>
      </c>
      <c r="GT66">
        <v>1.2821596087138199E-4</v>
      </c>
      <c r="GU66">
        <v>3.8839935652498402E-2</v>
      </c>
      <c r="GV66">
        <v>7.2120546107497805E-4</v>
      </c>
      <c r="GW66">
        <v>8.09040451891806E-5</v>
      </c>
      <c r="GX66">
        <v>0.124330252422827</v>
      </c>
      <c r="GY66">
        <v>0.13488678041992799</v>
      </c>
      <c r="GZ66">
        <v>58.934914612492399</v>
      </c>
      <c r="HA66">
        <v>676.68534969765403</v>
      </c>
      <c r="HB66">
        <v>0</v>
      </c>
      <c r="HC66">
        <v>0.99981306854764895</v>
      </c>
      <c r="HD66">
        <v>0.42656174522340301</v>
      </c>
      <c r="HE66">
        <v>1.1075843035275699E-2</v>
      </c>
      <c r="HF66">
        <v>9.5890466208492498E-4</v>
      </c>
      <c r="HG66">
        <v>1.3245845912769399E-2</v>
      </c>
      <c r="HH66" s="159">
        <v>4.7618776326424301E-7</v>
      </c>
      <c r="HI66" s="159">
        <v>3.3333254340359499E-7</v>
      </c>
      <c r="HJ66">
        <v>0</v>
      </c>
      <c r="HK66">
        <v>0</v>
      </c>
      <c r="HL66">
        <v>0</v>
      </c>
      <c r="HM66">
        <v>0</v>
      </c>
      <c r="HN66">
        <v>0</v>
      </c>
      <c r="HO66">
        <v>1.17167783821413E-2</v>
      </c>
      <c r="HP66">
        <v>0.56144852564333103</v>
      </c>
      <c r="HQ66">
        <v>1.1075843035275699E-2</v>
      </c>
      <c r="HR66">
        <v>9.5890466208492498E-4</v>
      </c>
      <c r="HS66">
        <v>0.71743847838121699</v>
      </c>
      <c r="HT66">
        <v>-999</v>
      </c>
      <c r="HU66">
        <v>0.999999999999999</v>
      </c>
      <c r="HV66">
        <v>0.80638318284662502</v>
      </c>
      <c r="HW66">
        <v>0.193616817153375</v>
      </c>
      <c r="HX66">
        <v>12533.0605844327</v>
      </c>
      <c r="HY66">
        <v>399.72689075842101</v>
      </c>
      <c r="HZ66">
        <v>40.254386274760002</v>
      </c>
      <c r="IA66">
        <v>-0.13488678041992799</v>
      </c>
      <c r="IB66">
        <v>0</v>
      </c>
      <c r="IC66">
        <v>0</v>
      </c>
      <c r="ID66">
        <v>0</v>
      </c>
      <c r="IE66">
        <v>0</v>
      </c>
      <c r="IF66">
        <v>0</v>
      </c>
      <c r="IG66">
        <v>0</v>
      </c>
      <c r="IH66">
        <v>0</v>
      </c>
      <c r="II66">
        <v>46.337800049999601</v>
      </c>
      <c r="IJ66">
        <v>463.37800049999902</v>
      </c>
      <c r="IK66">
        <v>1.0754189456415E-2</v>
      </c>
      <c r="IL66">
        <v>2.3564294869323102E-3</v>
      </c>
      <c r="IM66">
        <v>1.3110618943347301E-2</v>
      </c>
      <c r="IN66">
        <v>8.77441086186901E-4</v>
      </c>
      <c r="IO66">
        <v>0.42490433587056597</v>
      </c>
      <c r="IP66">
        <v>1.89951845250718E-2</v>
      </c>
      <c r="IQ66">
        <v>1.59689989213102E-3</v>
      </c>
      <c r="IR66">
        <v>0.29169280838646799</v>
      </c>
      <c r="IS66">
        <v>0.23468574242832899</v>
      </c>
      <c r="IT66">
        <v>0.279159576927555</v>
      </c>
      <c r="IU66">
        <v>0.30096279684489302</v>
      </c>
      <c r="IV66">
        <v>1.45372855422422E-2</v>
      </c>
      <c r="IW66">
        <v>1.15110999384806E-3</v>
      </c>
      <c r="IX66">
        <v>7.4914741545426197E-2</v>
      </c>
      <c r="IY66">
        <v>2.6945151138160501E-3</v>
      </c>
      <c r="IZ66">
        <v>2.69451511381603E-4</v>
      </c>
      <c r="JA66">
        <v>7.5034949810702203E-2</v>
      </c>
      <c r="JB66">
        <v>2.6988387353211098E-3</v>
      </c>
      <c r="JC66">
        <v>2.6988387353210901E-4</v>
      </c>
      <c r="JD66">
        <v>1.7948550595348701E-4</v>
      </c>
      <c r="JE66">
        <v>3.2651612647925602E-3</v>
      </c>
      <c r="JF66" s="159">
        <v>3.6591823321385698E-19</v>
      </c>
      <c r="JG66">
        <v>0</v>
      </c>
      <c r="JH66">
        <v>4.1255053342160002E-3</v>
      </c>
      <c r="JI66">
        <v>5.4355278119327705E-4</v>
      </c>
      <c r="JJ66">
        <v>-0.51088452707552301</v>
      </c>
      <c r="JK66">
        <v>1.7948550595348701E-4</v>
      </c>
      <c r="JL66" s="159">
        <v>6.5753399999999896E-6</v>
      </c>
      <c r="JM66">
        <v>-0.51088452707552301</v>
      </c>
      <c r="JN66">
        <v>0</v>
      </c>
      <c r="JO66">
        <v>1.3766897083020599</v>
      </c>
      <c r="JP66">
        <v>-1.5799412652374601E-2</v>
      </c>
      <c r="JQ66">
        <v>1.05774413628133E-3</v>
      </c>
      <c r="JR66">
        <v>2.2991827358570301E-2</v>
      </c>
      <c r="JS66">
        <v>1577.8125631852799</v>
      </c>
      <c r="JT66">
        <v>4.4732439416555803E-2</v>
      </c>
      <c r="JU66">
        <v>0</v>
      </c>
      <c r="JV66">
        <v>365</v>
      </c>
      <c r="JW66">
        <v>0</v>
      </c>
      <c r="JX66">
        <v>-0.40268092994350901</v>
      </c>
      <c r="JY66">
        <v>0</v>
      </c>
      <c r="JZ66">
        <v>1.3256307942439001</v>
      </c>
      <c r="KA66">
        <v>1.4054932986079001</v>
      </c>
      <c r="KB66">
        <v>1.4370153175612701</v>
      </c>
      <c r="KC66">
        <v>0</v>
      </c>
      <c r="KD66">
        <v>0</v>
      </c>
      <c r="KE66">
        <v>0</v>
      </c>
      <c r="KF66">
        <v>3.5878764296885801E-3</v>
      </c>
      <c r="KG66">
        <v>2.2640120273604101E-2</v>
      </c>
      <c r="KH66">
        <v>3.8100070215331301E-2</v>
      </c>
      <c r="KI66">
        <v>0</v>
      </c>
      <c r="KJ66">
        <v>0</v>
      </c>
      <c r="KK66">
        <v>0</v>
      </c>
      <c r="KL66">
        <v>0</v>
      </c>
      <c r="KM66">
        <v>0</v>
      </c>
      <c r="KN66">
        <v>0</v>
      </c>
      <c r="KO66">
        <v>0</v>
      </c>
      <c r="KP66">
        <v>0</v>
      </c>
      <c r="KQ66">
        <v>0</v>
      </c>
      <c r="KR66">
        <v>0</v>
      </c>
      <c r="KS66">
        <v>0</v>
      </c>
      <c r="KT66">
        <v>0</v>
      </c>
      <c r="KU66">
        <v>0.34999999999999898</v>
      </c>
      <c r="KV66">
        <v>-0.11395379027868099</v>
      </c>
      <c r="KW66">
        <v>1.80877326115501E-3</v>
      </c>
      <c r="KX66">
        <v>34052.5714706996</v>
      </c>
      <c r="KY66">
        <v>0</v>
      </c>
      <c r="KZ66">
        <v>0.210432908955761</v>
      </c>
      <c r="LA66">
        <v>1.73602675993533E-5</v>
      </c>
      <c r="LB66">
        <v>0</v>
      </c>
      <c r="LC66">
        <v>-12.135289328681299</v>
      </c>
      <c r="LD66">
        <v>1.57187092405837E-2</v>
      </c>
      <c r="LE66">
        <v>3.4138766420601699E-3</v>
      </c>
      <c r="LF66">
        <v>1.57187092405837E-2</v>
      </c>
      <c r="LG66">
        <v>0.95231329504886197</v>
      </c>
      <c r="LH66">
        <v>1.2401287443736999</v>
      </c>
      <c r="LI66">
        <v>0</v>
      </c>
      <c r="LJ66">
        <v>0</v>
      </c>
      <c r="LK66">
        <v>0.24367560972688401</v>
      </c>
      <c r="LL66">
        <v>0</v>
      </c>
      <c r="LM66">
        <v>0</v>
      </c>
      <c r="LN66">
        <v>0</v>
      </c>
      <c r="LO66">
        <v>0</v>
      </c>
      <c r="LP66">
        <v>0</v>
      </c>
      <c r="LQ66">
        <v>0</v>
      </c>
      <c r="LR66">
        <v>0</v>
      </c>
      <c r="LS66">
        <v>0</v>
      </c>
      <c r="LT66">
        <v>-999</v>
      </c>
      <c r="LU66">
        <v>0.425677209850163</v>
      </c>
      <c r="LV66">
        <v>65</v>
      </c>
      <c r="LW66">
        <v>253.44</v>
      </c>
      <c r="LX66">
        <v>2.3679999999999901</v>
      </c>
      <c r="LY66">
        <v>0</v>
      </c>
      <c r="LZ66">
        <v>-999</v>
      </c>
      <c r="MA66">
        <v>0</v>
      </c>
      <c r="MB66">
        <v>0</v>
      </c>
      <c r="MC66">
        <v>653.44000000000005</v>
      </c>
      <c r="MD66">
        <v>-23.6999999999999</v>
      </c>
      <c r="ME66">
        <v>-33.6</v>
      </c>
      <c r="MF66">
        <v>0</v>
      </c>
      <c r="MG66">
        <v>8.0706896550000007</v>
      </c>
      <c r="MH66">
        <v>0</v>
      </c>
      <c r="MI66">
        <v>0</v>
      </c>
      <c r="MJ66">
        <v>0</v>
      </c>
      <c r="MK66">
        <v>0</v>
      </c>
      <c r="ML66">
        <v>0</v>
      </c>
      <c r="MM66">
        <v>0</v>
      </c>
      <c r="MN66">
        <v>0</v>
      </c>
      <c r="MO66">
        <v>0</v>
      </c>
      <c r="MP66">
        <v>0</v>
      </c>
      <c r="MQ66">
        <v>0</v>
      </c>
      <c r="MR66">
        <v>0</v>
      </c>
      <c r="MS66">
        <v>0</v>
      </c>
      <c r="MT66">
        <v>0</v>
      </c>
      <c r="MU66">
        <v>0</v>
      </c>
      <c r="MV66">
        <v>0</v>
      </c>
    </row>
    <row r="67" spans="1:360" x14ac:dyDescent="0.25">
      <c r="A67">
        <v>24090</v>
      </c>
      <c r="B67">
        <v>0</v>
      </c>
      <c r="C67">
        <v>-33.6</v>
      </c>
      <c r="D67">
        <v>-23.6999999999999</v>
      </c>
      <c r="E67">
        <v>400</v>
      </c>
      <c r="F67">
        <v>0</v>
      </c>
      <c r="G67">
        <v>0</v>
      </c>
      <c r="H67">
        <v>0</v>
      </c>
      <c r="I67">
        <v>0</v>
      </c>
      <c r="J67">
        <v>0</v>
      </c>
      <c r="K67">
        <v>0</v>
      </c>
      <c r="L67" s="159">
        <v>6.5753399999999896E-6</v>
      </c>
      <c r="M67">
        <v>0</v>
      </c>
      <c r="N67">
        <v>0</v>
      </c>
      <c r="O67">
        <v>0</v>
      </c>
      <c r="P67">
        <v>0</v>
      </c>
      <c r="Q67">
        <v>0</v>
      </c>
      <c r="R67">
        <v>0</v>
      </c>
      <c r="S67">
        <v>0</v>
      </c>
      <c r="T67">
        <v>0</v>
      </c>
      <c r="U67">
        <v>715.09485728922095</v>
      </c>
      <c r="V67">
        <v>14.144921642656699</v>
      </c>
      <c r="W67">
        <v>1.36862038695976</v>
      </c>
      <c r="X67">
        <v>0.30229227219398802</v>
      </c>
      <c r="Y67">
        <v>0.27074579457720799</v>
      </c>
      <c r="Z67">
        <v>0.42696193322880299</v>
      </c>
      <c r="AA67">
        <v>0.112451134193022</v>
      </c>
      <c r="AB67">
        <v>0.52612987797668398</v>
      </c>
      <c r="AC67">
        <v>0.36141898783029303</v>
      </c>
      <c r="AD67">
        <v>0.884556359331237</v>
      </c>
      <c r="AE67">
        <v>3.9925854449746098E-2</v>
      </c>
      <c r="AF67">
        <v>7.5517786219016197E-2</v>
      </c>
      <c r="AG67">
        <v>0</v>
      </c>
      <c r="AH67">
        <v>3428.4753209384198</v>
      </c>
      <c r="AI67">
        <v>79.366769849553904</v>
      </c>
      <c r="AJ67">
        <v>8.1285072908218297</v>
      </c>
      <c r="AK67">
        <v>411.85632024168501</v>
      </c>
      <c r="AL67">
        <v>7.6476189351627504</v>
      </c>
      <c r="AM67">
        <v>0.85790158465773703</v>
      </c>
      <c r="AN67">
        <v>8693.5062568190897</v>
      </c>
      <c r="AO67">
        <v>312.68590824476502</v>
      </c>
      <c r="AP67">
        <v>31.268590824476298</v>
      </c>
      <c r="AQ67">
        <v>3.0373568745050799E-2</v>
      </c>
      <c r="AR67">
        <v>6.3081612194850704E-3</v>
      </c>
      <c r="AS67">
        <v>1.95181533186157E-2</v>
      </c>
      <c r="AT67">
        <v>9.48</v>
      </c>
      <c r="AU67">
        <v>5.9776937935376599</v>
      </c>
      <c r="AV67">
        <v>0</v>
      </c>
      <c r="AW67">
        <v>85.302932605769001</v>
      </c>
      <c r="AX67">
        <v>66.619012357205094</v>
      </c>
      <c r="AY67">
        <v>361.45570727152199</v>
      </c>
      <c r="AZ67">
        <v>0.54833294000258104</v>
      </c>
      <c r="BA67">
        <v>0.84789260225541097</v>
      </c>
      <c r="BB67">
        <v>1.4148007057797099E-2</v>
      </c>
      <c r="BC67">
        <v>1.1844692222549001E-3</v>
      </c>
      <c r="BD67">
        <v>0.59997355242416095</v>
      </c>
      <c r="BE67">
        <v>9.3084910595711695E-3</v>
      </c>
      <c r="BF67">
        <v>7.5799573407493899E-4</v>
      </c>
      <c r="BG67">
        <v>766.29999847710098</v>
      </c>
      <c r="BH67">
        <v>-1626.59999865293</v>
      </c>
      <c r="BI67">
        <v>431.83531839930998</v>
      </c>
      <c r="BJ67">
        <v>212.36657123369099</v>
      </c>
      <c r="BK67">
        <v>3.7485342729404798</v>
      </c>
      <c r="BL67">
        <v>4.7585319673269098</v>
      </c>
      <c r="BM67">
        <v>194.082186445638</v>
      </c>
      <c r="BN67">
        <v>22.3262832016533</v>
      </c>
      <c r="BO67">
        <v>216.40846964729101</v>
      </c>
      <c r="BP67">
        <v>3.5081767899629401</v>
      </c>
      <c r="BQ67">
        <v>0.29543090783807002</v>
      </c>
      <c r="BR67">
        <v>208.618036960751</v>
      </c>
      <c r="BS67">
        <v>2.20593328359534</v>
      </c>
      <c r="BT67">
        <v>0.29481748264212199</v>
      </c>
      <c r="BU67">
        <v>3.5188159881477201</v>
      </c>
      <c r="BV67">
        <v>1.72385526839513</v>
      </c>
      <c r="BW67">
        <v>0.50887099885343701</v>
      </c>
      <c r="BX67">
        <v>1.28608972089916</v>
      </c>
      <c r="BY67">
        <v>0</v>
      </c>
      <c r="BZ67">
        <v>3.0936076847357299</v>
      </c>
      <c r="CA67">
        <v>0.41456910522721702</v>
      </c>
      <c r="CB67">
        <v>0.29649126050741198</v>
      </c>
      <c r="CC67">
        <v>0.248924995953614</v>
      </c>
      <c r="CD67">
        <v>4.65059118844557E-2</v>
      </c>
      <c r="CE67">
        <v>22.0060517910089</v>
      </c>
      <c r="CF67">
        <v>166.14202566922799</v>
      </c>
      <c r="CG67">
        <v>42.192706890245603</v>
      </c>
      <c r="CH67">
        <v>0.408622837853583</v>
      </c>
      <c r="CI67">
        <v>7.2985278609978197</v>
      </c>
      <c r="CJ67">
        <v>1.7354843324320099</v>
      </c>
      <c r="CK67">
        <v>9.7121786845544396</v>
      </c>
      <c r="CL67">
        <v>1.51757696900869</v>
      </c>
      <c r="CM67">
        <v>0.10070364414809101</v>
      </c>
      <c r="CN67">
        <v>4.5838866069818102E-2</v>
      </c>
      <c r="CO67">
        <v>0.56847137058516695</v>
      </c>
      <c r="CP67">
        <v>0.71051217398021604</v>
      </c>
      <c r="CQ67">
        <v>0.15175769690086799</v>
      </c>
      <c r="CR67">
        <v>42.476011291522902</v>
      </c>
      <c r="CS67">
        <v>1.5277667924707301</v>
      </c>
      <c r="CT67">
        <v>0.152776679247072</v>
      </c>
      <c r="CU67">
        <v>1.4699999999998501E-2</v>
      </c>
      <c r="CV67">
        <v>2.12214699042891E-3</v>
      </c>
      <c r="CW67">
        <v>2.2301309658193298</v>
      </c>
      <c r="CX67">
        <v>2.02999999999979E-2</v>
      </c>
      <c r="CY67">
        <v>6.0726117924335497E-3</v>
      </c>
      <c r="CZ67">
        <v>0</v>
      </c>
      <c r="DA67">
        <v>2.3999991000027798E-3</v>
      </c>
      <c r="DB67">
        <v>1.49449352698091E-3</v>
      </c>
      <c r="DC67">
        <v>1.9999999999998001E-3</v>
      </c>
      <c r="DD67">
        <v>3.3345298747103902E-3</v>
      </c>
      <c r="DE67">
        <v>9.5689969157871995E-4</v>
      </c>
      <c r="DF67">
        <v>2.3999990999999301E-3</v>
      </c>
      <c r="DG67">
        <v>0</v>
      </c>
      <c r="DH67">
        <v>0</v>
      </c>
      <c r="DI67">
        <v>0.231807693999977</v>
      </c>
      <c r="DJ67">
        <v>1.8846155199998101E-2</v>
      </c>
      <c r="DK67">
        <v>2.4863948467436101</v>
      </c>
      <c r="DL67">
        <v>0.16229731375611001</v>
      </c>
      <c r="DM67">
        <v>64.240058447581603</v>
      </c>
      <c r="DN67">
        <v>233.839893047244</v>
      </c>
      <c r="DO67">
        <v>327.66000000000003</v>
      </c>
      <c r="DP67">
        <v>29.555428344672201</v>
      </c>
      <c r="DQ67">
        <v>157.94999999999899</v>
      </c>
      <c r="DR67">
        <v>169.71</v>
      </c>
      <c r="DS67">
        <v>156.45502946734101</v>
      </c>
      <c r="DT67">
        <v>0</v>
      </c>
      <c r="DU67">
        <v>0</v>
      </c>
      <c r="DV67">
        <v>0</v>
      </c>
      <c r="DW67">
        <v>0</v>
      </c>
      <c r="DX67">
        <v>0</v>
      </c>
      <c r="DY67">
        <v>0</v>
      </c>
      <c r="DZ67">
        <v>0</v>
      </c>
      <c r="EA67">
        <v>0</v>
      </c>
      <c r="EB67">
        <v>0</v>
      </c>
      <c r="EC67">
        <v>0</v>
      </c>
      <c r="ED67">
        <v>0</v>
      </c>
      <c r="EE67">
        <v>0</v>
      </c>
      <c r="EF67">
        <v>1.25954410549041</v>
      </c>
      <c r="EG67">
        <v>0</v>
      </c>
      <c r="EH67">
        <v>0</v>
      </c>
      <c r="EI67">
        <v>0</v>
      </c>
      <c r="EJ67">
        <v>0</v>
      </c>
      <c r="EK67">
        <v>0</v>
      </c>
      <c r="EL67">
        <v>0</v>
      </c>
      <c r="EM67">
        <v>0</v>
      </c>
      <c r="EN67">
        <v>0</v>
      </c>
      <c r="EO67">
        <v>0</v>
      </c>
      <c r="EP67">
        <v>0</v>
      </c>
      <c r="EQ67">
        <v>0</v>
      </c>
      <c r="ER67">
        <v>0</v>
      </c>
      <c r="ES67">
        <v>0</v>
      </c>
      <c r="ET67">
        <v>0</v>
      </c>
      <c r="EU67">
        <v>0</v>
      </c>
      <c r="EV67">
        <v>831.98135776389495</v>
      </c>
      <c r="EW67">
        <v>-28.649999999999899</v>
      </c>
      <c r="EX67">
        <v>1505.46285745099</v>
      </c>
      <c r="EY67">
        <v>844.99925301581004</v>
      </c>
      <c r="EZ67">
        <v>89.442454143128799</v>
      </c>
      <c r="FA67">
        <v>681.88219836155702</v>
      </c>
      <c r="FB67">
        <v>734.13818359375</v>
      </c>
      <c r="FC67">
        <v>0.38576530471931397</v>
      </c>
      <c r="FD67">
        <v>0.70352385672379603</v>
      </c>
      <c r="FE67">
        <v>0</v>
      </c>
      <c r="FF67">
        <v>1</v>
      </c>
      <c r="FG67" s="159">
        <v>5.9016621899593299E-13</v>
      </c>
      <c r="FH67">
        <v>0</v>
      </c>
      <c r="FI67">
        <v>5.4512674794765098E-5</v>
      </c>
      <c r="FJ67">
        <v>-5.0592110793194599E-3</v>
      </c>
      <c r="FK67" s="159">
        <v>6.57534000000779E-6</v>
      </c>
      <c r="FL67" s="159">
        <v>2.3464858865126901E-6</v>
      </c>
      <c r="FM67" s="159">
        <v>4.09432189859967E-6</v>
      </c>
      <c r="FN67">
        <v>0</v>
      </c>
      <c r="FO67">
        <v>0</v>
      </c>
      <c r="FP67">
        <v>0</v>
      </c>
      <c r="FQ67">
        <v>0</v>
      </c>
      <c r="FR67">
        <v>0</v>
      </c>
      <c r="FS67">
        <v>0</v>
      </c>
      <c r="FT67">
        <v>0</v>
      </c>
      <c r="FU67">
        <v>0</v>
      </c>
      <c r="FV67">
        <v>-999</v>
      </c>
      <c r="FW67">
        <v>0.48974668109982</v>
      </c>
      <c r="FX67">
        <v>3.2338423239832502E-3</v>
      </c>
      <c r="FY67">
        <v>1.2261328738694399</v>
      </c>
      <c r="FZ67">
        <v>9.0845618856379498E-4</v>
      </c>
      <c r="GA67">
        <v>41.837352871670298</v>
      </c>
      <c r="GB67">
        <v>1.0670248440617701E-2</v>
      </c>
      <c r="GC67">
        <v>2.8838509298966899E-3</v>
      </c>
      <c r="GD67">
        <v>0</v>
      </c>
      <c r="GE67">
        <v>7.0261494424437403E-3</v>
      </c>
      <c r="GF67">
        <v>0.37747171934863299</v>
      </c>
      <c r="GG67">
        <v>5.6039845802279898E-4</v>
      </c>
      <c r="GH67">
        <v>9.3957294081678903E-3</v>
      </c>
      <c r="GI67">
        <v>1.84600760955476E-2</v>
      </c>
      <c r="GJ67">
        <v>9.09102725574427E-4</v>
      </c>
      <c r="GK67">
        <v>1.7649876785841799E-3</v>
      </c>
      <c r="GL67">
        <v>0.40456972447421502</v>
      </c>
      <c r="GM67">
        <v>6.7655821656228002E-3</v>
      </c>
      <c r="GN67">
        <v>5.6055184022365905E-4</v>
      </c>
      <c r="GO67">
        <v>0</v>
      </c>
      <c r="GP67">
        <v>0</v>
      </c>
      <c r="GQ67">
        <v>0</v>
      </c>
      <c r="GR67">
        <v>6.1590969569614198E-2</v>
      </c>
      <c r="GS67">
        <v>1.14366161684542E-3</v>
      </c>
      <c r="GT67">
        <v>1.2829471783599701E-4</v>
      </c>
      <c r="GU67">
        <v>3.8870409791094303E-2</v>
      </c>
      <c r="GV67">
        <v>7.2177132491609399E-4</v>
      </c>
      <c r="GW67">
        <v>8.0967523180187703E-5</v>
      </c>
      <c r="GX67">
        <v>0.124455148537864</v>
      </c>
      <c r="GY67">
        <v>0.13501445932353801</v>
      </c>
      <c r="GZ67">
        <v>58.938718651855098</v>
      </c>
      <c r="HA67">
        <v>676.72646192340903</v>
      </c>
      <c r="HB67">
        <v>0</v>
      </c>
      <c r="HC67">
        <v>0.99981306889853205</v>
      </c>
      <c r="HD67">
        <v>0.42696049695352001</v>
      </c>
      <c r="HE67">
        <v>1.1086295614731E-2</v>
      </c>
      <c r="HF67">
        <v>9.5981349486342401E-4</v>
      </c>
      <c r="HG67">
        <v>1.3257717268632299E-2</v>
      </c>
      <c r="HH67" s="159">
        <v>4.7618776597263297E-7</v>
      </c>
      <c r="HI67" s="159">
        <v>3.3333254330537199E-7</v>
      </c>
      <c r="HJ67">
        <v>0</v>
      </c>
      <c r="HK67">
        <v>0</v>
      </c>
      <c r="HL67">
        <v>0</v>
      </c>
      <c r="HM67">
        <v>0</v>
      </c>
      <c r="HN67">
        <v>0</v>
      </c>
      <c r="HO67">
        <v>1.17272423049235E-2</v>
      </c>
      <c r="HP67">
        <v>0.56197495627705796</v>
      </c>
      <c r="HQ67">
        <v>1.1086295614731E-2</v>
      </c>
      <c r="HR67">
        <v>9.5981349486342401E-4</v>
      </c>
      <c r="HS67">
        <v>0.71703636140860005</v>
      </c>
      <c r="HT67">
        <v>-999</v>
      </c>
      <c r="HU67">
        <v>1</v>
      </c>
      <c r="HV67">
        <v>0.806961894851282</v>
      </c>
      <c r="HW67">
        <v>0.193038105148717</v>
      </c>
      <c r="HX67">
        <v>12533.837897999199</v>
      </c>
      <c r="HY67">
        <v>399.70029702948199</v>
      </c>
      <c r="HZ67">
        <v>40.254999699955903</v>
      </c>
      <c r="IA67">
        <v>-0.13501445932353801</v>
      </c>
      <c r="IB67">
        <v>0</v>
      </c>
      <c r="IC67">
        <v>0</v>
      </c>
      <c r="ID67">
        <v>0</v>
      </c>
      <c r="IE67">
        <v>0</v>
      </c>
      <c r="IF67">
        <v>0</v>
      </c>
      <c r="IG67">
        <v>0</v>
      </c>
      <c r="IH67">
        <v>0</v>
      </c>
      <c r="II67">
        <v>46.337800049999601</v>
      </c>
      <c r="IJ67">
        <v>463.37800049999902</v>
      </c>
      <c r="IK67">
        <v>1.07651387306321E-2</v>
      </c>
      <c r="IL67">
        <v>2.3591300713285699E-3</v>
      </c>
      <c r="IM67">
        <v>1.3124268801960701E-2</v>
      </c>
      <c r="IN67">
        <v>8.7459584704697405E-4</v>
      </c>
      <c r="IO67">
        <v>0.424998862904861</v>
      </c>
      <c r="IP67">
        <v>1.90075559788104E-2</v>
      </c>
      <c r="IQ67">
        <v>1.5941447607542101E-3</v>
      </c>
      <c r="IR67">
        <v>0.291563324174963</v>
      </c>
      <c r="IS67">
        <v>0.23448103442875301</v>
      </c>
      <c r="IT67">
        <v>0.27958009194630701</v>
      </c>
      <c r="IU67">
        <v>0.30108478166573999</v>
      </c>
      <c r="IV67">
        <v>1.4550644590936501E-2</v>
      </c>
      <c r="IW67">
        <v>1.1484536219668301E-3</v>
      </c>
      <c r="IX67">
        <v>7.4919209959957794E-2</v>
      </c>
      <c r="IY67">
        <v>2.69467583265779E-3</v>
      </c>
      <c r="IZ67">
        <v>2.69467583265777E-4</v>
      </c>
      <c r="JA67">
        <v>7.5032989841912007E-2</v>
      </c>
      <c r="JB67">
        <v>2.6987682396427E-3</v>
      </c>
      <c r="JC67">
        <v>2.6987682396426802E-4</v>
      </c>
      <c r="JD67">
        <v>1.79776353345941E-4</v>
      </c>
      <c r="JE67">
        <v>3.2661570687649399E-3</v>
      </c>
      <c r="JF67" s="159">
        <v>-3.3881317890171999E-19</v>
      </c>
      <c r="JG67">
        <v>0</v>
      </c>
      <c r="JH67">
        <v>4.1251440286185197E-3</v>
      </c>
      <c r="JI67">
        <v>5.4373459888412397E-4</v>
      </c>
      <c r="JJ67">
        <v>-0.51113223083118997</v>
      </c>
      <c r="JK67">
        <v>1.79776353345941E-4</v>
      </c>
      <c r="JL67" s="159">
        <v>6.5753399999999896E-6</v>
      </c>
      <c r="JM67">
        <v>-0.51113223083118997</v>
      </c>
      <c r="JN67">
        <v>0</v>
      </c>
      <c r="JO67">
        <v>1.4939471201966501</v>
      </c>
      <c r="JP67">
        <v>-1.5942273190887101E-2</v>
      </c>
      <c r="JQ67">
        <v>1.06546922528934E-3</v>
      </c>
      <c r="JR67">
        <v>2.4620160501513E-2</v>
      </c>
      <c r="JS67">
        <v>1579.13745796116</v>
      </c>
      <c r="JT67">
        <v>4.46211162034678E-2</v>
      </c>
      <c r="JU67">
        <v>0</v>
      </c>
      <c r="JV67">
        <v>365</v>
      </c>
      <c r="JW67">
        <v>0</v>
      </c>
      <c r="JX67">
        <v>-0.40268092994350901</v>
      </c>
      <c r="JY67">
        <v>0</v>
      </c>
      <c r="JZ67">
        <v>1.3258458852120301</v>
      </c>
      <c r="KA67">
        <v>1.4061779249984601</v>
      </c>
      <c r="KB67">
        <v>1.4379363973247701</v>
      </c>
      <c r="KC67">
        <v>0</v>
      </c>
      <c r="KD67">
        <v>0</v>
      </c>
      <c r="KE67">
        <v>0</v>
      </c>
      <c r="KF67">
        <v>3.5894711961758502E-3</v>
      </c>
      <c r="KG67">
        <v>2.26525166416689E-2</v>
      </c>
      <c r="KH67">
        <v>3.8078139347698402E-2</v>
      </c>
      <c r="KI67">
        <v>0</v>
      </c>
      <c r="KJ67">
        <v>0</v>
      </c>
      <c r="KK67">
        <v>0</v>
      </c>
      <c r="KL67">
        <v>0</v>
      </c>
      <c r="KM67">
        <v>0</v>
      </c>
      <c r="KN67">
        <v>0</v>
      </c>
      <c r="KO67">
        <v>0</v>
      </c>
      <c r="KP67">
        <v>0</v>
      </c>
      <c r="KQ67">
        <v>0</v>
      </c>
      <c r="KR67">
        <v>0</v>
      </c>
      <c r="KS67">
        <v>0</v>
      </c>
      <c r="KT67">
        <v>0</v>
      </c>
      <c r="KU67">
        <v>0.34999999999999898</v>
      </c>
      <c r="KV67">
        <v>-0.11387977326094</v>
      </c>
      <c r="KW67">
        <v>1.8076710688443201E-3</v>
      </c>
      <c r="KX67">
        <v>34094.109918077796</v>
      </c>
      <c r="KY67">
        <v>0</v>
      </c>
      <c r="KZ67">
        <v>0.21044084402430199</v>
      </c>
      <c r="LA67">
        <v>1.73602675993533E-5</v>
      </c>
      <c r="LB67">
        <v>0</v>
      </c>
      <c r="LC67">
        <v>-12.1348591888041</v>
      </c>
      <c r="LD67">
        <v>1.5718920947211699E-2</v>
      </c>
      <c r="LE67">
        <v>3.4140763652941398E-3</v>
      </c>
      <c r="LF67">
        <v>1.5718920947211699E-2</v>
      </c>
      <c r="LG67">
        <v>0.95248017070312796</v>
      </c>
      <c r="LH67">
        <v>1.240318375799</v>
      </c>
      <c r="LI67">
        <v>0</v>
      </c>
      <c r="LJ67">
        <v>0</v>
      </c>
      <c r="LK67">
        <v>0.243722664587911</v>
      </c>
      <c r="LL67">
        <v>0</v>
      </c>
      <c r="LM67">
        <v>0</v>
      </c>
      <c r="LN67">
        <v>0</v>
      </c>
      <c r="LO67">
        <v>0</v>
      </c>
      <c r="LP67">
        <v>0</v>
      </c>
      <c r="LQ67">
        <v>0</v>
      </c>
      <c r="LR67">
        <v>0</v>
      </c>
      <c r="LS67">
        <v>0</v>
      </c>
      <c r="LT67">
        <v>-999</v>
      </c>
      <c r="LU67">
        <v>0.42567996247141399</v>
      </c>
      <c r="LV67">
        <v>66</v>
      </c>
      <c r="LW67">
        <v>257.39999999999901</v>
      </c>
      <c r="LX67">
        <v>2.40499999999999</v>
      </c>
      <c r="LY67">
        <v>0</v>
      </c>
      <c r="LZ67">
        <v>-999</v>
      </c>
      <c r="MA67">
        <v>0</v>
      </c>
      <c r="MB67">
        <v>0</v>
      </c>
      <c r="MC67">
        <v>657.39999999999895</v>
      </c>
      <c r="MD67">
        <v>-23.6999999999999</v>
      </c>
      <c r="ME67">
        <v>-33.6</v>
      </c>
      <c r="MF67">
        <v>0</v>
      </c>
      <c r="MG67">
        <v>8.0706896550000007</v>
      </c>
      <c r="MH67">
        <v>0</v>
      </c>
      <c r="MI67">
        <v>0</v>
      </c>
      <c r="MJ67">
        <v>0</v>
      </c>
      <c r="MK67">
        <v>0</v>
      </c>
      <c r="ML67">
        <v>0</v>
      </c>
      <c r="MM67">
        <v>0</v>
      </c>
      <c r="MN67">
        <v>0</v>
      </c>
      <c r="MO67">
        <v>0</v>
      </c>
      <c r="MP67">
        <v>0</v>
      </c>
      <c r="MQ67">
        <v>0</v>
      </c>
      <c r="MR67">
        <v>0</v>
      </c>
      <c r="MS67">
        <v>0</v>
      </c>
      <c r="MT67">
        <v>0</v>
      </c>
      <c r="MU67">
        <v>0</v>
      </c>
      <c r="MV67">
        <v>0</v>
      </c>
    </row>
    <row r="68" spans="1:360" x14ac:dyDescent="0.25">
      <c r="A68">
        <v>24455</v>
      </c>
      <c r="B68">
        <v>0</v>
      </c>
      <c r="C68">
        <v>-33.6</v>
      </c>
      <c r="D68">
        <v>-23.6999999999999</v>
      </c>
      <c r="E68">
        <v>400</v>
      </c>
      <c r="F68">
        <v>0</v>
      </c>
      <c r="G68">
        <v>0</v>
      </c>
      <c r="H68">
        <v>0</v>
      </c>
      <c r="I68">
        <v>0</v>
      </c>
      <c r="J68">
        <v>0</v>
      </c>
      <c r="K68">
        <v>0</v>
      </c>
      <c r="L68" s="159">
        <v>6.5753399999999896E-6</v>
      </c>
      <c r="M68">
        <v>0</v>
      </c>
      <c r="N68">
        <v>0</v>
      </c>
      <c r="O68">
        <v>0</v>
      </c>
      <c r="P68">
        <v>0</v>
      </c>
      <c r="Q68">
        <v>0</v>
      </c>
      <c r="R68">
        <v>0</v>
      </c>
      <c r="S68">
        <v>0</v>
      </c>
      <c r="T68">
        <v>0</v>
      </c>
      <c r="U68">
        <v>715.63456149187402</v>
      </c>
      <c r="V68">
        <v>14.156250775651699</v>
      </c>
      <c r="W68">
        <v>1.36970766462297</v>
      </c>
      <c r="X68">
        <v>0.30123750589979298</v>
      </c>
      <c r="Y68">
        <v>0.27050096387163097</v>
      </c>
      <c r="Z68">
        <v>0.42826153022857399</v>
      </c>
      <c r="AA68">
        <v>0.11245342320883001</v>
      </c>
      <c r="AB68">
        <v>0.52691256327640501</v>
      </c>
      <c r="AC68">
        <v>0.36063401351476299</v>
      </c>
      <c r="AD68">
        <v>0.88455272035274701</v>
      </c>
      <c r="AE68">
        <v>3.9824485535838401E-2</v>
      </c>
      <c r="AF68">
        <v>7.5622794111414496E-2</v>
      </c>
      <c r="AG68">
        <v>0</v>
      </c>
      <c r="AH68">
        <v>3429.1693179714198</v>
      </c>
      <c r="AI68">
        <v>79.343565614365502</v>
      </c>
      <c r="AJ68">
        <v>8.1294521764726806</v>
      </c>
      <c r="AK68">
        <v>412.1706240803</v>
      </c>
      <c r="AL68">
        <v>7.65345513548173</v>
      </c>
      <c r="AM68">
        <v>0.85855628326974898</v>
      </c>
      <c r="AN68">
        <v>8693.2266346931992</v>
      </c>
      <c r="AO68">
        <v>312.675850864484</v>
      </c>
      <c r="AP68">
        <v>31.2675850864482</v>
      </c>
      <c r="AQ68">
        <v>3.0395793178711598E-2</v>
      </c>
      <c r="AR68">
        <v>6.3152255262033802E-3</v>
      </c>
      <c r="AS68">
        <v>1.94520031383199E-2</v>
      </c>
      <c r="AT68">
        <v>9.48</v>
      </c>
      <c r="AU68">
        <v>5.9771525481291103</v>
      </c>
      <c r="AV68">
        <v>0</v>
      </c>
      <c r="AW68">
        <v>85.320846956086797</v>
      </c>
      <c r="AX68">
        <v>66.626989282036504</v>
      </c>
      <c r="AY68">
        <v>361.45389001631298</v>
      </c>
      <c r="AZ68">
        <v>0.54833294000258204</v>
      </c>
      <c r="BA68">
        <v>0.848300687059522</v>
      </c>
      <c r="BB68">
        <v>1.4152080864118399E-2</v>
      </c>
      <c r="BC68">
        <v>1.18488142680491E-3</v>
      </c>
      <c r="BD68">
        <v>0.59980286437623198</v>
      </c>
      <c r="BE68">
        <v>9.3115540278749503E-3</v>
      </c>
      <c r="BF68">
        <v>7.5813321603828896E-4</v>
      </c>
      <c r="BG68">
        <v>766.29999847710098</v>
      </c>
      <c r="BH68">
        <v>-1626.59999865293</v>
      </c>
      <c r="BI68">
        <v>431.79552367753098</v>
      </c>
      <c r="BJ68">
        <v>212.23641806264499</v>
      </c>
      <c r="BK68">
        <v>3.52737879312981</v>
      </c>
      <c r="BL68">
        <v>4.7653444043361901</v>
      </c>
      <c r="BM68">
        <v>194.123462971527</v>
      </c>
      <c r="BN68">
        <v>22.3385952928008</v>
      </c>
      <c r="BO68">
        <v>216.46205826432799</v>
      </c>
      <c r="BP68">
        <v>3.5096444583383701</v>
      </c>
      <c r="BQ68">
        <v>0.29557373917299801</v>
      </c>
      <c r="BR68">
        <v>208.70903926951399</v>
      </c>
      <c r="BS68">
        <v>2.2062738401429902</v>
      </c>
      <c r="BT68">
        <v>0.29497989293828403</v>
      </c>
      <c r="BU68">
        <v>3.5209735913333402</v>
      </c>
      <c r="BV68">
        <v>1.72515332673543</v>
      </c>
      <c r="BW68">
        <v>0.50788934450704404</v>
      </c>
      <c r="BX68">
        <v>1.28793092009086</v>
      </c>
      <c r="BY68">
        <v>0</v>
      </c>
      <c r="BZ68">
        <v>3.0948467341079602</v>
      </c>
      <c r="CA68">
        <v>0.41479772423040701</v>
      </c>
      <c r="CB68">
        <v>0.29666101683621399</v>
      </c>
      <c r="CC68">
        <v>0.24904218105710901</v>
      </c>
      <c r="CD68">
        <v>4.6531558115888397E-2</v>
      </c>
      <c r="CE68">
        <v>22.0242914541872</v>
      </c>
      <c r="CF68">
        <v>166.231988469247</v>
      </c>
      <c r="CG68">
        <v>42.197428674357198</v>
      </c>
      <c r="CH68">
        <v>0.408961523911409</v>
      </c>
      <c r="CI68">
        <v>7.3025520738225804</v>
      </c>
      <c r="CJ68">
        <v>1.73607023286994</v>
      </c>
      <c r="CK68">
        <v>9.7170919655683008</v>
      </c>
      <c r="CL68">
        <v>1.5177468009855499</v>
      </c>
      <c r="CM68">
        <v>0.100873818931749</v>
      </c>
      <c r="CN68">
        <v>4.5876859503875801E-2</v>
      </c>
      <c r="CO68">
        <v>0.566418254372966</v>
      </c>
      <c r="CP68">
        <v>0.70861772918453003</v>
      </c>
      <c r="CQ68">
        <v>0.15177468009855399</v>
      </c>
      <c r="CR68">
        <v>42.477050800267698</v>
      </c>
      <c r="CS68">
        <v>1.5278041812672001</v>
      </c>
      <c r="CT68">
        <v>0.152780418126719</v>
      </c>
      <c r="CU68">
        <v>1.46999999999992E-2</v>
      </c>
      <c r="CV68">
        <v>2.1246656367268002E-3</v>
      </c>
      <c r="CW68">
        <v>2.2297438562070999</v>
      </c>
      <c r="CX68">
        <v>2.0299999999998899E-2</v>
      </c>
      <c r="CY68">
        <v>6.07721452339763E-3</v>
      </c>
      <c r="CZ68">
        <v>0</v>
      </c>
      <c r="DA68">
        <v>2.39999910000288E-3</v>
      </c>
      <c r="DB68">
        <v>1.49435868254876E-3</v>
      </c>
      <c r="DC68">
        <v>1.9999999999998999E-3</v>
      </c>
      <c r="DD68">
        <v>3.32627079090482E-3</v>
      </c>
      <c r="DE68">
        <v>9.5311327401267703E-4</v>
      </c>
      <c r="DF68">
        <v>2.3999991000000298E-3</v>
      </c>
      <c r="DG68">
        <v>0</v>
      </c>
      <c r="DH68">
        <v>0</v>
      </c>
      <c r="DI68">
        <v>0.23180769399998799</v>
      </c>
      <c r="DJ68">
        <v>1.8846155199999E-2</v>
      </c>
      <c r="DK68">
        <v>2.4908035387745402</v>
      </c>
      <c r="DL68">
        <v>0.16258508738737201</v>
      </c>
      <c r="DM68">
        <v>63.852902720070198</v>
      </c>
      <c r="DN68">
        <v>234.26723511015399</v>
      </c>
      <c r="DO68">
        <v>327.66000000000003</v>
      </c>
      <c r="DP68">
        <v>29.513975435133801</v>
      </c>
      <c r="DQ68">
        <v>157.94999999999899</v>
      </c>
      <c r="DR68">
        <v>169.71</v>
      </c>
      <c r="DS68">
        <v>156.48052340472401</v>
      </c>
      <c r="DT68">
        <v>0</v>
      </c>
      <c r="DU68">
        <v>0</v>
      </c>
      <c r="DV68">
        <v>0</v>
      </c>
      <c r="DW68">
        <v>0</v>
      </c>
      <c r="DX68">
        <v>0</v>
      </c>
      <c r="DY68">
        <v>0</v>
      </c>
      <c r="DZ68">
        <v>0</v>
      </c>
      <c r="EA68">
        <v>0</v>
      </c>
      <c r="EB68">
        <v>0</v>
      </c>
      <c r="EC68">
        <v>0</v>
      </c>
      <c r="ED68">
        <v>0</v>
      </c>
      <c r="EE68">
        <v>0</v>
      </c>
      <c r="EF68">
        <v>1.2581889569106699</v>
      </c>
      <c r="EG68">
        <v>0</v>
      </c>
      <c r="EH68">
        <v>0</v>
      </c>
      <c r="EI68">
        <v>0</v>
      </c>
      <c r="EJ68">
        <v>0</v>
      </c>
      <c r="EK68">
        <v>0</v>
      </c>
      <c r="EL68">
        <v>0</v>
      </c>
      <c r="EM68">
        <v>0</v>
      </c>
      <c r="EN68">
        <v>0</v>
      </c>
      <c r="EO68">
        <v>0</v>
      </c>
      <c r="EP68">
        <v>0</v>
      </c>
      <c r="EQ68">
        <v>0</v>
      </c>
      <c r="ER68">
        <v>0</v>
      </c>
      <c r="ES68">
        <v>0</v>
      </c>
      <c r="ET68">
        <v>0</v>
      </c>
      <c r="EU68">
        <v>0</v>
      </c>
      <c r="EV68">
        <v>832.54083861433196</v>
      </c>
      <c r="EW68">
        <v>-28.649999999999899</v>
      </c>
      <c r="EX68">
        <v>1506.5990768249901</v>
      </c>
      <c r="EY68">
        <v>845.318037782121</v>
      </c>
      <c r="EZ68">
        <v>89.273599141490607</v>
      </c>
      <c r="FA68">
        <v>682.50892560098805</v>
      </c>
      <c r="FB68">
        <v>734.81652832031205</v>
      </c>
      <c r="FC68">
        <v>0.38503703309724902</v>
      </c>
      <c r="FD68">
        <v>0.70219570083722405</v>
      </c>
      <c r="FE68">
        <v>0</v>
      </c>
      <c r="FF68">
        <v>1</v>
      </c>
      <c r="FG68" s="159">
        <v>5.9021697288473504E-13</v>
      </c>
      <c r="FH68">
        <v>0</v>
      </c>
      <c r="FI68">
        <v>5.4512674794765098E-5</v>
      </c>
      <c r="FJ68">
        <v>-5.0501629516573098E-3</v>
      </c>
      <c r="FK68" s="159">
        <v>6.57534000000779E-6</v>
      </c>
      <c r="FL68" s="159">
        <v>2.33848916874376E-6</v>
      </c>
      <c r="FM68" s="159">
        <v>4.0939511815630803E-6</v>
      </c>
      <c r="FN68">
        <v>0</v>
      </c>
      <c r="FO68">
        <v>0</v>
      </c>
      <c r="FP68">
        <v>0</v>
      </c>
      <c r="FQ68">
        <v>0</v>
      </c>
      <c r="FR68">
        <v>0</v>
      </c>
      <c r="FS68">
        <v>0</v>
      </c>
      <c r="FT68">
        <v>0</v>
      </c>
      <c r="FU68">
        <v>0</v>
      </c>
      <c r="FV68">
        <v>-999</v>
      </c>
      <c r="FW68">
        <v>0.49010326623207501</v>
      </c>
      <c r="FX68">
        <v>3.2346766540332699E-3</v>
      </c>
      <c r="FY68">
        <v>1.2274502659466</v>
      </c>
      <c r="FZ68">
        <v>9.0667832484651401E-4</v>
      </c>
      <c r="GA68">
        <v>41.807876401330503</v>
      </c>
      <c r="GB68">
        <v>1.0672618675381799E-2</v>
      </c>
      <c r="GC68">
        <v>2.8844915338869901E-3</v>
      </c>
      <c r="GD68">
        <v>0</v>
      </c>
      <c r="GE68">
        <v>7.0258465127667801E-3</v>
      </c>
      <c r="GF68">
        <v>0.37618531280225898</v>
      </c>
      <c r="GG68">
        <v>5.6043290095254101E-4</v>
      </c>
      <c r="GH68">
        <v>9.3961631819691194E-3</v>
      </c>
      <c r="GI68">
        <v>1.8457611713570899E-2</v>
      </c>
      <c r="GJ68">
        <v>9.0913879192697602E-4</v>
      </c>
      <c r="GK68">
        <v>1.7647826563440599E-3</v>
      </c>
      <c r="GL68">
        <v>0.40488233813630198</v>
      </c>
      <c r="GM68">
        <v>6.7720461846246397E-3</v>
      </c>
      <c r="GN68">
        <v>5.6108359282607499E-4</v>
      </c>
      <c r="GO68">
        <v>0</v>
      </c>
      <c r="GP68">
        <v>0</v>
      </c>
      <c r="GQ68">
        <v>0</v>
      </c>
      <c r="GR68">
        <v>6.1619418071290899E-2</v>
      </c>
      <c r="GS68">
        <v>1.1441898673284401E-3</v>
      </c>
      <c r="GT68">
        <v>1.2835397640135099E-4</v>
      </c>
      <c r="GU68">
        <v>3.8900272781219797E-2</v>
      </c>
      <c r="GV68">
        <v>7.2232584055059799E-4</v>
      </c>
      <c r="GW68">
        <v>8.1029728141704795E-5</v>
      </c>
      <c r="GX68">
        <v>0.124579223833078</v>
      </c>
      <c r="GY68">
        <v>0.135136722916916</v>
      </c>
      <c r="GZ68">
        <v>58.929743017516302</v>
      </c>
      <c r="HA68">
        <v>676.64104340926394</v>
      </c>
      <c r="HB68">
        <v>0</v>
      </c>
      <c r="HC68">
        <v>0.99981306935605696</v>
      </c>
      <c r="HD68">
        <v>0.42730871895871803</v>
      </c>
      <c r="HE68">
        <v>1.10950998089093E-2</v>
      </c>
      <c r="HF68">
        <v>9.6056213860765203E-4</v>
      </c>
      <c r="HG68">
        <v>1.3273656857852501E-2</v>
      </c>
      <c r="HH68" s="159">
        <v>4.7618777005510001E-7</v>
      </c>
      <c r="HI68" s="159">
        <v>3.3333254309883699E-7</v>
      </c>
      <c r="HJ68">
        <v>0</v>
      </c>
      <c r="HK68">
        <v>0</v>
      </c>
      <c r="HL68">
        <v>0</v>
      </c>
      <c r="HM68">
        <v>0</v>
      </c>
      <c r="HN68">
        <v>0</v>
      </c>
      <c r="HO68">
        <v>1.17412934541135E-2</v>
      </c>
      <c r="HP68">
        <v>0.56244544187563505</v>
      </c>
      <c r="HQ68">
        <v>1.10950998089093E-2</v>
      </c>
      <c r="HR68">
        <v>9.6056213860765203E-4</v>
      </c>
      <c r="HS68">
        <v>0.716802380373878</v>
      </c>
      <c r="HT68">
        <v>-999</v>
      </c>
      <c r="HU68">
        <v>1</v>
      </c>
      <c r="HV68">
        <v>0.80739898487402595</v>
      </c>
      <c r="HW68">
        <v>0.192601015125973</v>
      </c>
      <c r="HX68">
        <v>12534.566576744901</v>
      </c>
      <c r="HY68">
        <v>399.672871614332</v>
      </c>
      <c r="HZ68">
        <v>40.255593546190603</v>
      </c>
      <c r="IA68">
        <v>-0.135136722916916</v>
      </c>
      <c r="IB68">
        <v>0</v>
      </c>
      <c r="IC68">
        <v>0</v>
      </c>
      <c r="ID68">
        <v>0</v>
      </c>
      <c r="IE68">
        <v>0</v>
      </c>
      <c r="IF68">
        <v>0</v>
      </c>
      <c r="IG68">
        <v>0</v>
      </c>
      <c r="IH68">
        <v>0</v>
      </c>
      <c r="II68">
        <v>46.337800049999601</v>
      </c>
      <c r="IJ68">
        <v>463.37800049999902</v>
      </c>
      <c r="IK68">
        <v>1.0780469642154299E-2</v>
      </c>
      <c r="IL68">
        <v>2.3632632831223502E-3</v>
      </c>
      <c r="IM68">
        <v>1.3143732925276701E-2</v>
      </c>
      <c r="IN68">
        <v>8.7192633201721404E-4</v>
      </c>
      <c r="IO68">
        <v>0.42508707124690298</v>
      </c>
      <c r="IP68">
        <v>1.90256688455103E-2</v>
      </c>
      <c r="IQ68">
        <v>1.5915625781807599E-3</v>
      </c>
      <c r="IR68">
        <v>0.29146506954762003</v>
      </c>
      <c r="IS68">
        <v>0.23422746381092299</v>
      </c>
      <c r="IT68">
        <v>0.27999742027637597</v>
      </c>
      <c r="IU68">
        <v>0.30118903846213002</v>
      </c>
      <c r="IV68">
        <v>1.4569334684519901E-2</v>
      </c>
      <c r="IW68">
        <v>1.1459291620817299E-3</v>
      </c>
      <c r="IX68">
        <v>7.4921559078189301E-2</v>
      </c>
      <c r="IY68">
        <v>2.6947603251681802E-3</v>
      </c>
      <c r="IZ68">
        <v>2.69476032516816E-4</v>
      </c>
      <c r="JA68">
        <v>7.5030961132584797E-2</v>
      </c>
      <c r="JB68">
        <v>2.6986952715214599E-3</v>
      </c>
      <c r="JC68">
        <v>2.6986952715214399E-4</v>
      </c>
      <c r="JD68">
        <v>1.8006338203509399E-4</v>
      </c>
      <c r="JE68">
        <v>3.2685353851238698E-3</v>
      </c>
      <c r="JF68" s="159">
        <v>9.7578195523695303E-19</v>
      </c>
      <c r="JG68">
        <v>0</v>
      </c>
      <c r="JH68">
        <v>4.1242970307646797E-3</v>
      </c>
      <c r="JI68">
        <v>5.4387235721666395E-4</v>
      </c>
      <c r="JJ68">
        <v>-0.511356722511632</v>
      </c>
      <c r="JK68">
        <v>1.8006338203509399E-4</v>
      </c>
      <c r="JL68" s="159">
        <v>6.5753399999999896E-6</v>
      </c>
      <c r="JM68">
        <v>-0.511356722511632</v>
      </c>
      <c r="JN68">
        <v>0</v>
      </c>
      <c r="JO68">
        <v>1.26838294835576</v>
      </c>
      <c r="JP68">
        <v>-1.60669934157496E-2</v>
      </c>
      <c r="JQ68">
        <v>1.0737283090951101E-3</v>
      </c>
      <c r="JR68">
        <v>2.58867346416344E-2</v>
      </c>
      <c r="JS68">
        <v>1580.1345898637001</v>
      </c>
      <c r="JT68">
        <v>4.4536877698150797E-2</v>
      </c>
      <c r="JU68">
        <v>0</v>
      </c>
      <c r="JV68">
        <v>365</v>
      </c>
      <c r="JW68">
        <v>0</v>
      </c>
      <c r="JX68">
        <v>-0.40268092994350901</v>
      </c>
      <c r="JY68">
        <v>0</v>
      </c>
      <c r="JZ68">
        <v>1.3266685396042901</v>
      </c>
      <c r="KA68">
        <v>1.4061313289326001</v>
      </c>
      <c r="KB68">
        <v>1.4381291715858899</v>
      </c>
      <c r="KC68">
        <v>0</v>
      </c>
      <c r="KD68">
        <v>0</v>
      </c>
      <c r="KE68">
        <v>0</v>
      </c>
      <c r="KF68">
        <v>3.5905369741504002E-3</v>
      </c>
      <c r="KG68">
        <v>2.26661751709273E-2</v>
      </c>
      <c r="KH68">
        <v>3.8033762840835698E-2</v>
      </c>
      <c r="KI68">
        <v>0</v>
      </c>
      <c r="KJ68">
        <v>0</v>
      </c>
      <c r="KK68">
        <v>0</v>
      </c>
      <c r="KL68">
        <v>0</v>
      </c>
      <c r="KM68">
        <v>0</v>
      </c>
      <c r="KN68">
        <v>0</v>
      </c>
      <c r="KO68">
        <v>0</v>
      </c>
      <c r="KP68">
        <v>0</v>
      </c>
      <c r="KQ68">
        <v>0</v>
      </c>
      <c r="KR68">
        <v>0</v>
      </c>
      <c r="KS68">
        <v>0</v>
      </c>
      <c r="KT68">
        <v>0</v>
      </c>
      <c r="KU68">
        <v>0.34999999999999898</v>
      </c>
      <c r="KV68">
        <v>-0.113824005092461</v>
      </c>
      <c r="KW68">
        <v>1.80684091347454E-3</v>
      </c>
      <c r="KX68">
        <v>34125.4462800494</v>
      </c>
      <c r="KY68">
        <v>0</v>
      </c>
      <c r="KZ68">
        <v>0.21044803768357501</v>
      </c>
      <c r="LA68">
        <v>1.73602675993533E-5</v>
      </c>
      <c r="LB68">
        <v>0</v>
      </c>
      <c r="LC68">
        <v>-12.1344185208492</v>
      </c>
      <c r="LD68">
        <v>1.5719158008431201E-2</v>
      </c>
      <c r="LE68">
        <v>3.4143000079539898E-3</v>
      </c>
      <c r="LF68">
        <v>1.5719158008431201E-2</v>
      </c>
      <c r="LG68">
        <v>0.95266295546966495</v>
      </c>
      <c r="LH68">
        <v>1.2405260857609799</v>
      </c>
      <c r="LI68">
        <v>0</v>
      </c>
      <c r="LJ68">
        <v>0</v>
      </c>
      <c r="LK68">
        <v>0.243773848445962</v>
      </c>
      <c r="LL68">
        <v>0</v>
      </c>
      <c r="LM68">
        <v>0</v>
      </c>
      <c r="LN68">
        <v>0</v>
      </c>
      <c r="LO68">
        <v>0</v>
      </c>
      <c r="LP68">
        <v>0</v>
      </c>
      <c r="LQ68">
        <v>0</v>
      </c>
      <c r="LR68">
        <v>0</v>
      </c>
      <c r="LS68">
        <v>0</v>
      </c>
      <c r="LT68">
        <v>-999</v>
      </c>
      <c r="LU68">
        <v>0.42568214496753998</v>
      </c>
      <c r="LV68">
        <v>67</v>
      </c>
      <c r="LW68">
        <v>261.36</v>
      </c>
      <c r="LX68">
        <v>2.44199999999999</v>
      </c>
      <c r="LY68">
        <v>0</v>
      </c>
      <c r="LZ68">
        <v>-999</v>
      </c>
      <c r="MA68">
        <v>0</v>
      </c>
      <c r="MB68">
        <v>0</v>
      </c>
      <c r="MC68">
        <v>661.36</v>
      </c>
      <c r="MD68">
        <v>-23.6999999999999</v>
      </c>
      <c r="ME68">
        <v>-33.6</v>
      </c>
      <c r="MF68">
        <v>0</v>
      </c>
      <c r="MG68">
        <v>8.0706896550000007</v>
      </c>
      <c r="MH68">
        <v>0</v>
      </c>
      <c r="MI68">
        <v>0</v>
      </c>
      <c r="MJ68">
        <v>0</v>
      </c>
      <c r="MK68">
        <v>0</v>
      </c>
      <c r="ML68">
        <v>0</v>
      </c>
      <c r="MM68">
        <v>0</v>
      </c>
      <c r="MN68">
        <v>0</v>
      </c>
      <c r="MO68">
        <v>0</v>
      </c>
      <c r="MP68">
        <v>0</v>
      </c>
      <c r="MQ68">
        <v>0</v>
      </c>
      <c r="MR68">
        <v>0</v>
      </c>
      <c r="MS68">
        <v>0</v>
      </c>
      <c r="MT68">
        <v>0</v>
      </c>
      <c r="MU68">
        <v>0</v>
      </c>
      <c r="MV68">
        <v>0</v>
      </c>
    </row>
    <row r="69" spans="1:360" x14ac:dyDescent="0.25">
      <c r="A69">
        <v>24820</v>
      </c>
      <c r="B69">
        <v>0</v>
      </c>
      <c r="C69">
        <v>-33.6</v>
      </c>
      <c r="D69">
        <v>-23.6999999999999</v>
      </c>
      <c r="E69">
        <v>400</v>
      </c>
      <c r="F69">
        <v>0</v>
      </c>
      <c r="G69">
        <v>0</v>
      </c>
      <c r="H69">
        <v>0</v>
      </c>
      <c r="I69">
        <v>0</v>
      </c>
      <c r="J69">
        <v>0</v>
      </c>
      <c r="K69">
        <v>0</v>
      </c>
      <c r="L69" s="159">
        <v>6.5753399999999896E-6</v>
      </c>
      <c r="M69">
        <v>0</v>
      </c>
      <c r="N69">
        <v>0</v>
      </c>
      <c r="O69">
        <v>0</v>
      </c>
      <c r="P69">
        <v>0</v>
      </c>
      <c r="Q69">
        <v>0</v>
      </c>
      <c r="R69">
        <v>0</v>
      </c>
      <c r="S69">
        <v>0</v>
      </c>
      <c r="T69">
        <v>0</v>
      </c>
      <c r="U69">
        <v>716.24196289254905</v>
      </c>
      <c r="V69">
        <v>14.166112706853101</v>
      </c>
      <c r="W69">
        <v>1.37070181220452</v>
      </c>
      <c r="X69">
        <v>0.30013298868373001</v>
      </c>
      <c r="Y69">
        <v>0.270319967120417</v>
      </c>
      <c r="Z69">
        <v>0.42954704419585199</v>
      </c>
      <c r="AA69">
        <v>0.11245647985889499</v>
      </c>
      <c r="AB69">
        <v>0.52769421568006403</v>
      </c>
      <c r="AC69">
        <v>0.35984930446104002</v>
      </c>
      <c r="AD69">
        <v>0.88455145781950095</v>
      </c>
      <c r="AE69">
        <v>3.9728078791518399E-2</v>
      </c>
      <c r="AF69">
        <v>7.5720463388979406E-2</v>
      </c>
      <c r="AG69">
        <v>0</v>
      </c>
      <c r="AH69">
        <v>3429.9031846733301</v>
      </c>
      <c r="AI69">
        <v>79.321595173263802</v>
      </c>
      <c r="AJ69">
        <v>8.1304853342698191</v>
      </c>
      <c r="AK69">
        <v>412.48497866202399</v>
      </c>
      <c r="AL69">
        <v>7.6592922780321802</v>
      </c>
      <c r="AM69">
        <v>0.85921108758026099</v>
      </c>
      <c r="AN69">
        <v>8692.9505821277198</v>
      </c>
      <c r="AO69">
        <v>312.66592187328001</v>
      </c>
      <c r="AP69">
        <v>31.266592187327799</v>
      </c>
      <c r="AQ69">
        <v>3.0411147452243398E-2</v>
      </c>
      <c r="AR69">
        <v>6.3200789197458401E-3</v>
      </c>
      <c r="AS69">
        <v>1.9387907830865501E-2</v>
      </c>
      <c r="AT69">
        <v>9.48</v>
      </c>
      <c r="AU69">
        <v>5.9766081043682302</v>
      </c>
      <c r="AV69">
        <v>0</v>
      </c>
      <c r="AW69">
        <v>85.335665177986996</v>
      </c>
      <c r="AX69">
        <v>66.633639689150996</v>
      </c>
      <c r="AY69">
        <v>361.45240840001298</v>
      </c>
      <c r="AZ69">
        <v>0.54833294000258204</v>
      </c>
      <c r="BA69">
        <v>0.848700897025502</v>
      </c>
      <c r="BB69">
        <v>1.4157518574487001E-2</v>
      </c>
      <c r="BC69">
        <v>1.18540547287983E-3</v>
      </c>
      <c r="BD69">
        <v>0.60004717994466905</v>
      </c>
      <c r="BE69">
        <v>9.3108391408445405E-3</v>
      </c>
      <c r="BF69">
        <v>7.5806922682690795E-4</v>
      </c>
      <c r="BG69">
        <v>766.29999847710098</v>
      </c>
      <c r="BH69">
        <v>-1626.59999865293</v>
      </c>
      <c r="BI69">
        <v>432.07295666996703</v>
      </c>
      <c r="BJ69">
        <v>212.36805114070901</v>
      </c>
      <c r="BK69">
        <v>3.6422205337276301</v>
      </c>
      <c r="BL69">
        <v>4.7679364807849298</v>
      </c>
      <c r="BM69">
        <v>194.17848364877901</v>
      </c>
      <c r="BN69">
        <v>22.350102572040299</v>
      </c>
      <c r="BO69">
        <v>216.52858622081899</v>
      </c>
      <c r="BP69">
        <v>3.51111982482908</v>
      </c>
      <c r="BQ69">
        <v>0.295713229924569</v>
      </c>
      <c r="BR69">
        <v>208.72583060698199</v>
      </c>
      <c r="BS69">
        <v>2.20558412449004</v>
      </c>
      <c r="BT69">
        <v>0.29501816693744598</v>
      </c>
      <c r="BU69">
        <v>3.5209817560304399</v>
      </c>
      <c r="BV69">
        <v>1.7256427467506901</v>
      </c>
      <c r="BW69">
        <v>0.50670752798651997</v>
      </c>
      <c r="BX69">
        <v>1.28863148129322</v>
      </c>
      <c r="BY69">
        <v>0</v>
      </c>
      <c r="BZ69">
        <v>3.0961084258721301</v>
      </c>
      <c r="CA69">
        <v>0.41501139895695399</v>
      </c>
      <c r="CB69">
        <v>0.29670737750612097</v>
      </c>
      <c r="CC69">
        <v>0.24915770200996801</v>
      </c>
      <c r="CD69">
        <v>4.6555527914600901E-2</v>
      </c>
      <c r="CE69">
        <v>22.035747990315301</v>
      </c>
      <c r="CF69">
        <v>166.260328639433</v>
      </c>
      <c r="CG69">
        <v>42.1894494020572</v>
      </c>
      <c r="CH69">
        <v>0.40917425640650101</v>
      </c>
      <c r="CI69">
        <v>7.3077482271339802</v>
      </c>
      <c r="CJ69">
        <v>1.73726034996659</v>
      </c>
      <c r="CK69">
        <v>9.7232039059159892</v>
      </c>
      <c r="CL69">
        <v>1.5174598044697001</v>
      </c>
      <c r="CM69">
        <v>0.101010972349033</v>
      </c>
      <c r="CN69">
        <v>4.5900723604087298E-2</v>
      </c>
      <c r="CO69">
        <v>0.56447531617170499</v>
      </c>
      <c r="CP69">
        <v>0.70675460354169295</v>
      </c>
      <c r="CQ69">
        <v>0.15174598044696899</v>
      </c>
      <c r="CR69">
        <v>42.4655019675482</v>
      </c>
      <c r="CS69">
        <v>1.5273887956746199</v>
      </c>
      <c r="CT69">
        <v>0.15273887956746099</v>
      </c>
      <c r="CU69">
        <v>1.47000000000004E-2</v>
      </c>
      <c r="CV69">
        <v>2.1280071297398598E-3</v>
      </c>
      <c r="CW69">
        <v>2.2297583663026699</v>
      </c>
      <c r="CX69">
        <v>2.0300000000000502E-2</v>
      </c>
      <c r="CY69">
        <v>6.0856349560124796E-3</v>
      </c>
      <c r="CZ69">
        <v>0</v>
      </c>
      <c r="DA69">
        <v>2.3999991000028501E-3</v>
      </c>
      <c r="DB69">
        <v>1.49422298293219E-3</v>
      </c>
      <c r="DC69">
        <v>2.0000000000000599E-3</v>
      </c>
      <c r="DD69">
        <v>3.3193275996478101E-3</v>
      </c>
      <c r="DE69">
        <v>9.4977922206716098E-4</v>
      </c>
      <c r="DF69">
        <v>2.3999991000000099E-3</v>
      </c>
      <c r="DG69">
        <v>0</v>
      </c>
      <c r="DH69">
        <v>0</v>
      </c>
      <c r="DI69">
        <v>0.231807694000007</v>
      </c>
      <c r="DJ69">
        <v>1.8846155200000499E-2</v>
      </c>
      <c r="DK69">
        <v>2.4944581088970001</v>
      </c>
      <c r="DL69">
        <v>0.16282363635097899</v>
      </c>
      <c r="DM69">
        <v>63.519653963620499</v>
      </c>
      <c r="DN69">
        <v>234.628255068404</v>
      </c>
      <c r="DO69">
        <v>327.66000000000003</v>
      </c>
      <c r="DP69">
        <v>29.490627365420199</v>
      </c>
      <c r="DQ69">
        <v>157.94999999999899</v>
      </c>
      <c r="DR69">
        <v>169.71</v>
      </c>
      <c r="DS69">
        <v>156.49849000909299</v>
      </c>
      <c r="DT69">
        <v>0</v>
      </c>
      <c r="DU69">
        <v>0</v>
      </c>
      <c r="DV69">
        <v>0</v>
      </c>
      <c r="DW69">
        <v>0</v>
      </c>
      <c r="DX69">
        <v>0</v>
      </c>
      <c r="DY69">
        <v>0</v>
      </c>
      <c r="DZ69">
        <v>0</v>
      </c>
      <c r="EA69">
        <v>0</v>
      </c>
      <c r="EB69">
        <v>0</v>
      </c>
      <c r="EC69">
        <v>0</v>
      </c>
      <c r="ED69">
        <v>0</v>
      </c>
      <c r="EE69">
        <v>0</v>
      </c>
      <c r="EF69">
        <v>1.2576747455617401</v>
      </c>
      <c r="EG69">
        <v>0</v>
      </c>
      <c r="EH69">
        <v>0</v>
      </c>
      <c r="EI69">
        <v>0</v>
      </c>
      <c r="EJ69">
        <v>0</v>
      </c>
      <c r="EK69">
        <v>0</v>
      </c>
      <c r="EL69">
        <v>0</v>
      </c>
      <c r="EM69">
        <v>0</v>
      </c>
      <c r="EN69">
        <v>0</v>
      </c>
      <c r="EO69">
        <v>0</v>
      </c>
      <c r="EP69">
        <v>0</v>
      </c>
      <c r="EQ69">
        <v>0</v>
      </c>
      <c r="ER69">
        <v>0</v>
      </c>
      <c r="ES69">
        <v>0</v>
      </c>
      <c r="ET69">
        <v>0</v>
      </c>
      <c r="EU69">
        <v>0</v>
      </c>
      <c r="EV69">
        <v>833.169962922065</v>
      </c>
      <c r="EW69">
        <v>-28.649999999999899</v>
      </c>
      <c r="EX69">
        <v>1507.87781661589</v>
      </c>
      <c r="EY69">
        <v>845.67923111095399</v>
      </c>
      <c r="EZ69">
        <v>89.093486717109798</v>
      </c>
      <c r="FA69">
        <v>683.198591671911</v>
      </c>
      <c r="FB69">
        <v>735.58575439453102</v>
      </c>
      <c r="FC69">
        <v>0.38426020821089402</v>
      </c>
      <c r="FD69">
        <v>0.70077899790059095</v>
      </c>
      <c r="FE69">
        <v>0</v>
      </c>
      <c r="FF69">
        <v>1</v>
      </c>
      <c r="FG69" s="159">
        <v>5.9024234982913597E-13</v>
      </c>
      <c r="FH69">
        <v>0</v>
      </c>
      <c r="FI69">
        <v>5.4512674794765098E-5</v>
      </c>
      <c r="FJ69">
        <v>-5.0426922695260704E-3</v>
      </c>
      <c r="FK69" s="159">
        <v>6.57534000000779E-6</v>
      </c>
      <c r="FL69" s="159">
        <v>2.3307447041101799E-6</v>
      </c>
      <c r="FM69" s="159">
        <v>4.0935782738682896E-6</v>
      </c>
      <c r="FN69">
        <v>0</v>
      </c>
      <c r="FO69">
        <v>0</v>
      </c>
      <c r="FP69">
        <v>0</v>
      </c>
      <c r="FQ69">
        <v>0</v>
      </c>
      <c r="FR69">
        <v>0</v>
      </c>
      <c r="FS69">
        <v>0</v>
      </c>
      <c r="FT69">
        <v>0</v>
      </c>
      <c r="FU69">
        <v>0</v>
      </c>
      <c r="FV69">
        <v>-999</v>
      </c>
      <c r="FW69">
        <v>0.49034934953753101</v>
      </c>
      <c r="FX69">
        <v>3.23569008630476E-3</v>
      </c>
      <c r="FY69">
        <v>1.2283468674657301</v>
      </c>
      <c r="FZ69">
        <v>9.0495619005139796E-4</v>
      </c>
      <c r="GA69">
        <v>41.780100678720899</v>
      </c>
      <c r="GB69">
        <v>1.06773317767885E-2</v>
      </c>
      <c r="GC69">
        <v>2.8857653450779699E-3</v>
      </c>
      <c r="GD69">
        <v>0</v>
      </c>
      <c r="GE69">
        <v>7.02641162143414E-3</v>
      </c>
      <c r="GF69">
        <v>0.37493948541524003</v>
      </c>
      <c r="GG69">
        <v>5.6052272454382005E-4</v>
      </c>
      <c r="GH69">
        <v>9.3947351375232007E-3</v>
      </c>
      <c r="GI69">
        <v>1.8454964400770199E-2</v>
      </c>
      <c r="GJ69">
        <v>9.0902710889452E-4</v>
      </c>
      <c r="GK69">
        <v>1.7645660904670301E-3</v>
      </c>
      <c r="GL69">
        <v>0.40522935853265801</v>
      </c>
      <c r="GM69">
        <v>6.77781700521435E-3</v>
      </c>
      <c r="GN69">
        <v>5.6157748021905902E-4</v>
      </c>
      <c r="GO69">
        <v>0</v>
      </c>
      <c r="GP69">
        <v>0</v>
      </c>
      <c r="GQ69">
        <v>0</v>
      </c>
      <c r="GR69">
        <v>6.1651662082556999E-2</v>
      </c>
      <c r="GS69">
        <v>1.1447885953289199E-3</v>
      </c>
      <c r="GT69">
        <v>1.2842114105805601E-4</v>
      </c>
      <c r="GU69">
        <v>3.8930104293676299E-2</v>
      </c>
      <c r="GV69">
        <v>7.2287977168705101E-4</v>
      </c>
      <c r="GW69">
        <v>8.1091867534865302E-5</v>
      </c>
      <c r="GX69">
        <v>0.12469076673745499</v>
      </c>
      <c r="GY69">
        <v>0.135248470771797</v>
      </c>
      <c r="GZ69">
        <v>58.930236358503102</v>
      </c>
      <c r="HA69">
        <v>676.64051234054205</v>
      </c>
      <c r="HB69">
        <v>0</v>
      </c>
      <c r="HC69">
        <v>0.99981306951100901</v>
      </c>
      <c r="HD69">
        <v>0.42765519091548498</v>
      </c>
      <c r="HE69">
        <v>1.11040746343458E-2</v>
      </c>
      <c r="HF69">
        <v>9.6134388929093096E-4</v>
      </c>
      <c r="HG69">
        <v>1.32871514635105E-2</v>
      </c>
      <c r="HH69" s="159">
        <v>4.7618777332800202E-7</v>
      </c>
      <c r="HI69" s="159">
        <v>3.3333254295767598E-7</v>
      </c>
      <c r="HJ69">
        <v>0</v>
      </c>
      <c r="HK69">
        <v>0</v>
      </c>
      <c r="HL69">
        <v>0</v>
      </c>
      <c r="HM69">
        <v>0</v>
      </c>
      <c r="HN69">
        <v>0</v>
      </c>
      <c r="HO69">
        <v>1.17532133554368E-2</v>
      </c>
      <c r="HP69">
        <v>0.56290366168728301</v>
      </c>
      <c r="HQ69">
        <v>1.11040746343458E-2</v>
      </c>
      <c r="HR69">
        <v>9.6134388929093096E-4</v>
      </c>
      <c r="HS69">
        <v>0.71652193499711803</v>
      </c>
      <c r="HT69">
        <v>-999</v>
      </c>
      <c r="HU69">
        <v>1</v>
      </c>
      <c r="HV69">
        <v>0.80786965853992299</v>
      </c>
      <c r="HW69">
        <v>0.19213034146007599</v>
      </c>
      <c r="HX69">
        <v>12535.338745462999</v>
      </c>
      <c r="HY69">
        <v>399.646809324576</v>
      </c>
      <c r="HZ69">
        <v>40.256288609177801</v>
      </c>
      <c r="IA69">
        <v>-0.135248470771797</v>
      </c>
      <c r="IB69">
        <v>0</v>
      </c>
      <c r="IC69">
        <v>0</v>
      </c>
      <c r="ID69">
        <v>0</v>
      </c>
      <c r="IE69">
        <v>0</v>
      </c>
      <c r="IF69">
        <v>0</v>
      </c>
      <c r="IG69">
        <v>0</v>
      </c>
      <c r="IH69">
        <v>0</v>
      </c>
      <c r="II69">
        <v>46.337800049999601</v>
      </c>
      <c r="IJ69">
        <v>463.37800049999902</v>
      </c>
      <c r="IK69">
        <v>1.0793480913905799E-2</v>
      </c>
      <c r="IL69">
        <v>2.3666257293176798E-3</v>
      </c>
      <c r="IM69">
        <v>1.31601066432235E-2</v>
      </c>
      <c r="IN69">
        <v>8.6935705693303496E-4</v>
      </c>
      <c r="IO69">
        <v>0.42517982341071398</v>
      </c>
      <c r="IP69">
        <v>1.9040774791339601E-2</v>
      </c>
      <c r="IQ69">
        <v>1.58908777437182E-3</v>
      </c>
      <c r="IR69">
        <v>0.29135945372288202</v>
      </c>
      <c r="IS69">
        <v>0.23400788070942299</v>
      </c>
      <c r="IT69">
        <v>0.28039302975243902</v>
      </c>
      <c r="IU69">
        <v>0.301299662327777</v>
      </c>
      <c r="IV69">
        <v>1.4585083435352799E-2</v>
      </c>
      <c r="IW69">
        <v>1.1435186387731501E-3</v>
      </c>
      <c r="IX69">
        <v>7.4926677226119606E-2</v>
      </c>
      <c r="IY69">
        <v>2.6949444134620002E-3</v>
      </c>
      <c r="IZ69">
        <v>2.6949444134619798E-4</v>
      </c>
      <c r="JA69">
        <v>7.5028892725259005E-2</v>
      </c>
      <c r="JB69">
        <v>2.69862087555231E-3</v>
      </c>
      <c r="JC69">
        <v>2.6986208755522902E-4</v>
      </c>
      <c r="JD69">
        <v>1.80350602511916E-4</v>
      </c>
      <c r="JE69">
        <v>3.2701788111727599E-3</v>
      </c>
      <c r="JF69" s="159">
        <v>3.3203691532368501E-19</v>
      </c>
      <c r="JG69">
        <v>0</v>
      </c>
      <c r="JH69">
        <v>4.1235976676815998E-3</v>
      </c>
      <c r="JI69">
        <v>5.4402366939534398E-4</v>
      </c>
      <c r="JJ69">
        <v>-0.511577025824833</v>
      </c>
      <c r="JK69">
        <v>1.80350602511916E-4</v>
      </c>
      <c r="JL69" s="159">
        <v>6.5753399999999896E-6</v>
      </c>
      <c r="JM69">
        <v>-0.511577025824833</v>
      </c>
      <c r="JN69">
        <v>0</v>
      </c>
      <c r="JO69">
        <v>1.3795701188304099</v>
      </c>
      <c r="JP69">
        <v>-1.61801508876959E-2</v>
      </c>
      <c r="JQ69">
        <v>1.0806715003522499E-3</v>
      </c>
      <c r="JR69">
        <v>2.14636025545651E-2</v>
      </c>
      <c r="JS69">
        <v>1581.2649693369101</v>
      </c>
      <c r="JT69">
        <v>4.4447023081631003E-2</v>
      </c>
      <c r="JU69">
        <v>0</v>
      </c>
      <c r="JV69">
        <v>365</v>
      </c>
      <c r="JW69">
        <v>0</v>
      </c>
      <c r="JX69">
        <v>-0.40268092994350901</v>
      </c>
      <c r="JY69">
        <v>0</v>
      </c>
      <c r="JZ69">
        <v>1.3267377759185599</v>
      </c>
      <c r="KA69">
        <v>1.4066540330448201</v>
      </c>
      <c r="KB69">
        <v>1.43873868716095</v>
      </c>
      <c r="KC69">
        <v>0</v>
      </c>
      <c r="KD69">
        <v>0</v>
      </c>
      <c r="KE69">
        <v>0</v>
      </c>
      <c r="KF69">
        <v>3.59178234674017E-3</v>
      </c>
      <c r="KG69">
        <v>2.26784371684823E-2</v>
      </c>
      <c r="KH69">
        <v>3.8001525497503498E-2</v>
      </c>
      <c r="KI69">
        <v>0</v>
      </c>
      <c r="KJ69">
        <v>0</v>
      </c>
      <c r="KK69">
        <v>0</v>
      </c>
      <c r="KL69">
        <v>0</v>
      </c>
      <c r="KM69">
        <v>0</v>
      </c>
      <c r="KN69">
        <v>0</v>
      </c>
      <c r="KO69">
        <v>0</v>
      </c>
      <c r="KP69">
        <v>0</v>
      </c>
      <c r="KQ69">
        <v>0</v>
      </c>
      <c r="KR69">
        <v>0</v>
      </c>
      <c r="KS69">
        <v>0</v>
      </c>
      <c r="KT69">
        <v>0</v>
      </c>
      <c r="KU69">
        <v>0.34999999999999898</v>
      </c>
      <c r="KV69">
        <v>-0.113762705686282</v>
      </c>
      <c r="KW69">
        <v>1.80592871054709E-3</v>
      </c>
      <c r="KX69">
        <v>34159.929583595498</v>
      </c>
      <c r="KY69">
        <v>0</v>
      </c>
      <c r="KZ69">
        <v>0.21045598545949501</v>
      </c>
      <c r="LA69">
        <v>1.73602675993533E-5</v>
      </c>
      <c r="LB69">
        <v>0</v>
      </c>
      <c r="LC69">
        <v>-12.1340545519218</v>
      </c>
      <c r="LD69">
        <v>1.5719344615344299E-2</v>
      </c>
      <c r="LE69">
        <v>3.41447605221166E-3</v>
      </c>
      <c r="LF69">
        <v>1.5719344615344299E-2</v>
      </c>
      <c r="LG69">
        <v>0.95281237825686105</v>
      </c>
      <c r="LH69">
        <v>1.24069588438279</v>
      </c>
      <c r="LI69">
        <v>0</v>
      </c>
      <c r="LJ69">
        <v>0</v>
      </c>
      <c r="LK69">
        <v>0.24381618622282</v>
      </c>
      <c r="LL69">
        <v>0</v>
      </c>
      <c r="LM69">
        <v>0</v>
      </c>
      <c r="LN69">
        <v>0</v>
      </c>
      <c r="LO69">
        <v>0</v>
      </c>
      <c r="LP69">
        <v>0</v>
      </c>
      <c r="LQ69">
        <v>0</v>
      </c>
      <c r="LR69">
        <v>0</v>
      </c>
      <c r="LS69">
        <v>0</v>
      </c>
      <c r="LT69">
        <v>-999</v>
      </c>
      <c r="LU69">
        <v>0.42568392757601903</v>
      </c>
      <c r="LV69">
        <v>68</v>
      </c>
      <c r="LW69">
        <v>265.31999999999903</v>
      </c>
      <c r="LX69">
        <v>2.4790000000000001</v>
      </c>
      <c r="LY69">
        <v>0</v>
      </c>
      <c r="LZ69">
        <v>-999</v>
      </c>
      <c r="MA69">
        <v>0</v>
      </c>
      <c r="MB69">
        <v>0</v>
      </c>
      <c r="MC69">
        <v>665.31999999999903</v>
      </c>
      <c r="MD69">
        <v>-23.6999999999999</v>
      </c>
      <c r="ME69">
        <v>-33.6</v>
      </c>
      <c r="MF69">
        <v>0</v>
      </c>
      <c r="MG69">
        <v>8.0706896550000007</v>
      </c>
      <c r="MH69">
        <v>0</v>
      </c>
      <c r="MI69">
        <v>0</v>
      </c>
      <c r="MJ69">
        <v>0</v>
      </c>
      <c r="MK69">
        <v>0</v>
      </c>
      <c r="ML69">
        <v>0</v>
      </c>
      <c r="MM69">
        <v>0</v>
      </c>
      <c r="MN69">
        <v>0</v>
      </c>
      <c r="MO69">
        <v>0</v>
      </c>
      <c r="MP69">
        <v>0</v>
      </c>
      <c r="MQ69">
        <v>0</v>
      </c>
      <c r="MR69">
        <v>0</v>
      </c>
      <c r="MS69">
        <v>0</v>
      </c>
      <c r="MT69">
        <v>0</v>
      </c>
      <c r="MU69">
        <v>0</v>
      </c>
      <c r="MV69">
        <v>0</v>
      </c>
    </row>
    <row r="70" spans="1:360" x14ac:dyDescent="0.25">
      <c r="A70">
        <v>25185</v>
      </c>
      <c r="B70">
        <v>0</v>
      </c>
      <c r="C70">
        <v>-33.6</v>
      </c>
      <c r="D70">
        <v>-23.6999999999999</v>
      </c>
      <c r="E70">
        <v>400</v>
      </c>
      <c r="F70">
        <v>0</v>
      </c>
      <c r="G70">
        <v>0</v>
      </c>
      <c r="H70">
        <v>0</v>
      </c>
      <c r="I70">
        <v>0</v>
      </c>
      <c r="J70">
        <v>0</v>
      </c>
      <c r="K70">
        <v>0</v>
      </c>
      <c r="L70" s="159">
        <v>6.5753399999999896E-6</v>
      </c>
      <c r="M70">
        <v>0</v>
      </c>
      <c r="N70">
        <v>0</v>
      </c>
      <c r="O70">
        <v>0</v>
      </c>
      <c r="P70">
        <v>0</v>
      </c>
      <c r="Q70">
        <v>0</v>
      </c>
      <c r="R70">
        <v>0</v>
      </c>
      <c r="S70">
        <v>0</v>
      </c>
      <c r="T70">
        <v>0</v>
      </c>
      <c r="U70">
        <v>716.75810891262904</v>
      </c>
      <c r="V70">
        <v>14.176359555675299</v>
      </c>
      <c r="W70">
        <v>1.37171448250979</v>
      </c>
      <c r="X70">
        <v>0.29913096277961099</v>
      </c>
      <c r="Y70">
        <v>0.27010408810666597</v>
      </c>
      <c r="Z70">
        <v>0.43076494911372198</v>
      </c>
      <c r="AA70">
        <v>0.112459128793463</v>
      </c>
      <c r="AB70">
        <v>0.52847181919644803</v>
      </c>
      <c r="AC70">
        <v>0.35906905201008799</v>
      </c>
      <c r="AD70">
        <v>0.884549728243332</v>
      </c>
      <c r="AE70">
        <v>3.9629644844094099E-2</v>
      </c>
      <c r="AF70">
        <v>7.5820626912572894E-2</v>
      </c>
      <c r="AG70">
        <v>0</v>
      </c>
      <c r="AH70">
        <v>3430.5965119521002</v>
      </c>
      <c r="AI70">
        <v>79.299096593973005</v>
      </c>
      <c r="AJ70">
        <v>8.1315058680474799</v>
      </c>
      <c r="AK70">
        <v>412.79281014855798</v>
      </c>
      <c r="AL70">
        <v>7.6650082954624201</v>
      </c>
      <c r="AM70">
        <v>0.85985230420636705</v>
      </c>
      <c r="AN70">
        <v>8692.6787134698297</v>
      </c>
      <c r="AO70">
        <v>312.65614336784103</v>
      </c>
      <c r="AP70">
        <v>31.265614336783798</v>
      </c>
      <c r="AQ70">
        <v>3.04304331226753E-2</v>
      </c>
      <c r="AR70">
        <v>6.3262641930501703E-3</v>
      </c>
      <c r="AS70">
        <v>1.9327015456487202E-2</v>
      </c>
      <c r="AT70">
        <v>9.48</v>
      </c>
      <c r="AU70">
        <v>5.9760603787158404</v>
      </c>
      <c r="AV70">
        <v>0</v>
      </c>
      <c r="AW70">
        <v>85.351862371216498</v>
      </c>
      <c r="AX70">
        <v>66.640750295101995</v>
      </c>
      <c r="AY70">
        <v>361.45077029465602</v>
      </c>
      <c r="AZ70">
        <v>0.54833294000258204</v>
      </c>
      <c r="BA70">
        <v>0.84908285368501901</v>
      </c>
      <c r="BB70">
        <v>1.41615105978761E-2</v>
      </c>
      <c r="BC70">
        <v>1.18581190564481E-3</v>
      </c>
      <c r="BD70">
        <v>0.600002656496891</v>
      </c>
      <c r="BE70">
        <v>9.3134158266185308E-3</v>
      </c>
      <c r="BF70">
        <v>7.5820493301582905E-4</v>
      </c>
      <c r="BG70">
        <v>766.29999847710098</v>
      </c>
      <c r="BH70">
        <v>-1626.59999865293</v>
      </c>
      <c r="BI70">
        <v>432.12646461396798</v>
      </c>
      <c r="BJ70">
        <v>212.32030355665501</v>
      </c>
      <c r="BK70">
        <v>3.5121726990057902</v>
      </c>
      <c r="BL70">
        <v>4.7737530569158002</v>
      </c>
      <c r="BM70">
        <v>194.21673128302399</v>
      </c>
      <c r="BN70">
        <v>22.361179310464401</v>
      </c>
      <c r="BO70">
        <v>216.57791059348901</v>
      </c>
      <c r="BP70">
        <v>3.51243421110106</v>
      </c>
      <c r="BQ70">
        <v>0.29584498255059</v>
      </c>
      <c r="BR70">
        <v>208.80813085764899</v>
      </c>
      <c r="BS70">
        <v>2.20572464606128</v>
      </c>
      <c r="BT70">
        <v>0.29516108269076902</v>
      </c>
      <c r="BU70">
        <v>3.5226810599232699</v>
      </c>
      <c r="BV70">
        <v>1.72676512586599</v>
      </c>
      <c r="BW70">
        <v>0.50571240516111504</v>
      </c>
      <c r="BX70">
        <v>1.29020352889616</v>
      </c>
      <c r="BY70">
        <v>0</v>
      </c>
      <c r="BZ70">
        <v>3.0972171319824802</v>
      </c>
      <c r="CA70">
        <v>0.41521707911857503</v>
      </c>
      <c r="CB70">
        <v>0.29685765285585197</v>
      </c>
      <c r="CC70">
        <v>0.24926638165888501</v>
      </c>
      <c r="CD70">
        <v>4.6578600891704298E-2</v>
      </c>
      <c r="CE70">
        <v>22.05334782393</v>
      </c>
      <c r="CF70">
        <v>166.34211980216801</v>
      </c>
      <c r="CG70">
        <v>42.194142397574602</v>
      </c>
      <c r="CH70">
        <v>0.40950106168832501</v>
      </c>
      <c r="CI70">
        <v>7.3125075665253902</v>
      </c>
      <c r="CJ70">
        <v>1.7381132403294599</v>
      </c>
      <c r="CK70">
        <v>9.7289383464911801</v>
      </c>
      <c r="CL70">
        <v>1.5176286009854401</v>
      </c>
      <c r="CM70">
        <v>0.101177098113357</v>
      </c>
      <c r="CN70">
        <v>4.5937384265598603E-2</v>
      </c>
      <c r="CO70">
        <v>0.562625263390784</v>
      </c>
      <c r="CP70">
        <v>0.70504563543905896</v>
      </c>
      <c r="CQ70">
        <v>0.15176286009854301</v>
      </c>
      <c r="CR70">
        <v>42.466011055480699</v>
      </c>
      <c r="CS70">
        <v>1.5274071064249499</v>
      </c>
      <c r="CT70">
        <v>0.152740710642494</v>
      </c>
      <c r="CU70">
        <v>1.4699999999995999E-2</v>
      </c>
      <c r="CV70">
        <v>2.1306378251542799E-3</v>
      </c>
      <c r="CW70">
        <v>2.22962283702917</v>
      </c>
      <c r="CX70">
        <v>2.02999999999945E-2</v>
      </c>
      <c r="CY70">
        <v>6.0910062652804499E-3</v>
      </c>
      <c r="CZ70">
        <v>0</v>
      </c>
      <c r="DA70">
        <v>2.39999910000272E-3</v>
      </c>
      <c r="DB70">
        <v>1.49408647266712E-3</v>
      </c>
      <c r="DC70">
        <v>1.9999999999994601E-3</v>
      </c>
      <c r="DD70">
        <v>3.3120469616954801E-3</v>
      </c>
      <c r="DE70">
        <v>9.4636082027016401E-4</v>
      </c>
      <c r="DF70">
        <v>2.3999990999998698E-3</v>
      </c>
      <c r="DG70">
        <v>0</v>
      </c>
      <c r="DH70">
        <v>0</v>
      </c>
      <c r="DI70">
        <v>0.231807693999937</v>
      </c>
      <c r="DJ70">
        <v>1.8846155199994899E-2</v>
      </c>
      <c r="DK70">
        <v>2.4985442655143202</v>
      </c>
      <c r="DL70">
        <v>0.163090356756809</v>
      </c>
      <c r="DM70">
        <v>63.155640660736999</v>
      </c>
      <c r="DN70">
        <v>235.024838845087</v>
      </c>
      <c r="DO70">
        <v>327.66000000000003</v>
      </c>
      <c r="DP70">
        <v>29.456217928827702</v>
      </c>
      <c r="DQ70">
        <v>157.94999999999899</v>
      </c>
      <c r="DR70">
        <v>169.71</v>
      </c>
      <c r="DS70">
        <v>156.519391272994</v>
      </c>
      <c r="DT70">
        <v>0</v>
      </c>
      <c r="DU70">
        <v>0</v>
      </c>
      <c r="DV70">
        <v>0</v>
      </c>
      <c r="DW70">
        <v>0</v>
      </c>
      <c r="DX70">
        <v>0</v>
      </c>
      <c r="DY70">
        <v>0</v>
      </c>
      <c r="DZ70">
        <v>0</v>
      </c>
      <c r="EA70">
        <v>0</v>
      </c>
      <c r="EB70">
        <v>0</v>
      </c>
      <c r="EC70">
        <v>0</v>
      </c>
      <c r="ED70">
        <v>0</v>
      </c>
      <c r="EE70">
        <v>0</v>
      </c>
      <c r="EF70">
        <v>1.2565917709580701</v>
      </c>
      <c r="EG70">
        <v>0</v>
      </c>
      <c r="EH70">
        <v>0</v>
      </c>
      <c r="EI70">
        <v>0</v>
      </c>
      <c r="EJ70">
        <v>0</v>
      </c>
      <c r="EK70">
        <v>0</v>
      </c>
      <c r="EL70">
        <v>0</v>
      </c>
      <c r="EM70">
        <v>0</v>
      </c>
      <c r="EN70">
        <v>0</v>
      </c>
      <c r="EO70">
        <v>0</v>
      </c>
      <c r="EP70">
        <v>0</v>
      </c>
      <c r="EQ70">
        <v>0</v>
      </c>
      <c r="ER70">
        <v>0</v>
      </c>
      <c r="ES70">
        <v>0</v>
      </c>
      <c r="ET70">
        <v>0</v>
      </c>
      <c r="EU70">
        <v>0</v>
      </c>
      <c r="EV70">
        <v>833.70511360189198</v>
      </c>
      <c r="EW70">
        <v>-28.649999999999899</v>
      </c>
      <c r="EX70">
        <v>1508.9644398160599</v>
      </c>
      <c r="EY70">
        <v>845.98494059858001</v>
      </c>
      <c r="EZ70">
        <v>88.936406869417098</v>
      </c>
      <c r="FA70">
        <v>683.79076917236898</v>
      </c>
      <c r="FB70">
        <v>736.23724365234295</v>
      </c>
      <c r="FC70">
        <v>0.38358272282779599</v>
      </c>
      <c r="FD70">
        <v>0.69954346136124801</v>
      </c>
      <c r="FE70">
        <v>0</v>
      </c>
      <c r="FF70">
        <v>1</v>
      </c>
      <c r="FG70" s="159">
        <v>5.9024234982913597E-13</v>
      </c>
      <c r="FH70">
        <v>0</v>
      </c>
      <c r="FI70">
        <v>5.4512674794765098E-5</v>
      </c>
      <c r="FJ70">
        <v>-5.0345404935434801E-3</v>
      </c>
      <c r="FK70" s="159">
        <v>6.57534000000779E-6</v>
      </c>
      <c r="FL70" s="159">
        <v>2.3233845227586298E-6</v>
      </c>
      <c r="FM70" s="159">
        <v>4.0932031182965197E-6</v>
      </c>
      <c r="FN70">
        <v>0</v>
      </c>
      <c r="FO70">
        <v>0</v>
      </c>
      <c r="FP70">
        <v>0</v>
      </c>
      <c r="FQ70">
        <v>0</v>
      </c>
      <c r="FR70">
        <v>0</v>
      </c>
      <c r="FS70">
        <v>0</v>
      </c>
      <c r="FT70">
        <v>0</v>
      </c>
      <c r="FU70">
        <v>0</v>
      </c>
      <c r="FV70">
        <v>-999</v>
      </c>
      <c r="FW70">
        <v>0.49065870697976799</v>
      </c>
      <c r="FX70">
        <v>3.23648954470374E-3</v>
      </c>
      <c r="FY70">
        <v>1.2294984359782799</v>
      </c>
      <c r="FZ70">
        <v>9.0319588707282598E-4</v>
      </c>
      <c r="GA70">
        <v>41.751884122117097</v>
      </c>
      <c r="GB70">
        <v>1.06802023553722E-2</v>
      </c>
      <c r="GC70">
        <v>2.8865411771276201E-3</v>
      </c>
      <c r="GD70">
        <v>0</v>
      </c>
      <c r="GE70">
        <v>7.0262266089041901E-3</v>
      </c>
      <c r="GF70">
        <v>0.37375547645722401</v>
      </c>
      <c r="GG70">
        <v>5.6056930281029704E-4</v>
      </c>
      <c r="GH70">
        <v>9.3947605268970696E-3</v>
      </c>
      <c r="GI70">
        <v>1.8452668693948099E-2</v>
      </c>
      <c r="GJ70">
        <v>9.0904361051543205E-4</v>
      </c>
      <c r="GK70">
        <v>1.76437679057459E-3</v>
      </c>
      <c r="GL70">
        <v>0.40552609285480501</v>
      </c>
      <c r="GM70">
        <v>6.7836622141739999E-3</v>
      </c>
      <c r="GN70">
        <v>5.6207011181671595E-4</v>
      </c>
      <c r="GO70">
        <v>0</v>
      </c>
      <c r="GP70">
        <v>0</v>
      </c>
      <c r="GQ70">
        <v>0</v>
      </c>
      <c r="GR70">
        <v>6.1678957680593401E-2</v>
      </c>
      <c r="GS70">
        <v>1.14529543793915E-3</v>
      </c>
      <c r="GT70">
        <v>1.2847799811149601E-4</v>
      </c>
      <c r="GU70">
        <v>3.8959324910452203E-2</v>
      </c>
      <c r="GV70">
        <v>7.2342235931086604E-4</v>
      </c>
      <c r="GW70">
        <v>8.1152734425100499E-5</v>
      </c>
      <c r="GX70">
        <v>0.124803245057934</v>
      </c>
      <c r="GY70">
        <v>0.13535957995216899</v>
      </c>
      <c r="GZ70">
        <v>58.923892778123701</v>
      </c>
      <c r="HA70">
        <v>676.57132619473498</v>
      </c>
      <c r="HB70">
        <v>0</v>
      </c>
      <c r="HC70">
        <v>0.99981306972526596</v>
      </c>
      <c r="HD70">
        <v>0.42797901675259298</v>
      </c>
      <c r="HE70">
        <v>1.11122712330071E-2</v>
      </c>
      <c r="HF70">
        <v>9.6204912677935901E-4</v>
      </c>
      <c r="HG70">
        <v>1.33015030179403E-2</v>
      </c>
      <c r="HH70" s="159">
        <v>4.7618777697706898E-7</v>
      </c>
      <c r="HI70" s="159">
        <v>3.3333254275758102E-7</v>
      </c>
      <c r="HJ70">
        <v>0</v>
      </c>
      <c r="HK70">
        <v>0</v>
      </c>
      <c r="HL70">
        <v>0</v>
      </c>
      <c r="HM70">
        <v>0</v>
      </c>
      <c r="HN70">
        <v>0</v>
      </c>
      <c r="HO70">
        <v>1.1765885024381801E-2</v>
      </c>
      <c r="HP70">
        <v>0.56333859670476305</v>
      </c>
      <c r="HQ70">
        <v>1.11122712330071E-2</v>
      </c>
      <c r="HR70">
        <v>9.6204912677935901E-4</v>
      </c>
      <c r="HS70">
        <v>0.71632778384807405</v>
      </c>
      <c r="HT70">
        <v>-999</v>
      </c>
      <c r="HU70">
        <v>1</v>
      </c>
      <c r="HV70">
        <v>0.808277708452528</v>
      </c>
      <c r="HW70">
        <v>0.191722291547471</v>
      </c>
      <c r="HX70">
        <v>12536.068035570501</v>
      </c>
      <c r="HY70">
        <v>399.62024825727599</v>
      </c>
      <c r="HZ70">
        <v>40.256972509037702</v>
      </c>
      <c r="IA70">
        <v>-0.13535957995216899</v>
      </c>
      <c r="IB70">
        <v>0</v>
      </c>
      <c r="IC70">
        <v>0</v>
      </c>
      <c r="ID70">
        <v>0</v>
      </c>
      <c r="IE70">
        <v>0</v>
      </c>
      <c r="IF70">
        <v>0</v>
      </c>
      <c r="IG70">
        <v>0</v>
      </c>
      <c r="IH70">
        <v>0</v>
      </c>
      <c r="II70">
        <v>46.337800049999601</v>
      </c>
      <c r="IJ70">
        <v>463.37800049999902</v>
      </c>
      <c r="IK70">
        <v>1.0807703022846201E-2</v>
      </c>
      <c r="IL70">
        <v>2.3704314814992299E-3</v>
      </c>
      <c r="IM70">
        <v>1.31781345043454E-2</v>
      </c>
      <c r="IN70">
        <v>8.6690743596194101E-4</v>
      </c>
      <c r="IO70">
        <v>0.42526760011189402</v>
      </c>
      <c r="IP70">
        <v>1.9057493097447899E-2</v>
      </c>
      <c r="IQ70">
        <v>1.5867315911548799E-3</v>
      </c>
      <c r="IR70">
        <v>0.29126702934224602</v>
      </c>
      <c r="IS70">
        <v>0.233776681807842</v>
      </c>
      <c r="IT70">
        <v>0.28077826928841298</v>
      </c>
      <c r="IU70">
        <v>0.30140116955179602</v>
      </c>
      <c r="IV70">
        <v>1.4602295597550601E-2</v>
      </c>
      <c r="IW70">
        <v>1.1412118411651599E-3</v>
      </c>
      <c r="IX70">
        <v>7.4930293166932199E-2</v>
      </c>
      <c r="IY70">
        <v>2.6950744707373701E-3</v>
      </c>
      <c r="IZ70">
        <v>2.6950744707373501E-4</v>
      </c>
      <c r="JA70">
        <v>7.5026869084168502E-2</v>
      </c>
      <c r="JB70">
        <v>2.6985480897241802E-3</v>
      </c>
      <c r="JC70">
        <v>2.69854808972416E-4</v>
      </c>
      <c r="JD70">
        <v>1.8063334837292001E-4</v>
      </c>
      <c r="JE70">
        <v>3.2722416611317799E-3</v>
      </c>
      <c r="JF70" s="159">
        <v>9.7578195523695303E-19</v>
      </c>
      <c r="JG70">
        <v>0</v>
      </c>
      <c r="JH70">
        <v>4.1227091829294203E-3</v>
      </c>
      <c r="JI70">
        <v>5.4415921417564305E-4</v>
      </c>
      <c r="JJ70">
        <v>-0.51178761858813404</v>
      </c>
      <c r="JK70">
        <v>1.8063334837292001E-4</v>
      </c>
      <c r="JL70" s="159">
        <v>6.5753399999999896E-6</v>
      </c>
      <c r="JM70">
        <v>-0.51178761858813404</v>
      </c>
      <c r="JN70">
        <v>0</v>
      </c>
      <c r="JO70">
        <v>1.24543612749175</v>
      </c>
      <c r="JP70">
        <v>-1.6288747533901901E-2</v>
      </c>
      <c r="JQ70">
        <v>1.08795213830385E-3</v>
      </c>
      <c r="JR70">
        <v>2.3302565348092899E-2</v>
      </c>
      <c r="JS70">
        <v>1582.2222043719601</v>
      </c>
      <c r="JT70">
        <v>4.4368658973621397E-2</v>
      </c>
      <c r="JU70">
        <v>0</v>
      </c>
      <c r="JV70">
        <v>365</v>
      </c>
      <c r="JW70">
        <v>0</v>
      </c>
      <c r="JX70">
        <v>-0.40268092994350901</v>
      </c>
      <c r="JY70">
        <v>0</v>
      </c>
      <c r="JZ70">
        <v>1.3273012062834999</v>
      </c>
      <c r="KA70">
        <v>1.4066599649665099</v>
      </c>
      <c r="KB70">
        <v>1.43892833727179</v>
      </c>
      <c r="KC70">
        <v>0</v>
      </c>
      <c r="KD70">
        <v>0</v>
      </c>
      <c r="KE70">
        <v>0</v>
      </c>
      <c r="KF70">
        <v>3.5927903431088402E-3</v>
      </c>
      <c r="KG70">
        <v>2.2690960713262199E-2</v>
      </c>
      <c r="KH70">
        <v>3.7961566752990797E-2</v>
      </c>
      <c r="KI70">
        <v>0</v>
      </c>
      <c r="KJ70">
        <v>0</v>
      </c>
      <c r="KK70">
        <v>0</v>
      </c>
      <c r="KL70">
        <v>0</v>
      </c>
      <c r="KM70">
        <v>0</v>
      </c>
      <c r="KN70">
        <v>0</v>
      </c>
      <c r="KO70">
        <v>0</v>
      </c>
      <c r="KP70">
        <v>0</v>
      </c>
      <c r="KQ70">
        <v>0</v>
      </c>
      <c r="KR70">
        <v>0</v>
      </c>
      <c r="KS70">
        <v>0</v>
      </c>
      <c r="KT70">
        <v>0</v>
      </c>
      <c r="KU70">
        <v>0.34999999999999898</v>
      </c>
      <c r="KV70">
        <v>-0.11371012912536201</v>
      </c>
      <c r="KW70">
        <v>1.8051465546334901E-3</v>
      </c>
      <c r="KX70">
        <v>34189.538458618401</v>
      </c>
      <c r="KY70">
        <v>0</v>
      </c>
      <c r="KZ70">
        <v>0.21046330209393499</v>
      </c>
      <c r="LA70">
        <v>1.73602675993533E-5</v>
      </c>
      <c r="LB70">
        <v>0</v>
      </c>
      <c r="LC70">
        <v>-12.133660427950501</v>
      </c>
      <c r="LD70">
        <v>1.5719555078886598E-2</v>
      </c>
      <c r="LE70">
        <v>3.4146746027232601E-3</v>
      </c>
      <c r="LF70">
        <v>1.5719555078886598E-2</v>
      </c>
      <c r="LG70">
        <v>0.95297691870066903</v>
      </c>
      <c r="LH70">
        <v>1.24088286215985</v>
      </c>
      <c r="LI70">
        <v>0</v>
      </c>
      <c r="LJ70">
        <v>0</v>
      </c>
      <c r="LK70">
        <v>0.24386246391776101</v>
      </c>
      <c r="LL70">
        <v>0</v>
      </c>
      <c r="LM70">
        <v>0</v>
      </c>
      <c r="LN70">
        <v>0</v>
      </c>
      <c r="LO70">
        <v>0</v>
      </c>
      <c r="LP70">
        <v>0</v>
      </c>
      <c r="LQ70">
        <v>0</v>
      </c>
      <c r="LR70">
        <v>0</v>
      </c>
      <c r="LS70">
        <v>0</v>
      </c>
      <c r="LT70">
        <v>-999</v>
      </c>
      <c r="LU70">
        <v>0.42568575940290299</v>
      </c>
      <c r="LV70">
        <v>69</v>
      </c>
      <c r="LW70">
        <v>269.27999999999901</v>
      </c>
      <c r="LX70">
        <v>2.516</v>
      </c>
      <c r="LY70">
        <v>0</v>
      </c>
      <c r="LZ70">
        <v>-999</v>
      </c>
      <c r="MA70">
        <v>0</v>
      </c>
      <c r="MB70">
        <v>0</v>
      </c>
      <c r="MC70">
        <v>669.27999999999895</v>
      </c>
      <c r="MD70">
        <v>-23.6999999999999</v>
      </c>
      <c r="ME70">
        <v>-33.6</v>
      </c>
      <c r="MF70">
        <v>0</v>
      </c>
      <c r="MG70">
        <v>8.0706896550000007</v>
      </c>
      <c r="MH70">
        <v>0</v>
      </c>
      <c r="MI70">
        <v>0</v>
      </c>
      <c r="MJ70">
        <v>0</v>
      </c>
      <c r="MK70">
        <v>0</v>
      </c>
      <c r="ML70">
        <v>0</v>
      </c>
      <c r="MM70">
        <v>0</v>
      </c>
      <c r="MN70">
        <v>0</v>
      </c>
      <c r="MO70">
        <v>0</v>
      </c>
      <c r="MP70">
        <v>0</v>
      </c>
      <c r="MQ70">
        <v>0</v>
      </c>
      <c r="MR70">
        <v>0</v>
      </c>
      <c r="MS70">
        <v>0</v>
      </c>
      <c r="MT70">
        <v>0</v>
      </c>
      <c r="MU70">
        <v>0</v>
      </c>
      <c r="MV70">
        <v>0</v>
      </c>
    </row>
    <row r="71" spans="1:360" x14ac:dyDescent="0.25">
      <c r="A71">
        <v>25550</v>
      </c>
      <c r="B71">
        <v>0</v>
      </c>
      <c r="C71">
        <v>-33.6</v>
      </c>
      <c r="D71">
        <v>-23.6999999999999</v>
      </c>
      <c r="E71">
        <v>400</v>
      </c>
      <c r="F71">
        <v>0</v>
      </c>
      <c r="G71">
        <v>0</v>
      </c>
      <c r="H71">
        <v>0</v>
      </c>
      <c r="I71">
        <v>0</v>
      </c>
      <c r="J71">
        <v>0</v>
      </c>
      <c r="K71">
        <v>0</v>
      </c>
      <c r="L71" s="159">
        <v>6.5753399999999896E-6</v>
      </c>
      <c r="M71">
        <v>0</v>
      </c>
      <c r="N71">
        <v>0</v>
      </c>
      <c r="O71">
        <v>0</v>
      </c>
      <c r="P71">
        <v>0</v>
      </c>
      <c r="Q71">
        <v>0</v>
      </c>
      <c r="R71">
        <v>0</v>
      </c>
      <c r="S71">
        <v>0</v>
      </c>
      <c r="T71">
        <v>0</v>
      </c>
      <c r="U71">
        <v>717.32296203671206</v>
      </c>
      <c r="V71">
        <v>14.186296067858599</v>
      </c>
      <c r="W71">
        <v>1.3727164436389401</v>
      </c>
      <c r="X71">
        <v>0.298171309104034</v>
      </c>
      <c r="Y71">
        <v>0.26990440262343302</v>
      </c>
      <c r="Z71">
        <v>0.43192428827253099</v>
      </c>
      <c r="AA71">
        <v>0.112462498105562</v>
      </c>
      <c r="AB71">
        <v>0.529247853877857</v>
      </c>
      <c r="AC71">
        <v>0.35828964801657998</v>
      </c>
      <c r="AD71">
        <v>0.88454940940606297</v>
      </c>
      <c r="AE71">
        <v>3.9534622832316298E-2</v>
      </c>
      <c r="AF71">
        <v>7.5915967761619907E-2</v>
      </c>
      <c r="AG71">
        <v>0</v>
      </c>
      <c r="AH71">
        <v>3431.2753169544799</v>
      </c>
      <c r="AI71">
        <v>79.276800943497904</v>
      </c>
      <c r="AJ71">
        <v>8.1325424435625209</v>
      </c>
      <c r="AK71">
        <v>413.09492538808701</v>
      </c>
      <c r="AL71">
        <v>7.6706181698600604</v>
      </c>
      <c r="AM71">
        <v>0.86048161382237598</v>
      </c>
      <c r="AN71">
        <v>8692.4104862583099</v>
      </c>
      <c r="AO71">
        <v>312.646495837055</v>
      </c>
      <c r="AP71">
        <v>31.2646495837053</v>
      </c>
      <c r="AQ71">
        <v>3.0446794158387101E-2</v>
      </c>
      <c r="AR71">
        <v>6.3315485744422501E-3</v>
      </c>
      <c r="AS71">
        <v>1.9269009366301701E-2</v>
      </c>
      <c r="AT71">
        <v>9.48</v>
      </c>
      <c r="AU71">
        <v>5.9755096706601298</v>
      </c>
      <c r="AV71">
        <v>0</v>
      </c>
      <c r="AW71">
        <v>85.366460537839799</v>
      </c>
      <c r="AX71">
        <v>66.646503924657907</v>
      </c>
      <c r="AY71">
        <v>361.44927817973797</v>
      </c>
      <c r="AZ71">
        <v>0.54833294000258204</v>
      </c>
      <c r="BA71">
        <v>0.84948798939968295</v>
      </c>
      <c r="BB71">
        <v>1.41664042778477E-2</v>
      </c>
      <c r="BC71">
        <v>1.18628984594967E-3</v>
      </c>
      <c r="BD71">
        <v>0.600208264049926</v>
      </c>
      <c r="BE71">
        <v>9.3152483116003704E-3</v>
      </c>
      <c r="BF71">
        <v>7.5833574974268998E-4</v>
      </c>
      <c r="BG71">
        <v>766.29999847710098</v>
      </c>
      <c r="BH71">
        <v>-1626.59999865293</v>
      </c>
      <c r="BI71">
        <v>432.37245418525703</v>
      </c>
      <c r="BJ71">
        <v>212.424340306061</v>
      </c>
      <c r="BK71">
        <v>3.5478987192923999</v>
      </c>
      <c r="BL71">
        <v>4.77811459406366</v>
      </c>
      <c r="BM71">
        <v>194.26553012978101</v>
      </c>
      <c r="BN71">
        <v>22.372071646258998</v>
      </c>
      <c r="BO71">
        <v>216.63760177603999</v>
      </c>
      <c r="BP71">
        <v>3.51378861353643</v>
      </c>
      <c r="BQ71">
        <v>0.29597705187665702</v>
      </c>
      <c r="BR71">
        <v>208.87644158676801</v>
      </c>
      <c r="BS71">
        <v>2.2055963512815602</v>
      </c>
      <c r="BT71">
        <v>0.29527591982413498</v>
      </c>
      <c r="BU71">
        <v>3.5237251257198001</v>
      </c>
      <c r="BV71">
        <v>1.7276503876120399</v>
      </c>
      <c r="BW71">
        <v>0.50469241538785103</v>
      </c>
      <c r="BX71">
        <v>1.2913823227198999</v>
      </c>
      <c r="BY71">
        <v>0</v>
      </c>
      <c r="BZ71">
        <v>3.0983692783654901</v>
      </c>
      <c r="CA71">
        <v>0.41541933517093399</v>
      </c>
      <c r="CB71">
        <v>0.29697901300581803</v>
      </c>
      <c r="CC71">
        <v>0.249375762120707</v>
      </c>
      <c r="CD71">
        <v>4.6601289755950299E-2</v>
      </c>
      <c r="CE71">
        <v>22.069956406729698</v>
      </c>
      <c r="CF71">
        <v>166.411139867776</v>
      </c>
      <c r="CG71">
        <v>42.197074507488601</v>
      </c>
      <c r="CH71">
        <v>0.40980946077330399</v>
      </c>
      <c r="CI71">
        <v>7.3185838044209497</v>
      </c>
      <c r="CJ71">
        <v>1.7394372744142801</v>
      </c>
      <c r="CK71">
        <v>9.7362358369332895</v>
      </c>
      <c r="CL71">
        <v>1.5177340623981801</v>
      </c>
      <c r="CM71">
        <v>0.10133698605318101</v>
      </c>
      <c r="CN71">
        <v>4.5971980139942803E-2</v>
      </c>
      <c r="CO71">
        <v>0.560934315742464</v>
      </c>
      <c r="CP71">
        <v>0.70347207624825003</v>
      </c>
      <c r="CQ71">
        <v>0.151773406239818</v>
      </c>
      <c r="CR71">
        <v>42.4653017189925</v>
      </c>
      <c r="CS71">
        <v>1.52738159318351</v>
      </c>
      <c r="CT71">
        <v>0.15273815931835</v>
      </c>
      <c r="CU71">
        <v>1.47000000000001E-2</v>
      </c>
      <c r="CV71">
        <v>2.1336452282018198E-3</v>
      </c>
      <c r="CW71">
        <v>2.2299332318198899</v>
      </c>
      <c r="CX71">
        <v>2.03000000000002E-2</v>
      </c>
      <c r="CY71">
        <v>6.0982576363665499E-3</v>
      </c>
      <c r="CZ71">
        <v>0</v>
      </c>
      <c r="DA71">
        <v>2.3999991000028999E-3</v>
      </c>
      <c r="DB71">
        <v>1.4939491792557E-3</v>
      </c>
      <c r="DC71">
        <v>2.00000000000002E-3</v>
      </c>
      <c r="DD71">
        <v>3.30562006419484E-3</v>
      </c>
      <c r="DE71">
        <v>9.4324112356644401E-4</v>
      </c>
      <c r="DF71">
        <v>2.3999991000000498E-3</v>
      </c>
      <c r="DG71">
        <v>0</v>
      </c>
      <c r="DH71">
        <v>0</v>
      </c>
      <c r="DI71">
        <v>0.23180769400000201</v>
      </c>
      <c r="DJ71">
        <v>1.88461552000001E-2</v>
      </c>
      <c r="DK71">
        <v>2.5021602588085199</v>
      </c>
      <c r="DL71">
        <v>0.16332638765068699</v>
      </c>
      <c r="DM71">
        <v>62.825399381949197</v>
      </c>
      <c r="DN71">
        <v>235.38096346041601</v>
      </c>
      <c r="DO71">
        <v>327.66000000000003</v>
      </c>
      <c r="DP71">
        <v>29.433290527881599</v>
      </c>
      <c r="DQ71">
        <v>157.94999999999899</v>
      </c>
      <c r="DR71">
        <v>169.71</v>
      </c>
      <c r="DS71">
        <v>156.53646085262801</v>
      </c>
      <c r="DT71">
        <v>0</v>
      </c>
      <c r="DU71">
        <v>0</v>
      </c>
      <c r="DV71">
        <v>0</v>
      </c>
      <c r="DW71">
        <v>0</v>
      </c>
      <c r="DX71">
        <v>0</v>
      </c>
      <c r="DY71">
        <v>0</v>
      </c>
      <c r="DZ71">
        <v>0</v>
      </c>
      <c r="EA71">
        <v>0</v>
      </c>
      <c r="EB71">
        <v>0</v>
      </c>
      <c r="EC71">
        <v>0</v>
      </c>
      <c r="ED71">
        <v>0</v>
      </c>
      <c r="EE71">
        <v>0</v>
      </c>
      <c r="EF71">
        <v>1.2560292969804201</v>
      </c>
      <c r="EG71">
        <v>0</v>
      </c>
      <c r="EH71">
        <v>0</v>
      </c>
      <c r="EI71">
        <v>0</v>
      </c>
      <c r="EJ71">
        <v>0</v>
      </c>
      <c r="EK71">
        <v>0</v>
      </c>
      <c r="EL71">
        <v>0</v>
      </c>
      <c r="EM71">
        <v>0</v>
      </c>
      <c r="EN71">
        <v>0</v>
      </c>
      <c r="EO71">
        <v>0</v>
      </c>
      <c r="EP71">
        <v>0</v>
      </c>
      <c r="EQ71">
        <v>0</v>
      </c>
      <c r="ER71">
        <v>0</v>
      </c>
      <c r="ES71">
        <v>0</v>
      </c>
      <c r="ET71">
        <v>0</v>
      </c>
      <c r="EU71">
        <v>0</v>
      </c>
      <c r="EV71">
        <v>834.29650543682601</v>
      </c>
      <c r="EW71">
        <v>-28.649999999999899</v>
      </c>
      <c r="EX71">
        <v>1510.1536042878099</v>
      </c>
      <c r="EY71">
        <v>846.32729894663805</v>
      </c>
      <c r="EZ71">
        <v>88.794810154991595</v>
      </c>
      <c r="FA71">
        <v>684.39135879579896</v>
      </c>
      <c r="FB71">
        <v>736.96740722656205</v>
      </c>
      <c r="FC71">
        <v>0.38297201619847898</v>
      </c>
      <c r="FD71">
        <v>0.69842970987056696</v>
      </c>
      <c r="FE71">
        <v>0</v>
      </c>
      <c r="FF71">
        <v>1</v>
      </c>
      <c r="FG71" s="159">
        <v>5.9024234982913597E-13</v>
      </c>
      <c r="FH71">
        <v>0</v>
      </c>
      <c r="FI71">
        <v>5.4512674794765098E-5</v>
      </c>
      <c r="FJ71">
        <v>-5.0272060943463096E-3</v>
      </c>
      <c r="FK71" s="159">
        <v>6.57534000000779E-6</v>
      </c>
      <c r="FL71" s="159">
        <v>2.3163746048413902E-6</v>
      </c>
      <c r="FM71" s="159">
        <v>4.0928259199772199E-6</v>
      </c>
      <c r="FN71">
        <v>0</v>
      </c>
      <c r="FO71">
        <v>0</v>
      </c>
      <c r="FP71">
        <v>0</v>
      </c>
      <c r="FQ71">
        <v>0</v>
      </c>
      <c r="FR71">
        <v>0</v>
      </c>
      <c r="FS71">
        <v>0</v>
      </c>
      <c r="FT71">
        <v>0</v>
      </c>
      <c r="FU71">
        <v>0</v>
      </c>
      <c r="FV71">
        <v>-999</v>
      </c>
      <c r="FW71">
        <v>0.490921054318608</v>
      </c>
      <c r="FX71">
        <v>3.2372978976922301E-3</v>
      </c>
      <c r="FY71">
        <v>1.23047964919893</v>
      </c>
      <c r="FZ71">
        <v>9.0147511703134002E-4</v>
      </c>
      <c r="GA71">
        <v>41.724751406283097</v>
      </c>
      <c r="GB71">
        <v>1.0683686126173301E-2</v>
      </c>
      <c r="GC71">
        <v>2.8874827368036101E-3</v>
      </c>
      <c r="GD71">
        <v>0</v>
      </c>
      <c r="GE71">
        <v>7.0262557515271802E-3</v>
      </c>
      <c r="GF71">
        <v>0.372627813263543</v>
      </c>
      <c r="GG71">
        <v>5.6063580816302205E-4</v>
      </c>
      <c r="GH71">
        <v>9.3939424622629004E-3</v>
      </c>
      <c r="GI71">
        <v>1.8450529535502701E-2</v>
      </c>
      <c r="GJ71">
        <v>9.0899127065045403E-4</v>
      </c>
      <c r="GK71">
        <v>1.76421171424348E-3</v>
      </c>
      <c r="GL71">
        <v>0.40583630956403799</v>
      </c>
      <c r="GM71">
        <v>6.7890768382249996E-3</v>
      </c>
      <c r="GN71">
        <v>5.6253370848771895E-4</v>
      </c>
      <c r="GO71">
        <v>0</v>
      </c>
      <c r="GP71">
        <v>0</v>
      </c>
      <c r="GQ71">
        <v>0</v>
      </c>
      <c r="GR71">
        <v>6.1709535166360102E-2</v>
      </c>
      <c r="GS71">
        <v>1.14586322079847E-3</v>
      </c>
      <c r="GT71">
        <v>1.28541691375882E-4</v>
      </c>
      <c r="GU71">
        <v>3.89879302074818E-2</v>
      </c>
      <c r="GV71">
        <v>7.2395352127307901E-4</v>
      </c>
      <c r="GW71">
        <v>8.1212319597028795E-5</v>
      </c>
      <c r="GX71">
        <v>0.12490873463626</v>
      </c>
      <c r="GY71">
        <v>0.13546428059243701</v>
      </c>
      <c r="GZ71">
        <v>58.9224167104719</v>
      </c>
      <c r="HA71">
        <v>676.54823890805301</v>
      </c>
      <c r="HB71">
        <v>0</v>
      </c>
      <c r="HC71">
        <v>0.99981306975957995</v>
      </c>
      <c r="HD71">
        <v>0.42829814084642998</v>
      </c>
      <c r="HE71">
        <v>1.11204950222853E-2</v>
      </c>
      <c r="HF71">
        <v>9.6276640644848705E-4</v>
      </c>
      <c r="HG71">
        <v>1.3315073538182801E-2</v>
      </c>
      <c r="HH71" s="159">
        <v>4.7618778035103202E-7</v>
      </c>
      <c r="HI71" s="159">
        <v>3.33332542607407E-7</v>
      </c>
      <c r="HJ71">
        <v>0</v>
      </c>
      <c r="HK71">
        <v>0</v>
      </c>
      <c r="HL71">
        <v>0</v>
      </c>
      <c r="HM71">
        <v>0</v>
      </c>
      <c r="HN71">
        <v>0</v>
      </c>
      <c r="HO71">
        <v>1.17778845655647E-2</v>
      </c>
      <c r="HP71">
        <v>0.56376242143886701</v>
      </c>
      <c r="HQ71">
        <v>1.11204950222853E-2</v>
      </c>
      <c r="HR71">
        <v>9.6276640644848705E-4</v>
      </c>
      <c r="HS71">
        <v>0.71616522992625697</v>
      </c>
      <c r="HT71">
        <v>-999</v>
      </c>
      <c r="HU71">
        <v>1</v>
      </c>
      <c r="HV71">
        <v>0.80866038428349296</v>
      </c>
      <c r="HW71">
        <v>0.19133961571650601</v>
      </c>
      <c r="HX71">
        <v>12536.780728600799</v>
      </c>
      <c r="HY71">
        <v>399.59391495041302</v>
      </c>
      <c r="HZ71">
        <v>40.2576736410902</v>
      </c>
      <c r="IA71">
        <v>-0.13546428059243701</v>
      </c>
      <c r="IB71">
        <v>0</v>
      </c>
      <c r="IC71">
        <v>0</v>
      </c>
      <c r="ID71">
        <v>0</v>
      </c>
      <c r="IE71">
        <v>0</v>
      </c>
      <c r="IF71">
        <v>0</v>
      </c>
      <c r="IG71">
        <v>0</v>
      </c>
      <c r="IH71">
        <v>0</v>
      </c>
      <c r="II71">
        <v>46.337800049999601</v>
      </c>
      <c r="IJ71">
        <v>463.37800049999902</v>
      </c>
      <c r="IK71">
        <v>1.0820773027547999E-2</v>
      </c>
      <c r="IL71">
        <v>2.37388970125926E-3</v>
      </c>
      <c r="IM71">
        <v>1.31946627288073E-2</v>
      </c>
      <c r="IN71">
        <v>8.6457362197779901E-4</v>
      </c>
      <c r="IO71">
        <v>0.42535274741669399</v>
      </c>
      <c r="IP71">
        <v>1.9072710907252301E-2</v>
      </c>
      <c r="IQ71">
        <v>1.5844912311457899E-3</v>
      </c>
      <c r="IR71">
        <v>0.29117573386346701</v>
      </c>
      <c r="IS71">
        <v>0.23356369293971499</v>
      </c>
      <c r="IT71">
        <v>0.28114341728783798</v>
      </c>
      <c r="IU71">
        <v>0.30150034903679601</v>
      </c>
      <c r="IV71">
        <v>1.46180181133828E-2</v>
      </c>
      <c r="IW71">
        <v>1.1390219517588499E-3</v>
      </c>
      <c r="IX71">
        <v>7.4933775283866799E-2</v>
      </c>
      <c r="IY71">
        <v>2.6951997146682002E-3</v>
      </c>
      <c r="IZ71">
        <v>2.6951997146681798E-4</v>
      </c>
      <c r="JA71">
        <v>7.5024730472578696E-2</v>
      </c>
      <c r="JB71">
        <v>2.6984711686652099E-3</v>
      </c>
      <c r="JC71">
        <v>2.6984711686651899E-4</v>
      </c>
      <c r="JD71">
        <v>1.8091178084933199E-4</v>
      </c>
      <c r="JE71">
        <v>3.2739867922479899E-3</v>
      </c>
      <c r="JF71" s="159">
        <v>3.3881317890171999E-19</v>
      </c>
      <c r="JG71">
        <v>0</v>
      </c>
      <c r="JH71">
        <v>4.1218265532407504E-3</v>
      </c>
      <c r="JI71">
        <v>5.4429544664757101E-4</v>
      </c>
      <c r="JJ71">
        <v>-0.51198936010181195</v>
      </c>
      <c r="JK71">
        <v>1.8091178084933199E-4</v>
      </c>
      <c r="JL71" s="159">
        <v>6.5753399999999896E-6</v>
      </c>
      <c r="JM71">
        <v>-0.51198936010181195</v>
      </c>
      <c r="JN71">
        <v>0</v>
      </c>
      <c r="JO71">
        <v>1.2775461544842399</v>
      </c>
      <c r="JP71">
        <v>-1.6375149262073299E-2</v>
      </c>
      <c r="JQ71">
        <v>1.09437903580523E-3</v>
      </c>
      <c r="JR71">
        <v>2.0346629752708598E-2</v>
      </c>
      <c r="JS71">
        <v>1583.2947342827799</v>
      </c>
      <c r="JT71">
        <v>4.4298019102332699E-2</v>
      </c>
      <c r="JU71">
        <v>0</v>
      </c>
      <c r="JV71">
        <v>365</v>
      </c>
      <c r="JW71">
        <v>0</v>
      </c>
      <c r="JX71">
        <v>-0.40268092994350901</v>
      </c>
      <c r="JY71">
        <v>0</v>
      </c>
      <c r="JZ71">
        <v>1.3274457273136</v>
      </c>
      <c r="KA71">
        <v>1.4068287023513</v>
      </c>
      <c r="KB71">
        <v>1.4391951825488001</v>
      </c>
      <c r="KC71">
        <v>0</v>
      </c>
      <c r="KD71">
        <v>0</v>
      </c>
      <c r="KE71">
        <v>0</v>
      </c>
      <c r="KF71">
        <v>3.5937969692103199E-3</v>
      </c>
      <c r="KG71">
        <v>2.2702563409245601E-2</v>
      </c>
      <c r="KH71">
        <v>3.7926297787901402E-2</v>
      </c>
      <c r="KI71">
        <v>0</v>
      </c>
      <c r="KJ71">
        <v>0</v>
      </c>
      <c r="KK71">
        <v>0</v>
      </c>
      <c r="KL71">
        <v>0</v>
      </c>
      <c r="KM71">
        <v>0</v>
      </c>
      <c r="KN71">
        <v>0</v>
      </c>
      <c r="KO71">
        <v>0</v>
      </c>
      <c r="KP71">
        <v>0</v>
      </c>
      <c r="KQ71">
        <v>0</v>
      </c>
      <c r="KR71">
        <v>0</v>
      </c>
      <c r="KS71">
        <v>0</v>
      </c>
      <c r="KT71">
        <v>0</v>
      </c>
      <c r="KU71">
        <v>0.34999999999999898</v>
      </c>
      <c r="KV71">
        <v>-0.11365686013052</v>
      </c>
      <c r="KW71">
        <v>1.80435432499016E-3</v>
      </c>
      <c r="KX71">
        <v>34219.5679397899</v>
      </c>
      <c r="KY71">
        <v>0</v>
      </c>
      <c r="KZ71">
        <v>0.21047042983425501</v>
      </c>
      <c r="LA71">
        <v>1.73602675993533E-5</v>
      </c>
      <c r="LB71">
        <v>0</v>
      </c>
      <c r="LC71">
        <v>-12.133327018831899</v>
      </c>
      <c r="LD71">
        <v>1.5719742221116401E-2</v>
      </c>
      <c r="LE71">
        <v>3.41485115199669E-3</v>
      </c>
      <c r="LF71">
        <v>1.5719742221116401E-2</v>
      </c>
      <c r="LG71">
        <v>0.95312474013932902</v>
      </c>
      <c r="LH71">
        <v>1.2410508410674199</v>
      </c>
      <c r="LI71">
        <v>0</v>
      </c>
      <c r="LJ71">
        <v>0</v>
      </c>
      <c r="LK71">
        <v>0.24390417296525599</v>
      </c>
      <c r="LL71">
        <v>0</v>
      </c>
      <c r="LM71">
        <v>0</v>
      </c>
      <c r="LN71">
        <v>0</v>
      </c>
      <c r="LO71">
        <v>0</v>
      </c>
      <c r="LP71">
        <v>0</v>
      </c>
      <c r="LQ71">
        <v>0</v>
      </c>
      <c r="LR71">
        <v>0</v>
      </c>
      <c r="LS71">
        <v>0</v>
      </c>
      <c r="LT71">
        <v>-999</v>
      </c>
      <c r="LU71">
        <v>0.42568676067710198</v>
      </c>
      <c r="LV71">
        <v>70</v>
      </c>
      <c r="LW71">
        <v>273.24</v>
      </c>
      <c r="LX71">
        <v>2.5529999999999902</v>
      </c>
      <c r="LY71">
        <v>0</v>
      </c>
      <c r="LZ71">
        <v>-999</v>
      </c>
      <c r="MA71">
        <v>0</v>
      </c>
      <c r="MB71">
        <v>0</v>
      </c>
      <c r="MC71">
        <v>673.24</v>
      </c>
      <c r="MD71">
        <v>-23.6999999999999</v>
      </c>
      <c r="ME71">
        <v>-33.6</v>
      </c>
      <c r="MF71">
        <v>0</v>
      </c>
      <c r="MG71">
        <v>8.0706896550000007</v>
      </c>
      <c r="MH71">
        <v>0</v>
      </c>
      <c r="MI71">
        <v>0</v>
      </c>
      <c r="MJ71">
        <v>0</v>
      </c>
      <c r="MK71">
        <v>0</v>
      </c>
      <c r="ML71">
        <v>0</v>
      </c>
      <c r="MM71">
        <v>0</v>
      </c>
      <c r="MN71">
        <v>0</v>
      </c>
      <c r="MO71">
        <v>0</v>
      </c>
      <c r="MP71">
        <v>0</v>
      </c>
      <c r="MQ71">
        <v>0</v>
      </c>
      <c r="MR71">
        <v>0</v>
      </c>
      <c r="MS71">
        <v>0</v>
      </c>
      <c r="MT71">
        <v>0</v>
      </c>
      <c r="MU71">
        <v>0</v>
      </c>
      <c r="MV71">
        <v>0</v>
      </c>
    </row>
    <row r="72" spans="1:360" x14ac:dyDescent="0.25">
      <c r="A72">
        <v>25915</v>
      </c>
      <c r="B72">
        <v>0</v>
      </c>
      <c r="C72">
        <v>-33.6</v>
      </c>
      <c r="D72">
        <v>-23.6999999999999</v>
      </c>
      <c r="E72">
        <v>400</v>
      </c>
      <c r="F72">
        <v>0</v>
      </c>
      <c r="G72">
        <v>0</v>
      </c>
      <c r="H72">
        <v>0</v>
      </c>
      <c r="I72">
        <v>0</v>
      </c>
      <c r="J72">
        <v>0</v>
      </c>
      <c r="K72">
        <v>0</v>
      </c>
      <c r="L72" s="159">
        <v>6.5753399999999896E-6</v>
      </c>
      <c r="M72">
        <v>0</v>
      </c>
      <c r="N72">
        <v>0</v>
      </c>
      <c r="O72">
        <v>0</v>
      </c>
      <c r="P72">
        <v>0</v>
      </c>
      <c r="Q72">
        <v>0</v>
      </c>
      <c r="R72">
        <v>0</v>
      </c>
      <c r="S72">
        <v>0</v>
      </c>
      <c r="T72">
        <v>0</v>
      </c>
      <c r="U72">
        <v>717.89889984275601</v>
      </c>
      <c r="V72">
        <v>14.1963156852142</v>
      </c>
      <c r="W72">
        <v>1.3737233224198699</v>
      </c>
      <c r="X72">
        <v>0.29720998553560801</v>
      </c>
      <c r="Y72">
        <v>0.26972454604332702</v>
      </c>
      <c r="Z72">
        <v>0.43306546842106303</v>
      </c>
      <c r="AA72">
        <v>0.11246623388968199</v>
      </c>
      <c r="AB72">
        <v>0.530021624695868</v>
      </c>
      <c r="AC72">
        <v>0.35751214141444798</v>
      </c>
      <c r="AD72">
        <v>0.88454834964490303</v>
      </c>
      <c r="AE72">
        <v>3.9439786934306199E-2</v>
      </c>
      <c r="AF72">
        <v>7.6011863420790096E-2</v>
      </c>
      <c r="AG72">
        <v>0</v>
      </c>
      <c r="AH72">
        <v>3431.9370088763098</v>
      </c>
      <c r="AI72">
        <v>79.254305637956904</v>
      </c>
      <c r="AJ72">
        <v>8.13358014268257</v>
      </c>
      <c r="AK72">
        <v>413.39208294311698</v>
      </c>
      <c r="AL72">
        <v>7.6761359867124304</v>
      </c>
      <c r="AM72">
        <v>0.86110059652295401</v>
      </c>
      <c r="AN72">
        <v>8692.14575270563</v>
      </c>
      <c r="AO72">
        <v>312.63697396533598</v>
      </c>
      <c r="AP72">
        <v>31.263697396533399</v>
      </c>
      <c r="AQ72">
        <v>3.0460944297677699E-2</v>
      </c>
      <c r="AR72">
        <v>6.3362459578624403E-3</v>
      </c>
      <c r="AS72">
        <v>1.9212094014588399E-2</v>
      </c>
      <c r="AT72">
        <v>9.48</v>
      </c>
      <c r="AU72">
        <v>5.9749560248954303</v>
      </c>
      <c r="AV72">
        <v>0</v>
      </c>
      <c r="AW72">
        <v>85.381353454356102</v>
      </c>
      <c r="AX72">
        <v>66.652503704713993</v>
      </c>
      <c r="AY72">
        <v>361.44775629624201</v>
      </c>
      <c r="AZ72">
        <v>0.54833294000258204</v>
      </c>
      <c r="BA72">
        <v>0.84988873764648198</v>
      </c>
      <c r="BB72">
        <v>1.41711706115022E-2</v>
      </c>
      <c r="BC72">
        <v>1.1867616555391401E-3</v>
      </c>
      <c r="BD72">
        <v>0.60035153419599896</v>
      </c>
      <c r="BE72">
        <v>9.3177335438871193E-3</v>
      </c>
      <c r="BF72">
        <v>7.5848083611511699E-4</v>
      </c>
      <c r="BG72">
        <v>766.29999847710098</v>
      </c>
      <c r="BH72">
        <v>-1626.59999865293</v>
      </c>
      <c r="BI72">
        <v>432.57058760999797</v>
      </c>
      <c r="BJ72">
        <v>212.491439890479</v>
      </c>
      <c r="BK72">
        <v>3.5440334108723501</v>
      </c>
      <c r="BL72">
        <v>4.7833152908196297</v>
      </c>
      <c r="BM72">
        <v>194.31520948146499</v>
      </c>
      <c r="BN72">
        <v>22.383607893792199</v>
      </c>
      <c r="BO72">
        <v>216.69881737525699</v>
      </c>
      <c r="BP72">
        <v>3.5150679499769599</v>
      </c>
      <c r="BQ72">
        <v>0.29610540146973702</v>
      </c>
      <c r="BR72">
        <v>208.947406479607</v>
      </c>
      <c r="BS72">
        <v>2.2055585534680602</v>
      </c>
      <c r="BT72">
        <v>0.29540090682092701</v>
      </c>
      <c r="BU72">
        <v>3.5250875673325401</v>
      </c>
      <c r="BV72">
        <v>1.72860628399982</v>
      </c>
      <c r="BW72">
        <v>0.50369336689497701</v>
      </c>
      <c r="BX72">
        <v>1.2927879164377301</v>
      </c>
      <c r="BY72">
        <v>0</v>
      </c>
      <c r="BZ72">
        <v>3.0994344021771498</v>
      </c>
      <c r="CA72">
        <v>0.41563354779980299</v>
      </c>
      <c r="CB72">
        <v>0.29711228025066899</v>
      </c>
      <c r="CC72">
        <v>0.24948008157377499</v>
      </c>
      <c r="CD72">
        <v>4.6625319895961102E-2</v>
      </c>
      <c r="CE72">
        <v>22.0864503387618</v>
      </c>
      <c r="CF72">
        <v>166.48248451322399</v>
      </c>
      <c r="CG72">
        <v>42.200188413708702</v>
      </c>
      <c r="CH72">
        <v>0.41011573094745202</v>
      </c>
      <c r="CI72">
        <v>7.3233979948269301</v>
      </c>
      <c r="CJ72">
        <v>1.74037261128667</v>
      </c>
      <c r="CK72">
        <v>9.7419612252472092</v>
      </c>
      <c r="CL72">
        <v>1.5178460626160299</v>
      </c>
      <c r="CM72">
        <v>0.101496148880917</v>
      </c>
      <c r="CN72">
        <v>4.6006337195382101E-2</v>
      </c>
      <c r="CO72">
        <v>0.55926025404222801</v>
      </c>
      <c r="CP72">
        <v>0.70192436742970898</v>
      </c>
      <c r="CQ72">
        <v>0.15178460626160201</v>
      </c>
      <c r="CR72">
        <v>42.464921966382903</v>
      </c>
      <c r="CS72">
        <v>1.5273679343344699</v>
      </c>
      <c r="CT72">
        <v>0.15273679343344501</v>
      </c>
      <c r="CU72">
        <v>1.47000000000015E-2</v>
      </c>
      <c r="CV72">
        <v>2.1362077460163301E-3</v>
      </c>
      <c r="CW72">
        <v>2.22987452286961</v>
      </c>
      <c r="CX72">
        <v>2.0300000000002E-2</v>
      </c>
      <c r="CY72">
        <v>6.1038473045342996E-3</v>
      </c>
      <c r="CZ72">
        <v>0</v>
      </c>
      <c r="DA72">
        <v>2.3999991000028999E-3</v>
      </c>
      <c r="DB72">
        <v>1.4938111472266699E-3</v>
      </c>
      <c r="DC72">
        <v>2.0000000000002E-3</v>
      </c>
      <c r="DD72">
        <v>3.29918678665438E-3</v>
      </c>
      <c r="DE72">
        <v>9.4016538254672105E-4</v>
      </c>
      <c r="DF72">
        <v>2.3999991000000498E-3</v>
      </c>
      <c r="DG72">
        <v>0</v>
      </c>
      <c r="DH72">
        <v>0</v>
      </c>
      <c r="DI72">
        <v>0.23180769400002299</v>
      </c>
      <c r="DJ72">
        <v>1.88461552000019E-2</v>
      </c>
      <c r="DK72">
        <v>2.50578737464682</v>
      </c>
      <c r="DL72">
        <v>0.16356314455919199</v>
      </c>
      <c r="DM72">
        <v>62.491806960848301</v>
      </c>
      <c r="DN72">
        <v>235.73893272606901</v>
      </c>
      <c r="DO72">
        <v>327.66000000000003</v>
      </c>
      <c r="DP72">
        <v>29.408371923108799</v>
      </c>
      <c r="DQ72">
        <v>157.94999999999899</v>
      </c>
      <c r="DR72">
        <v>169.71</v>
      </c>
      <c r="DS72">
        <v>156.552646073174</v>
      </c>
      <c r="DT72">
        <v>0</v>
      </c>
      <c r="DU72">
        <v>0</v>
      </c>
      <c r="DV72">
        <v>0</v>
      </c>
      <c r="DW72">
        <v>0</v>
      </c>
      <c r="DX72">
        <v>0</v>
      </c>
      <c r="DY72">
        <v>0</v>
      </c>
      <c r="DZ72">
        <v>0</v>
      </c>
      <c r="EA72">
        <v>0</v>
      </c>
      <c r="EB72">
        <v>0</v>
      </c>
      <c r="EC72">
        <v>0</v>
      </c>
      <c r="ED72">
        <v>0</v>
      </c>
      <c r="EE72">
        <v>0</v>
      </c>
      <c r="EF72">
        <v>1.25535167003392</v>
      </c>
      <c r="EG72">
        <v>0</v>
      </c>
      <c r="EH72">
        <v>0</v>
      </c>
      <c r="EI72">
        <v>0</v>
      </c>
      <c r="EJ72">
        <v>0</v>
      </c>
      <c r="EK72">
        <v>0</v>
      </c>
      <c r="EL72">
        <v>0</v>
      </c>
      <c r="EM72">
        <v>0</v>
      </c>
      <c r="EN72">
        <v>0</v>
      </c>
      <c r="EO72">
        <v>0</v>
      </c>
      <c r="EP72">
        <v>0</v>
      </c>
      <c r="EQ72">
        <v>0</v>
      </c>
      <c r="ER72">
        <v>0</v>
      </c>
      <c r="ES72">
        <v>0</v>
      </c>
      <c r="ET72">
        <v>0</v>
      </c>
      <c r="EU72">
        <v>0</v>
      </c>
      <c r="EV72">
        <v>834.89945974090904</v>
      </c>
      <c r="EW72">
        <v>-28.649999999999899</v>
      </c>
      <c r="EX72">
        <v>1511.3661049321099</v>
      </c>
      <c r="EY72">
        <v>846.67669182606505</v>
      </c>
      <c r="EZ72">
        <v>88.6523519326566</v>
      </c>
      <c r="FA72">
        <v>685.00055409077004</v>
      </c>
      <c r="FB72">
        <v>737.71319580078102</v>
      </c>
      <c r="FC72">
        <v>0.38235759388554802</v>
      </c>
      <c r="FD72">
        <v>0.69730918205232595</v>
      </c>
      <c r="FE72">
        <v>0</v>
      </c>
      <c r="FF72">
        <v>1</v>
      </c>
      <c r="FG72" s="159">
        <v>5.90267726773537E-13</v>
      </c>
      <c r="FH72">
        <v>0</v>
      </c>
      <c r="FI72">
        <v>5.4512674794765098E-5</v>
      </c>
      <c r="FJ72">
        <v>-5.0197359071817698E-3</v>
      </c>
      <c r="FK72" s="159">
        <v>6.57534000000779E-6</v>
      </c>
      <c r="FL72" s="159">
        <v>2.30949592695372E-6</v>
      </c>
      <c r="FM72" s="159">
        <v>4.0924467095230199E-6</v>
      </c>
      <c r="FN72">
        <v>0</v>
      </c>
      <c r="FO72">
        <v>0</v>
      </c>
      <c r="FP72">
        <v>0</v>
      </c>
      <c r="FQ72">
        <v>0</v>
      </c>
      <c r="FR72">
        <v>0</v>
      </c>
      <c r="FS72">
        <v>0</v>
      </c>
      <c r="FT72">
        <v>0</v>
      </c>
      <c r="FU72">
        <v>0</v>
      </c>
      <c r="FV72">
        <v>-999</v>
      </c>
      <c r="FW72">
        <v>0.4911476973883</v>
      </c>
      <c r="FX72">
        <v>3.2381299261793201E-3</v>
      </c>
      <c r="FY72">
        <v>1.2313453659384701</v>
      </c>
      <c r="FZ72">
        <v>8.9974611825503802E-4</v>
      </c>
      <c r="GA72">
        <v>41.697594807076001</v>
      </c>
      <c r="GB72">
        <v>1.06880950792228E-2</v>
      </c>
      <c r="GC72">
        <v>2.8886743457359099E-3</v>
      </c>
      <c r="GD72">
        <v>0</v>
      </c>
      <c r="GE72">
        <v>7.0265503901702697E-3</v>
      </c>
      <c r="GF72">
        <v>0.371521262235885</v>
      </c>
      <c r="GG72">
        <v>5.6070632996148295E-4</v>
      </c>
      <c r="GH72">
        <v>9.3930356376834695E-3</v>
      </c>
      <c r="GI72">
        <v>1.8448375887218E-2</v>
      </c>
      <c r="GJ72">
        <v>9.0892823250232505E-4</v>
      </c>
      <c r="GK72">
        <v>1.7640464313036001E-3</v>
      </c>
      <c r="GL72">
        <v>0.40615162491807999</v>
      </c>
      <c r="GM72">
        <v>6.7945193579332704E-3</v>
      </c>
      <c r="GN72">
        <v>5.6299821901576298E-4</v>
      </c>
      <c r="GO72">
        <v>0</v>
      </c>
      <c r="GP72">
        <v>0</v>
      </c>
      <c r="GQ72">
        <v>0</v>
      </c>
      <c r="GR72">
        <v>6.1740751356113399E-2</v>
      </c>
      <c r="GS72">
        <v>1.14644286353335E-3</v>
      </c>
      <c r="GT72">
        <v>1.28606715068224E-4</v>
      </c>
      <c r="GU72">
        <v>3.9016081502916099E-2</v>
      </c>
      <c r="GV72">
        <v>7.24476253035184E-4</v>
      </c>
      <c r="GW72">
        <v>8.1270959078266105E-5</v>
      </c>
      <c r="GX72">
        <v>0.12501495902894699</v>
      </c>
      <c r="GY72">
        <v>0.13557044891449099</v>
      </c>
      <c r="GZ72">
        <v>58.921370386242302</v>
      </c>
      <c r="HA72">
        <v>676.53128717756204</v>
      </c>
      <c r="HB72">
        <v>0</v>
      </c>
      <c r="HC72">
        <v>0.99981306988903595</v>
      </c>
      <c r="HD72">
        <v>0.42862035511541902</v>
      </c>
      <c r="HE72">
        <v>1.11288224647149E-2</v>
      </c>
      <c r="HF72">
        <v>9.6349239771038105E-4</v>
      </c>
      <c r="HG72">
        <v>1.3327777208606501E-2</v>
      </c>
      <c r="HH72" s="159">
        <v>4.76187783491761E-7</v>
      </c>
      <c r="HI72" s="159">
        <v>3.33332542463189E-7</v>
      </c>
      <c r="HJ72">
        <v>0</v>
      </c>
      <c r="HK72">
        <v>0</v>
      </c>
      <c r="HL72">
        <v>0</v>
      </c>
      <c r="HM72">
        <v>0</v>
      </c>
      <c r="HN72">
        <v>0</v>
      </c>
      <c r="HO72">
        <v>1.1789107452280199E-2</v>
      </c>
      <c r="HP72">
        <v>0.56419080402990995</v>
      </c>
      <c r="HQ72">
        <v>1.11288224647149E-2</v>
      </c>
      <c r="HR72">
        <v>9.6349239771038105E-4</v>
      </c>
      <c r="HS72">
        <v>0.71600416544484402</v>
      </c>
      <c r="HT72">
        <v>-999</v>
      </c>
      <c r="HU72">
        <v>1</v>
      </c>
      <c r="HV72">
        <v>0.80904619284298296</v>
      </c>
      <c r="HW72">
        <v>0.19095380715701599</v>
      </c>
      <c r="HX72">
        <v>12537.474844525001</v>
      </c>
      <c r="HY72">
        <v>399.56741559000602</v>
      </c>
      <c r="HZ72">
        <v>40.258378135738901</v>
      </c>
      <c r="IA72">
        <v>-0.13557044891449099</v>
      </c>
      <c r="IB72">
        <v>0</v>
      </c>
      <c r="IC72">
        <v>0</v>
      </c>
      <c r="ID72">
        <v>0</v>
      </c>
      <c r="IE72">
        <v>0</v>
      </c>
      <c r="IF72">
        <v>0</v>
      </c>
      <c r="IG72">
        <v>0</v>
      </c>
      <c r="IH72">
        <v>0</v>
      </c>
      <c r="II72">
        <v>46.337800049999601</v>
      </c>
      <c r="IJ72">
        <v>463.37800049999902</v>
      </c>
      <c r="IK72">
        <v>1.08329989757734E-2</v>
      </c>
      <c r="IL72">
        <v>2.37711696967272E-3</v>
      </c>
      <c r="IM72">
        <v>1.32101159454462E-2</v>
      </c>
      <c r="IN72">
        <v>8.6227783624781703E-4</v>
      </c>
      <c r="IO72">
        <v>0.425435923887312</v>
      </c>
      <c r="IP72">
        <v>1.9086839509187398E-2</v>
      </c>
      <c r="IQ72">
        <v>1.5822892534393699E-3</v>
      </c>
      <c r="IR72">
        <v>0.29108286316287901</v>
      </c>
      <c r="IS72">
        <v>0.23336198685723999</v>
      </c>
      <c r="IT72">
        <v>0.28149990787129298</v>
      </c>
      <c r="IU72">
        <v>0.30159881706984798</v>
      </c>
      <c r="IV72">
        <v>1.46326967184981E-2</v>
      </c>
      <c r="IW72">
        <v>1.13687497437045E-3</v>
      </c>
      <c r="IX72">
        <v>7.4936721843285203E-2</v>
      </c>
      <c r="IY72">
        <v>2.6953056957971901E-3</v>
      </c>
      <c r="IZ72">
        <v>2.6953056957971703E-4</v>
      </c>
      <c r="JA72">
        <v>7.5022648485858795E-2</v>
      </c>
      <c r="JB72">
        <v>2.6983962842757401E-3</v>
      </c>
      <c r="JC72">
        <v>2.6983962842757199E-4</v>
      </c>
      <c r="JD72">
        <v>1.8118835840699301E-4</v>
      </c>
      <c r="JE72">
        <v>3.2754966199220301E-3</v>
      </c>
      <c r="JF72" s="159">
        <v>1.84991995680339E-18</v>
      </c>
      <c r="JG72">
        <v>0</v>
      </c>
      <c r="JH72">
        <v>4.12097705732767E-3</v>
      </c>
      <c r="JI72">
        <v>5.4443676655020604E-4</v>
      </c>
      <c r="JJ72">
        <v>-0.51219191447019796</v>
      </c>
      <c r="JK72">
        <v>1.8118835840699301E-4</v>
      </c>
      <c r="JL72" s="159">
        <v>6.5753399999999896E-6</v>
      </c>
      <c r="JM72">
        <v>-0.51219191447019796</v>
      </c>
      <c r="JN72">
        <v>0</v>
      </c>
      <c r="JO72">
        <v>1.2700537302258901</v>
      </c>
      <c r="JP72">
        <v>-1.64608955288204E-2</v>
      </c>
      <c r="JQ72">
        <v>1.1008123133458799E-3</v>
      </c>
      <c r="JR72">
        <v>2.0888389972942099E-2</v>
      </c>
      <c r="JS72">
        <v>1584.3898907338901</v>
      </c>
      <c r="JT72">
        <v>4.4226949441359298E-2</v>
      </c>
      <c r="JU72">
        <v>0</v>
      </c>
      <c r="JV72">
        <v>365</v>
      </c>
      <c r="JW72">
        <v>0</v>
      </c>
      <c r="JX72">
        <v>-0.40268092994350901</v>
      </c>
      <c r="JY72">
        <v>0</v>
      </c>
      <c r="JZ72">
        <v>1.3276962521058999</v>
      </c>
      <c r="KA72">
        <v>1.40690769919088</v>
      </c>
      <c r="KB72">
        <v>1.43943414548158</v>
      </c>
      <c r="KC72">
        <v>0</v>
      </c>
      <c r="KD72">
        <v>0</v>
      </c>
      <c r="KE72">
        <v>0</v>
      </c>
      <c r="KF72">
        <v>3.5948286573580001E-3</v>
      </c>
      <c r="KG72">
        <v>2.2713897548308E-2</v>
      </c>
      <c r="KH72">
        <v>3.7894113400222203E-2</v>
      </c>
      <c r="KI72">
        <v>0</v>
      </c>
      <c r="KJ72">
        <v>0</v>
      </c>
      <c r="KK72">
        <v>0</v>
      </c>
      <c r="KL72">
        <v>0</v>
      </c>
      <c r="KM72">
        <v>0</v>
      </c>
      <c r="KN72">
        <v>0</v>
      </c>
      <c r="KO72">
        <v>0</v>
      </c>
      <c r="KP72">
        <v>0</v>
      </c>
      <c r="KQ72">
        <v>0</v>
      </c>
      <c r="KR72">
        <v>0</v>
      </c>
      <c r="KS72">
        <v>0</v>
      </c>
      <c r="KT72">
        <v>0</v>
      </c>
      <c r="KU72">
        <v>0.34999999999999898</v>
      </c>
      <c r="KV72">
        <v>-0.113602883762531</v>
      </c>
      <c r="KW72">
        <v>1.80355180836611E-3</v>
      </c>
      <c r="KX72">
        <v>34250.027704538501</v>
      </c>
      <c r="KY72">
        <v>0</v>
      </c>
      <c r="KZ72">
        <v>0.21047732113776901</v>
      </c>
      <c r="LA72">
        <v>1.73602675993533E-5</v>
      </c>
      <c r="LB72">
        <v>0</v>
      </c>
      <c r="LC72">
        <v>-12.1329822620829</v>
      </c>
      <c r="LD72">
        <v>1.57199350167271E-2</v>
      </c>
      <c r="LE72">
        <v>3.4150330346482799E-3</v>
      </c>
      <c r="LF72">
        <v>1.57199350167271E-2</v>
      </c>
      <c r="LG72">
        <v>0.95327589642460997</v>
      </c>
      <c r="LH72">
        <v>1.24122260957342</v>
      </c>
      <c r="LI72">
        <v>0</v>
      </c>
      <c r="LJ72">
        <v>0</v>
      </c>
      <c r="LK72">
        <v>0.243946724155303</v>
      </c>
      <c r="LL72">
        <v>0</v>
      </c>
      <c r="LM72">
        <v>0</v>
      </c>
      <c r="LN72">
        <v>0</v>
      </c>
      <c r="LO72">
        <v>0</v>
      </c>
      <c r="LP72">
        <v>0</v>
      </c>
      <c r="LQ72">
        <v>0</v>
      </c>
      <c r="LR72">
        <v>0</v>
      </c>
      <c r="LS72">
        <v>0</v>
      </c>
      <c r="LT72">
        <v>-999</v>
      </c>
      <c r="LU72">
        <v>0.42568791221181701</v>
      </c>
      <c r="LV72">
        <v>71</v>
      </c>
      <c r="LW72">
        <v>277.19999999999902</v>
      </c>
      <c r="LX72">
        <v>2.5899999999999901</v>
      </c>
      <c r="LY72">
        <v>0</v>
      </c>
      <c r="LZ72">
        <v>-999</v>
      </c>
      <c r="MA72">
        <v>0</v>
      </c>
      <c r="MB72">
        <v>0</v>
      </c>
      <c r="MC72">
        <v>677.2</v>
      </c>
      <c r="MD72">
        <v>-23.6999999999999</v>
      </c>
      <c r="ME72">
        <v>-33.6</v>
      </c>
      <c r="MF72">
        <v>0</v>
      </c>
      <c r="MG72">
        <v>8.0706896550000007</v>
      </c>
      <c r="MH72">
        <v>0</v>
      </c>
      <c r="MI72">
        <v>0</v>
      </c>
      <c r="MJ72">
        <v>0</v>
      </c>
      <c r="MK72">
        <v>0</v>
      </c>
      <c r="ML72">
        <v>0</v>
      </c>
      <c r="MM72">
        <v>0</v>
      </c>
      <c r="MN72">
        <v>0</v>
      </c>
      <c r="MO72">
        <v>0</v>
      </c>
      <c r="MP72">
        <v>0</v>
      </c>
      <c r="MQ72">
        <v>0</v>
      </c>
      <c r="MR72">
        <v>0</v>
      </c>
      <c r="MS72">
        <v>0</v>
      </c>
      <c r="MT72">
        <v>0</v>
      </c>
      <c r="MU72">
        <v>0</v>
      </c>
      <c r="MV72">
        <v>0</v>
      </c>
    </row>
    <row r="73" spans="1:360" x14ac:dyDescent="0.25">
      <c r="A73">
        <v>26280</v>
      </c>
      <c r="B73">
        <v>0</v>
      </c>
      <c r="C73">
        <v>-33.6</v>
      </c>
      <c r="D73">
        <v>-23.6999999999999</v>
      </c>
      <c r="E73">
        <v>400</v>
      </c>
      <c r="F73">
        <v>0</v>
      </c>
      <c r="G73">
        <v>0</v>
      </c>
      <c r="H73">
        <v>0</v>
      </c>
      <c r="I73">
        <v>0</v>
      </c>
      <c r="J73">
        <v>0</v>
      </c>
      <c r="K73">
        <v>0</v>
      </c>
      <c r="L73" s="159">
        <v>6.5753399999999896E-6</v>
      </c>
      <c r="M73">
        <v>0</v>
      </c>
      <c r="N73">
        <v>0</v>
      </c>
      <c r="O73">
        <v>0</v>
      </c>
      <c r="P73">
        <v>0</v>
      </c>
      <c r="Q73">
        <v>0</v>
      </c>
      <c r="R73">
        <v>0</v>
      </c>
      <c r="S73">
        <v>0</v>
      </c>
      <c r="T73">
        <v>0</v>
      </c>
      <c r="U73">
        <v>718.49645100766395</v>
      </c>
      <c r="V73">
        <v>14.2064280259988</v>
      </c>
      <c r="W73">
        <v>1.3747342088868499</v>
      </c>
      <c r="X73">
        <v>0.296258131663032</v>
      </c>
      <c r="Y73">
        <v>0.26955077316582099</v>
      </c>
      <c r="Z73">
        <v>0.43419109517114601</v>
      </c>
      <c r="AA73">
        <v>0.112470436191041</v>
      </c>
      <c r="AB73">
        <v>0.53079339967093797</v>
      </c>
      <c r="AC73">
        <v>0.35673616413802001</v>
      </c>
      <c r="AD73">
        <v>0.88454645059563297</v>
      </c>
      <c r="AE73">
        <v>3.9345060886884498E-2</v>
      </c>
      <c r="AF73">
        <v>7.6108488517482198E-2</v>
      </c>
      <c r="AG73">
        <v>0</v>
      </c>
      <c r="AH73">
        <v>3432.5877556783898</v>
      </c>
      <c r="AI73">
        <v>79.231602836269602</v>
      </c>
      <c r="AJ73">
        <v>8.1346195484450501</v>
      </c>
      <c r="AK73">
        <v>413.68500065312401</v>
      </c>
      <c r="AL73">
        <v>7.6815750753348597</v>
      </c>
      <c r="AM73">
        <v>0.86171074757622101</v>
      </c>
      <c r="AN73">
        <v>8691.8842049220493</v>
      </c>
      <c r="AO73">
        <v>312.62756667858201</v>
      </c>
      <c r="AP73">
        <v>31.262756667858</v>
      </c>
      <c r="AQ73">
        <v>3.0474015982899502E-2</v>
      </c>
      <c r="AR73">
        <v>6.3406547800481904E-3</v>
      </c>
      <c r="AS73">
        <v>1.9156024969827701E-2</v>
      </c>
      <c r="AT73">
        <v>9.48</v>
      </c>
      <c r="AU73">
        <v>5.9743995053066703</v>
      </c>
      <c r="AV73">
        <v>0</v>
      </c>
      <c r="AW73">
        <v>85.395983764025104</v>
      </c>
      <c r="AX73">
        <v>66.658303825071798</v>
      </c>
      <c r="AY73">
        <v>361.44625811932502</v>
      </c>
      <c r="AZ73">
        <v>0.54833294000258204</v>
      </c>
      <c r="BA73">
        <v>0.85029741986625496</v>
      </c>
      <c r="BB73">
        <v>1.4176157393151799E-2</v>
      </c>
      <c r="BC73">
        <v>1.1872508181843E-3</v>
      </c>
      <c r="BD73">
        <v>0.60052097029420104</v>
      </c>
      <c r="BE73">
        <v>9.3203317909469098E-3</v>
      </c>
      <c r="BF73">
        <v>7.5863009323462298E-4</v>
      </c>
      <c r="BG73">
        <v>766.29999847710098</v>
      </c>
      <c r="BH73">
        <v>-1626.59999865293</v>
      </c>
      <c r="BI73">
        <v>432.78923134171799</v>
      </c>
      <c r="BJ73">
        <v>212.57368741516399</v>
      </c>
      <c r="BK73">
        <v>3.5571774510708698</v>
      </c>
      <c r="BL73">
        <v>4.7886634079684196</v>
      </c>
      <c r="BM73">
        <v>194.36926769772501</v>
      </c>
      <c r="BN73">
        <v>22.395531960499699</v>
      </c>
      <c r="BO73">
        <v>216.764799658225</v>
      </c>
      <c r="BP73">
        <v>3.5163575718387801</v>
      </c>
      <c r="BQ73">
        <v>0.29623354835138099</v>
      </c>
      <c r="BR73">
        <v>209.01650996409299</v>
      </c>
      <c r="BS73">
        <v>2.2055019571668599</v>
      </c>
      <c r="BT73">
        <v>0.29552472021109599</v>
      </c>
      <c r="BU73">
        <v>3.5264699126233601</v>
      </c>
      <c r="BV73">
        <v>1.72954605705506</v>
      </c>
      <c r="BW73">
        <v>0.502690502063325</v>
      </c>
      <c r="BX73">
        <v>1.2942333535049699</v>
      </c>
      <c r="BY73">
        <v>0</v>
      </c>
      <c r="BZ73">
        <v>3.1005026101287099</v>
      </c>
      <c r="CA73">
        <v>0.41585496171008002</v>
      </c>
      <c r="CB73">
        <v>0.29724443481836299</v>
      </c>
      <c r="CC73">
        <v>0.24958339048348399</v>
      </c>
      <c r="CD73">
        <v>4.6650157867897397E-2</v>
      </c>
      <c r="CE73">
        <v>22.102614250491499</v>
      </c>
      <c r="CF73">
        <v>166.552112313333</v>
      </c>
      <c r="CG73">
        <v>42.202849867173903</v>
      </c>
      <c r="CH73">
        <v>0.41041587308764799</v>
      </c>
      <c r="CI73">
        <v>7.3279875684200597</v>
      </c>
      <c r="CJ73">
        <v>1.7412560305899401</v>
      </c>
      <c r="CK73">
        <v>9.7473964802985709</v>
      </c>
      <c r="CL73">
        <v>1.5179417891237801</v>
      </c>
      <c r="CM73">
        <v>0.10165413809964299</v>
      </c>
      <c r="CN73">
        <v>4.6040006814629497E-2</v>
      </c>
      <c r="CO73">
        <v>0.55761627365329003</v>
      </c>
      <c r="CP73">
        <v>0.70040608627655598</v>
      </c>
      <c r="CQ73">
        <v>0.15179417891237701</v>
      </c>
      <c r="CR73">
        <v>42.464397650760397</v>
      </c>
      <c r="CS73">
        <v>1.5273490758782999</v>
      </c>
      <c r="CT73">
        <v>0.15273490758782901</v>
      </c>
      <c r="CU73">
        <v>1.47000000000017E-2</v>
      </c>
      <c r="CV73">
        <v>2.1386859760250299E-3</v>
      </c>
      <c r="CW73">
        <v>2.2297601730404901</v>
      </c>
      <c r="CX73">
        <v>2.0300000000002399E-2</v>
      </c>
      <c r="CY73">
        <v>6.1092315650417596E-3</v>
      </c>
      <c r="CZ73">
        <v>0</v>
      </c>
      <c r="DA73">
        <v>2.3999991000029299E-3</v>
      </c>
      <c r="DB73">
        <v>1.4936723887198299E-3</v>
      </c>
      <c r="DC73">
        <v>2.0000000000002399E-3</v>
      </c>
      <c r="DD73">
        <v>3.2928731262379901E-3</v>
      </c>
      <c r="DE73">
        <v>9.3715279997776395E-4</v>
      </c>
      <c r="DF73">
        <v>2.3999991000000801E-3</v>
      </c>
      <c r="DG73">
        <v>0</v>
      </c>
      <c r="DH73">
        <v>0</v>
      </c>
      <c r="DI73">
        <v>0.23180769400002799</v>
      </c>
      <c r="DJ73">
        <v>1.8846155200002199E-2</v>
      </c>
      <c r="DK73">
        <v>2.5093172516598998</v>
      </c>
      <c r="DL73">
        <v>0.16379355428589401</v>
      </c>
      <c r="DM73">
        <v>62.165188720930303</v>
      </c>
      <c r="DN73">
        <v>236.08954041076899</v>
      </c>
      <c r="DO73">
        <v>327.66000000000003</v>
      </c>
      <c r="DP73">
        <v>29.384843947015099</v>
      </c>
      <c r="DQ73">
        <v>157.94999999999899</v>
      </c>
      <c r="DR73">
        <v>169.71</v>
      </c>
      <c r="DS73">
        <v>156.56863032863001</v>
      </c>
      <c r="DT73">
        <v>0</v>
      </c>
      <c r="DU73">
        <v>0</v>
      </c>
      <c r="DV73">
        <v>0</v>
      </c>
      <c r="DW73">
        <v>0</v>
      </c>
      <c r="DX73">
        <v>0</v>
      </c>
      <c r="DY73">
        <v>0</v>
      </c>
      <c r="DZ73">
        <v>0</v>
      </c>
      <c r="EA73">
        <v>0</v>
      </c>
      <c r="EB73">
        <v>0</v>
      </c>
      <c r="EC73">
        <v>0</v>
      </c>
      <c r="ED73">
        <v>0</v>
      </c>
      <c r="EE73">
        <v>0</v>
      </c>
      <c r="EF73">
        <v>1.2547397000912699</v>
      </c>
      <c r="EG73">
        <v>0</v>
      </c>
      <c r="EH73">
        <v>0</v>
      </c>
      <c r="EI73">
        <v>0</v>
      </c>
      <c r="EJ73">
        <v>0</v>
      </c>
      <c r="EK73">
        <v>0</v>
      </c>
      <c r="EL73">
        <v>0</v>
      </c>
      <c r="EM73">
        <v>0</v>
      </c>
      <c r="EN73">
        <v>0</v>
      </c>
      <c r="EO73">
        <v>0</v>
      </c>
      <c r="EP73">
        <v>0</v>
      </c>
      <c r="EQ73">
        <v>0</v>
      </c>
      <c r="ER73">
        <v>0</v>
      </c>
      <c r="ES73">
        <v>0</v>
      </c>
      <c r="ET73">
        <v>0</v>
      </c>
      <c r="EU73">
        <v>0</v>
      </c>
      <c r="EV73">
        <v>835.52665968557403</v>
      </c>
      <c r="EW73">
        <v>-28.649999999999899</v>
      </c>
      <c r="EX73">
        <v>1512.6241073845499</v>
      </c>
      <c r="EY73">
        <v>847.04128307650706</v>
      </c>
      <c r="EZ73">
        <v>88.513258560931902</v>
      </c>
      <c r="FA73">
        <v>685.61881124668196</v>
      </c>
      <c r="FB73">
        <v>738.49206542968705</v>
      </c>
      <c r="FC73">
        <v>0.38175768417329897</v>
      </c>
      <c r="FD73">
        <v>0.69621512100203398</v>
      </c>
      <c r="FE73">
        <v>0</v>
      </c>
      <c r="FF73">
        <v>1</v>
      </c>
      <c r="FG73" s="159">
        <v>5.9029310371793802E-13</v>
      </c>
      <c r="FH73">
        <v>0</v>
      </c>
      <c r="FI73">
        <v>5.4512674794765098E-5</v>
      </c>
      <c r="FJ73">
        <v>-5.0124095162627502E-3</v>
      </c>
      <c r="FK73" s="159">
        <v>6.57534000000779E-6</v>
      </c>
      <c r="FL73" s="159">
        <v>2.3027198032981898E-6</v>
      </c>
      <c r="FM73" s="159">
        <v>4.0920655306908598E-6</v>
      </c>
      <c r="FN73">
        <v>0</v>
      </c>
      <c r="FO73">
        <v>0</v>
      </c>
      <c r="FP73">
        <v>0</v>
      </c>
      <c r="FQ73">
        <v>0</v>
      </c>
      <c r="FR73">
        <v>0</v>
      </c>
      <c r="FS73">
        <v>0</v>
      </c>
      <c r="FT73">
        <v>0</v>
      </c>
      <c r="FU73">
        <v>0</v>
      </c>
      <c r="FV73">
        <v>-999</v>
      </c>
      <c r="FW73">
        <v>0.49135696876754398</v>
      </c>
      <c r="FX73">
        <v>3.2389703157432799E-3</v>
      </c>
      <c r="FY73">
        <v>1.2321556475695301</v>
      </c>
      <c r="FZ73">
        <v>8.9801251673473997E-4</v>
      </c>
      <c r="GA73">
        <v>41.670607227250102</v>
      </c>
      <c r="GB73">
        <v>1.06930470140133E-2</v>
      </c>
      <c r="GC73">
        <v>2.8900127064900899E-3</v>
      </c>
      <c r="GD73">
        <v>0</v>
      </c>
      <c r="GE73">
        <v>7.02699553896811E-3</v>
      </c>
      <c r="GF73">
        <v>0.370431208781282</v>
      </c>
      <c r="GG73">
        <v>5.6078234085699E-4</v>
      </c>
      <c r="GH73">
        <v>9.3919090385005295E-3</v>
      </c>
      <c r="GI73">
        <v>1.8446251272477399E-2</v>
      </c>
      <c r="GJ73">
        <v>9.0884060499595899E-4</v>
      </c>
      <c r="GK73">
        <v>1.76388728074848E-3</v>
      </c>
      <c r="GL73">
        <v>0.40647453577711701</v>
      </c>
      <c r="GM73">
        <v>6.7999227662304401E-3</v>
      </c>
      <c r="GN73">
        <v>5.6345702609158404E-4</v>
      </c>
      <c r="GO73">
        <v>0</v>
      </c>
      <c r="GP73">
        <v>0</v>
      </c>
      <c r="GQ73">
        <v>0</v>
      </c>
      <c r="GR73">
        <v>6.1773335367332101E-2</v>
      </c>
      <c r="GS73">
        <v>1.1470479048764899E-3</v>
      </c>
      <c r="GT73">
        <v>1.2867458794884999E-4</v>
      </c>
      <c r="GU73">
        <v>3.9043821616974998E-2</v>
      </c>
      <c r="GV73">
        <v>7.2499134971117205E-4</v>
      </c>
      <c r="GW73">
        <v>8.1328742063836897E-5</v>
      </c>
      <c r="GX73">
        <v>0.12512086985121801</v>
      </c>
      <c r="GY73">
        <v>0.13567673425583099</v>
      </c>
      <c r="GZ73">
        <v>58.921555209316899</v>
      </c>
      <c r="HA73">
        <v>676.53010156691698</v>
      </c>
      <c r="HB73">
        <v>0</v>
      </c>
      <c r="HC73">
        <v>0.99981307012590304</v>
      </c>
      <c r="HD73">
        <v>0.428944836178211</v>
      </c>
      <c r="HE73">
        <v>1.11372695670793E-2</v>
      </c>
      <c r="HF73">
        <v>9.6422911276347796E-4</v>
      </c>
      <c r="HG73">
        <v>1.3340238785799799E-2</v>
      </c>
      <c r="HH73" s="159">
        <v>4.76187786553251E-7</v>
      </c>
      <c r="HI73" s="159">
        <v>3.33332542335092E-7</v>
      </c>
      <c r="HJ73">
        <v>0</v>
      </c>
      <c r="HK73">
        <v>0</v>
      </c>
      <c r="HL73">
        <v>0</v>
      </c>
      <c r="HM73">
        <v>0</v>
      </c>
      <c r="HN73">
        <v>0</v>
      </c>
      <c r="HO73">
        <v>1.18001049731508E-2</v>
      </c>
      <c r="HP73">
        <v>0.56462157043404204</v>
      </c>
      <c r="HQ73">
        <v>1.11372695670793E-2</v>
      </c>
      <c r="HR73">
        <v>9.6422911276347796E-4</v>
      </c>
      <c r="HS73">
        <v>0.715846923326795</v>
      </c>
      <c r="HT73">
        <v>-999</v>
      </c>
      <c r="HU73">
        <v>1</v>
      </c>
      <c r="HV73">
        <v>0.80942785782113402</v>
      </c>
      <c r="HW73">
        <v>0.19057214217886501</v>
      </c>
      <c r="HX73">
        <v>12538.1569612535</v>
      </c>
      <c r="HY73">
        <v>399.54074459018602</v>
      </c>
      <c r="HZ73">
        <v>40.259086963879199</v>
      </c>
      <c r="IA73">
        <v>-0.13567673425583099</v>
      </c>
      <c r="IB73">
        <v>0</v>
      </c>
      <c r="IC73">
        <v>0</v>
      </c>
      <c r="ID73">
        <v>0</v>
      </c>
      <c r="IE73">
        <v>0</v>
      </c>
      <c r="IF73">
        <v>0</v>
      </c>
      <c r="IG73">
        <v>0</v>
      </c>
      <c r="IH73">
        <v>0</v>
      </c>
      <c r="II73">
        <v>46.337800049999601</v>
      </c>
      <c r="IJ73">
        <v>463.37800049999902</v>
      </c>
      <c r="IK73">
        <v>1.0844812950291501E-2</v>
      </c>
      <c r="IL73">
        <v>2.3802333251289301E-3</v>
      </c>
      <c r="IM73">
        <v>1.32250462754205E-2</v>
      </c>
      <c r="IN73">
        <v>8.6001216469707201E-4</v>
      </c>
      <c r="IO73">
        <v>0.42551762221951001</v>
      </c>
      <c r="IP73">
        <v>1.9100427986959E-2</v>
      </c>
      <c r="IQ73">
        <v>1.5801173353984599E-3</v>
      </c>
      <c r="IR73">
        <v>0.290989797478856</v>
      </c>
      <c r="IS73">
        <v>0.23316617722343499</v>
      </c>
      <c r="IT73">
        <v>0.28185082697846903</v>
      </c>
      <c r="IU73">
        <v>0.30169633550616998</v>
      </c>
      <c r="IV73">
        <v>1.4646854209908199E-2</v>
      </c>
      <c r="IW73">
        <v>1.13475995769339E-3</v>
      </c>
      <c r="IX73">
        <v>7.4939217544035402E-2</v>
      </c>
      <c r="IY73">
        <v>2.69539546055179E-3</v>
      </c>
      <c r="IZ73">
        <v>2.69539546055177E-4</v>
      </c>
      <c r="JA73">
        <v>7.5020572513164102E-2</v>
      </c>
      <c r="JB73">
        <v>2.69832161619725E-3</v>
      </c>
      <c r="JC73">
        <v>2.6983216161972299E-4</v>
      </c>
      <c r="JD73">
        <v>1.8146424832221099E-4</v>
      </c>
      <c r="JE73">
        <v>3.2768904628922798E-3</v>
      </c>
      <c r="JF73" s="159">
        <v>-1.02999206386122E-18</v>
      </c>
      <c r="JG73">
        <v>0</v>
      </c>
      <c r="JH73">
        <v>4.1201295506850099E-3</v>
      </c>
      <c r="JI73">
        <v>5.4457995461604301E-4</v>
      </c>
      <c r="JJ73">
        <v>-0.51239364227516604</v>
      </c>
      <c r="JK73">
        <v>1.8146424832221099E-4</v>
      </c>
      <c r="JL73" s="159">
        <v>6.5753399999999896E-6</v>
      </c>
      <c r="JM73">
        <v>-0.51239364227516604</v>
      </c>
      <c r="JN73">
        <v>0</v>
      </c>
      <c r="JO73">
        <v>1.2796678934108701</v>
      </c>
      <c r="JP73">
        <v>-1.6541178527311899E-2</v>
      </c>
      <c r="JQ73">
        <v>1.1071259737623299E-3</v>
      </c>
      <c r="JR73">
        <v>2.0426921285277799E-2</v>
      </c>
      <c r="JS73">
        <v>1585.5333206526</v>
      </c>
      <c r="JT73">
        <v>4.4157558439491602E-2</v>
      </c>
      <c r="JU73">
        <v>0</v>
      </c>
      <c r="JV73">
        <v>365</v>
      </c>
      <c r="JW73">
        <v>0</v>
      </c>
      <c r="JX73">
        <v>-0.40268092994350901</v>
      </c>
      <c r="JY73">
        <v>0</v>
      </c>
      <c r="JZ73">
        <v>1.3279098111749299</v>
      </c>
      <c r="KA73">
        <v>1.4069905379652901</v>
      </c>
      <c r="KB73">
        <v>1.4396835665001699</v>
      </c>
      <c r="KC73">
        <v>0</v>
      </c>
      <c r="KD73">
        <v>0</v>
      </c>
      <c r="KE73">
        <v>0</v>
      </c>
      <c r="KF73">
        <v>3.5958716789290198E-3</v>
      </c>
      <c r="KG73">
        <v>2.2725101551812E-2</v>
      </c>
      <c r="KH73">
        <v>3.7863566940771198E-2</v>
      </c>
      <c r="KI73">
        <v>0</v>
      </c>
      <c r="KJ73">
        <v>0</v>
      </c>
      <c r="KK73">
        <v>0</v>
      </c>
      <c r="KL73">
        <v>0</v>
      </c>
      <c r="KM73">
        <v>0</v>
      </c>
      <c r="KN73">
        <v>0</v>
      </c>
      <c r="KO73">
        <v>0</v>
      </c>
      <c r="KP73">
        <v>0</v>
      </c>
      <c r="KQ73">
        <v>0</v>
      </c>
      <c r="KR73">
        <v>0</v>
      </c>
      <c r="KS73">
        <v>0</v>
      </c>
      <c r="KT73">
        <v>0</v>
      </c>
      <c r="KU73">
        <v>0.34999999999999898</v>
      </c>
      <c r="KV73">
        <v>-0.113548161944418</v>
      </c>
      <c r="KW73">
        <v>1.8027384480243801E-3</v>
      </c>
      <c r="KX73">
        <v>34280.940562334101</v>
      </c>
      <c r="KY73">
        <v>0</v>
      </c>
      <c r="KZ73">
        <v>0.21048407773687999</v>
      </c>
      <c r="LA73">
        <v>1.73602675993533E-5</v>
      </c>
      <c r="LB73">
        <v>0</v>
      </c>
      <c r="LC73">
        <v>-12.1326468202122</v>
      </c>
      <c r="LD73">
        <v>1.57201244307325E-2</v>
      </c>
      <c r="LE73">
        <v>3.41521172710618E-3</v>
      </c>
      <c r="LF73">
        <v>1.57201244307325E-2</v>
      </c>
      <c r="LG73">
        <v>0.95342439072545804</v>
      </c>
      <c r="LH73">
        <v>1.2413913530971099</v>
      </c>
      <c r="LI73">
        <v>0</v>
      </c>
      <c r="LJ73">
        <v>0</v>
      </c>
      <c r="LK73">
        <v>0.24398852504007101</v>
      </c>
      <c r="LL73">
        <v>0</v>
      </c>
      <c r="LM73">
        <v>0</v>
      </c>
      <c r="LN73">
        <v>0</v>
      </c>
      <c r="LO73">
        <v>0</v>
      </c>
      <c r="LP73">
        <v>0</v>
      </c>
      <c r="LQ73">
        <v>0</v>
      </c>
      <c r="LR73">
        <v>0</v>
      </c>
      <c r="LS73">
        <v>0</v>
      </c>
      <c r="LT73">
        <v>-999</v>
      </c>
      <c r="LU73">
        <v>0.42568894191751699</v>
      </c>
      <c r="LV73">
        <v>72</v>
      </c>
      <c r="LW73">
        <v>281.16000000000003</v>
      </c>
      <c r="LX73">
        <v>2.62699999999999</v>
      </c>
      <c r="LY73">
        <v>0</v>
      </c>
      <c r="LZ73">
        <v>-999</v>
      </c>
      <c r="MA73">
        <v>0</v>
      </c>
      <c r="MB73">
        <v>0</v>
      </c>
      <c r="MC73">
        <v>681.16</v>
      </c>
      <c r="MD73">
        <v>-23.6999999999999</v>
      </c>
      <c r="ME73">
        <v>-33.6</v>
      </c>
      <c r="MF73">
        <v>0</v>
      </c>
      <c r="MG73">
        <v>8.0706896550000007</v>
      </c>
      <c r="MH73">
        <v>0</v>
      </c>
      <c r="MI73">
        <v>0</v>
      </c>
      <c r="MJ73">
        <v>0</v>
      </c>
      <c r="MK73">
        <v>0</v>
      </c>
      <c r="ML73">
        <v>0</v>
      </c>
      <c r="MM73">
        <v>0</v>
      </c>
      <c r="MN73">
        <v>0</v>
      </c>
      <c r="MO73">
        <v>0</v>
      </c>
      <c r="MP73">
        <v>0</v>
      </c>
      <c r="MQ73">
        <v>0</v>
      </c>
      <c r="MR73">
        <v>0</v>
      </c>
      <c r="MS73">
        <v>0</v>
      </c>
      <c r="MT73">
        <v>0</v>
      </c>
      <c r="MU73">
        <v>0</v>
      </c>
      <c r="MV73">
        <v>0</v>
      </c>
    </row>
    <row r="74" spans="1:360" x14ac:dyDescent="0.25">
      <c r="A74">
        <v>26645</v>
      </c>
      <c r="B74">
        <v>0</v>
      </c>
      <c r="C74">
        <v>-33.6</v>
      </c>
      <c r="D74">
        <v>-23.6999999999999</v>
      </c>
      <c r="E74">
        <v>400</v>
      </c>
      <c r="F74">
        <v>0</v>
      </c>
      <c r="G74">
        <v>0</v>
      </c>
      <c r="H74">
        <v>0</v>
      </c>
      <c r="I74">
        <v>0</v>
      </c>
      <c r="J74">
        <v>0</v>
      </c>
      <c r="K74">
        <v>0</v>
      </c>
      <c r="L74" s="159">
        <v>6.5753399999999896E-6</v>
      </c>
      <c r="M74">
        <v>0</v>
      </c>
      <c r="N74">
        <v>0</v>
      </c>
      <c r="O74">
        <v>0</v>
      </c>
      <c r="P74">
        <v>0</v>
      </c>
      <c r="Q74">
        <v>0</v>
      </c>
      <c r="R74">
        <v>0</v>
      </c>
      <c r="S74">
        <v>0</v>
      </c>
      <c r="T74">
        <v>0</v>
      </c>
      <c r="U74">
        <v>719.10968269405805</v>
      </c>
      <c r="V74">
        <v>14.2166939188765</v>
      </c>
      <c r="W74">
        <v>1.3757513434217099</v>
      </c>
      <c r="X74">
        <v>0.29531133340666599</v>
      </c>
      <c r="Y74">
        <v>0.26937895096317999</v>
      </c>
      <c r="Z74">
        <v>0.43530971563015303</v>
      </c>
      <c r="AA74">
        <v>0.112475054624617</v>
      </c>
      <c r="AB74">
        <v>0.53156309247197397</v>
      </c>
      <c r="AC74">
        <v>0.35596185290340698</v>
      </c>
      <c r="AD74">
        <v>0.88454355214211999</v>
      </c>
      <c r="AE74">
        <v>3.92498874700134E-2</v>
      </c>
      <c r="AF74">
        <v>7.6206560387865996E-2</v>
      </c>
      <c r="AG74">
        <v>0</v>
      </c>
      <c r="AH74">
        <v>3433.23063731106</v>
      </c>
      <c r="AI74">
        <v>79.208632754339106</v>
      </c>
      <c r="AJ74">
        <v>8.1356584165573604</v>
      </c>
      <c r="AK74">
        <v>413.974309037316</v>
      </c>
      <c r="AL74">
        <v>7.6869471436225201</v>
      </c>
      <c r="AM74">
        <v>0.86231338036113703</v>
      </c>
      <c r="AN74">
        <v>8691.6255826610995</v>
      </c>
      <c r="AO74">
        <v>312.61826461631</v>
      </c>
      <c r="AP74">
        <v>31.2618264616308</v>
      </c>
      <c r="AQ74">
        <v>3.0486577948289802E-2</v>
      </c>
      <c r="AR74">
        <v>6.34494397696218E-3</v>
      </c>
      <c r="AS74">
        <v>1.91004070025204E-2</v>
      </c>
      <c r="AT74">
        <v>9.48</v>
      </c>
      <c r="AU74">
        <v>5.9738401405638397</v>
      </c>
      <c r="AV74">
        <v>0</v>
      </c>
      <c r="AW74">
        <v>85.410480255668702</v>
      </c>
      <c r="AX74">
        <v>66.664059580161407</v>
      </c>
      <c r="AY74">
        <v>361.44477374914402</v>
      </c>
      <c r="AZ74">
        <v>0.54833294000258204</v>
      </c>
      <c r="BA74">
        <v>0.85071224951427704</v>
      </c>
      <c r="BB74">
        <v>1.4181270659381E-2</v>
      </c>
      <c r="BC74">
        <v>1.1877492573922699E-3</v>
      </c>
      <c r="BD74">
        <v>0.60068771529232401</v>
      </c>
      <c r="BE74">
        <v>9.3230852835471407E-3</v>
      </c>
      <c r="BF74">
        <v>7.5878319896295404E-4</v>
      </c>
      <c r="BG74">
        <v>766.29999847710098</v>
      </c>
      <c r="BH74">
        <v>-1626.59999865293</v>
      </c>
      <c r="BI74">
        <v>433.005774199418</v>
      </c>
      <c r="BJ74">
        <v>212.6530832887</v>
      </c>
      <c r="BK74">
        <v>3.5677814837330701</v>
      </c>
      <c r="BL74">
        <v>4.7942534733636499</v>
      </c>
      <c r="BM74">
        <v>194.426228826532</v>
      </c>
      <c r="BN74">
        <v>22.4078762491406</v>
      </c>
      <c r="BO74">
        <v>216.83410507567299</v>
      </c>
      <c r="BP74">
        <v>3.5176545433591002</v>
      </c>
      <c r="BQ74">
        <v>0.29636113596478297</v>
      </c>
      <c r="BR74">
        <v>209.085301804967</v>
      </c>
      <c r="BS74">
        <v>2.2054484348034999</v>
      </c>
      <c r="BT74">
        <v>0.29564984129465499</v>
      </c>
      <c r="BU74">
        <v>3.5279204362368199</v>
      </c>
      <c r="BV74">
        <v>1.73049182234407</v>
      </c>
      <c r="BW74">
        <v>0.50168443190257195</v>
      </c>
      <c r="BX74">
        <v>1.2957441819901701</v>
      </c>
      <c r="BY74">
        <v>0</v>
      </c>
      <c r="BZ74">
        <v>3.1015703647816002</v>
      </c>
      <c r="CA74">
        <v>0.41608417857749402</v>
      </c>
      <c r="CB74">
        <v>0.29737827049964399</v>
      </c>
      <c r="CC74">
        <v>0.24968526479769401</v>
      </c>
      <c r="CD74">
        <v>4.6675871167089301E-2</v>
      </c>
      <c r="CE74">
        <v>22.1185678649496</v>
      </c>
      <c r="CF74">
        <v>166.621418961979</v>
      </c>
      <c r="CG74">
        <v>42.205260582047899</v>
      </c>
      <c r="CH74">
        <v>0.410712110289843</v>
      </c>
      <c r="CI74">
        <v>7.33234164890444</v>
      </c>
      <c r="CJ74">
        <v>1.74207556676397</v>
      </c>
      <c r="CK74">
        <v>9.7525350910737103</v>
      </c>
      <c r="CL74">
        <v>1.51802849712716</v>
      </c>
      <c r="CM74">
        <v>0.101812060037513</v>
      </c>
      <c r="CN74">
        <v>4.6073238382173698E-2</v>
      </c>
      <c r="CO74">
        <v>0.55598377133414401</v>
      </c>
      <c r="CP74">
        <v>0.69890055668898099</v>
      </c>
      <c r="CQ74">
        <v>0.15180284971271399</v>
      </c>
      <c r="CR74">
        <v>42.463882842988802</v>
      </c>
      <c r="CS74">
        <v>1.5273305593982001</v>
      </c>
      <c r="CT74">
        <v>0.15273305593981901</v>
      </c>
      <c r="CU74">
        <v>1.4700000000004499E-2</v>
      </c>
      <c r="CV74">
        <v>2.1410556381004598E-3</v>
      </c>
      <c r="CW74">
        <v>2.22957856161992</v>
      </c>
      <c r="CX74">
        <v>2.0300000000006299E-2</v>
      </c>
      <c r="CY74">
        <v>6.1142737564662403E-3</v>
      </c>
      <c r="CZ74">
        <v>0</v>
      </c>
      <c r="DA74">
        <v>2.3999991000029398E-3</v>
      </c>
      <c r="DB74">
        <v>1.49353291550227E-3</v>
      </c>
      <c r="DC74">
        <v>2.0000000000006202E-3</v>
      </c>
      <c r="DD74">
        <v>3.2865526051333799E-3</v>
      </c>
      <c r="DE74">
        <v>9.3416817269068595E-4</v>
      </c>
      <c r="DF74">
        <v>2.3999991000000901E-3</v>
      </c>
      <c r="DG74">
        <v>0</v>
      </c>
      <c r="DH74">
        <v>0</v>
      </c>
      <c r="DI74">
        <v>0.23180769400007201</v>
      </c>
      <c r="DJ74">
        <v>1.88461552000058E-2</v>
      </c>
      <c r="DK74">
        <v>2.5127897354219102</v>
      </c>
      <c r="DL74">
        <v>0.164020217716834</v>
      </c>
      <c r="DM74">
        <v>61.842035297802099</v>
      </c>
      <c r="DN74">
        <v>236.43616453978899</v>
      </c>
      <c r="DO74">
        <v>327.66000000000003</v>
      </c>
      <c r="DP74">
        <v>29.361553019595</v>
      </c>
      <c r="DQ74">
        <v>157.94999999999899</v>
      </c>
      <c r="DR74">
        <v>169.71</v>
      </c>
      <c r="DS74">
        <v>156.584294667514</v>
      </c>
      <c r="DT74">
        <v>0</v>
      </c>
      <c r="DU74">
        <v>0</v>
      </c>
      <c r="DV74">
        <v>0</v>
      </c>
      <c r="DW74">
        <v>0</v>
      </c>
      <c r="DX74">
        <v>0</v>
      </c>
      <c r="DY74">
        <v>0</v>
      </c>
      <c r="DZ74">
        <v>0</v>
      </c>
      <c r="EA74">
        <v>0</v>
      </c>
      <c r="EB74">
        <v>0</v>
      </c>
      <c r="EC74">
        <v>0</v>
      </c>
      <c r="ED74">
        <v>0</v>
      </c>
      <c r="EE74">
        <v>0</v>
      </c>
      <c r="EF74">
        <v>1.25413328911209</v>
      </c>
      <c r="EG74">
        <v>0</v>
      </c>
      <c r="EH74">
        <v>0</v>
      </c>
      <c r="EI74">
        <v>0</v>
      </c>
      <c r="EJ74">
        <v>0</v>
      </c>
      <c r="EK74">
        <v>0</v>
      </c>
      <c r="EL74">
        <v>0</v>
      </c>
      <c r="EM74">
        <v>0</v>
      </c>
      <c r="EN74">
        <v>0</v>
      </c>
      <c r="EO74">
        <v>0</v>
      </c>
      <c r="EP74">
        <v>0</v>
      </c>
      <c r="EQ74">
        <v>0</v>
      </c>
      <c r="ER74">
        <v>0</v>
      </c>
      <c r="ES74">
        <v>0</v>
      </c>
      <c r="ET74">
        <v>0</v>
      </c>
      <c r="EU74">
        <v>0</v>
      </c>
      <c r="EV74">
        <v>836.17133972599095</v>
      </c>
      <c r="EW74">
        <v>-28.649999999999899</v>
      </c>
      <c r="EX74">
        <v>1513.91512146117</v>
      </c>
      <c r="EY74">
        <v>847.41659481646604</v>
      </c>
      <c r="EZ74">
        <v>88.375728526436006</v>
      </c>
      <c r="FA74">
        <v>686.24493781913202</v>
      </c>
      <c r="FB74">
        <v>739.29443359375</v>
      </c>
      <c r="FC74">
        <v>0.38116451713451799</v>
      </c>
      <c r="FD74">
        <v>0.69513335662950204</v>
      </c>
      <c r="FE74">
        <v>0</v>
      </c>
      <c r="FF74">
        <v>1</v>
      </c>
      <c r="FG74" s="159">
        <v>5.9031848066233905E-13</v>
      </c>
      <c r="FH74">
        <v>0</v>
      </c>
      <c r="FI74">
        <v>5.4512674794765098E-5</v>
      </c>
      <c r="FJ74">
        <v>-5.0051619191238701E-3</v>
      </c>
      <c r="FK74" s="159">
        <v>6.57534000000779E-6</v>
      </c>
      <c r="FL74" s="159">
        <v>2.2959984258089798E-6</v>
      </c>
      <c r="FM74" s="159">
        <v>4.0916824031177502E-6</v>
      </c>
      <c r="FN74">
        <v>0</v>
      </c>
      <c r="FO74">
        <v>0</v>
      </c>
      <c r="FP74">
        <v>0</v>
      </c>
      <c r="FQ74">
        <v>0</v>
      </c>
      <c r="FR74">
        <v>0</v>
      </c>
      <c r="FS74">
        <v>0</v>
      </c>
      <c r="FT74">
        <v>0</v>
      </c>
      <c r="FU74">
        <v>0</v>
      </c>
      <c r="FV74">
        <v>-999</v>
      </c>
      <c r="FW74">
        <v>0.49155803009373999</v>
      </c>
      <c r="FX74">
        <v>3.2398144554869599E-3</v>
      </c>
      <c r="FY74">
        <v>1.23294299938487</v>
      </c>
      <c r="FZ74">
        <v>8.9626709913028597E-4</v>
      </c>
      <c r="GA74">
        <v>41.643656539689701</v>
      </c>
      <c r="GB74">
        <v>1.06983953417581E-2</v>
      </c>
      <c r="GC74">
        <v>2.8914582004751698E-3</v>
      </c>
      <c r="GD74">
        <v>0</v>
      </c>
      <c r="GE74">
        <v>7.0275397550924202E-3</v>
      </c>
      <c r="GF74">
        <v>0.36934996216828198</v>
      </c>
      <c r="GG74">
        <v>5.6086089424729204E-4</v>
      </c>
      <c r="GH74">
        <v>9.3906809683987399E-3</v>
      </c>
      <c r="GI74">
        <v>1.8444137198747799E-2</v>
      </c>
      <c r="GJ74">
        <v>9.0873743443019902E-4</v>
      </c>
      <c r="GK74">
        <v>1.76373136937068E-3</v>
      </c>
      <c r="GL74">
        <v>0.40680333879869202</v>
      </c>
      <c r="GM74">
        <v>6.8053495146753098E-3</v>
      </c>
      <c r="GN74">
        <v>5.6391396142118798E-4</v>
      </c>
      <c r="GO74">
        <v>0</v>
      </c>
      <c r="GP74">
        <v>0</v>
      </c>
      <c r="GQ74">
        <v>0</v>
      </c>
      <c r="GR74">
        <v>6.1806884476585701E-2</v>
      </c>
      <c r="GS74">
        <v>1.1476708667944599E-3</v>
      </c>
      <c r="GT74">
        <v>1.2874447114009401E-4</v>
      </c>
      <c r="GU74">
        <v>3.9071220439511098E-2</v>
      </c>
      <c r="GV74">
        <v>7.2550010906177601E-4</v>
      </c>
      <c r="GW74">
        <v>8.1385814135130304E-5</v>
      </c>
      <c r="GX74">
        <v>0.12522750012577999</v>
      </c>
      <c r="GY74">
        <v>0.13578403563538</v>
      </c>
      <c r="GZ74">
        <v>58.922296284707301</v>
      </c>
      <c r="HA74">
        <v>676.53868233794697</v>
      </c>
      <c r="HB74">
        <v>0</v>
      </c>
      <c r="HC74">
        <v>0.99981307049055901</v>
      </c>
      <c r="HD74">
        <v>0.42927234327055802</v>
      </c>
      <c r="HE74">
        <v>1.1145837943486499E-2</v>
      </c>
      <c r="HF74">
        <v>9.6497516443688205E-4</v>
      </c>
      <c r="HG74">
        <v>1.33526495371671E-2</v>
      </c>
      <c r="HH74" s="159">
        <v>4.76187789593663E-7</v>
      </c>
      <c r="HI74" s="159">
        <v>3.3333254221692799E-7</v>
      </c>
      <c r="HJ74">
        <v>0</v>
      </c>
      <c r="HK74">
        <v>0</v>
      </c>
      <c r="HL74">
        <v>0</v>
      </c>
      <c r="HM74">
        <v>0</v>
      </c>
      <c r="HN74">
        <v>0</v>
      </c>
      <c r="HO74">
        <v>1.1811044144558301E-2</v>
      </c>
      <c r="HP74">
        <v>0.56505637890593796</v>
      </c>
      <c r="HQ74">
        <v>1.1145837943486499E-2</v>
      </c>
      <c r="HR74">
        <v>9.6497516443688205E-4</v>
      </c>
      <c r="HS74">
        <v>0.71568857390601304</v>
      </c>
      <c r="HT74">
        <v>-999</v>
      </c>
      <c r="HU74">
        <v>1</v>
      </c>
      <c r="HV74">
        <v>0.80980823601614604</v>
      </c>
      <c r="HW74">
        <v>0.19019176398385301</v>
      </c>
      <c r="HX74">
        <v>12538.830529009399</v>
      </c>
      <c r="HY74">
        <v>399.51384451427202</v>
      </c>
      <c r="HZ74">
        <v>40.259798258549303</v>
      </c>
      <c r="IA74">
        <v>-0.13578403563538</v>
      </c>
      <c r="IB74">
        <v>0</v>
      </c>
      <c r="IC74">
        <v>0</v>
      </c>
      <c r="ID74">
        <v>0</v>
      </c>
      <c r="IE74">
        <v>0</v>
      </c>
      <c r="IF74">
        <v>0</v>
      </c>
      <c r="IG74">
        <v>0</v>
      </c>
      <c r="IH74">
        <v>0</v>
      </c>
      <c r="II74">
        <v>46.337800049999601</v>
      </c>
      <c r="IJ74">
        <v>463.37800049999902</v>
      </c>
      <c r="IK74">
        <v>1.08564450666968E-2</v>
      </c>
      <c r="IL74">
        <v>2.3833065782603302E-3</v>
      </c>
      <c r="IM74">
        <v>1.3239751644957099E-2</v>
      </c>
      <c r="IN74">
        <v>8.57761165040679E-4</v>
      </c>
      <c r="IO74">
        <v>0.42559833750715198</v>
      </c>
      <c r="IP74">
        <v>1.9113772535872701E-2</v>
      </c>
      <c r="IQ74">
        <v>1.5779600278304001E-3</v>
      </c>
      <c r="IR74">
        <v>0.29089662956436302</v>
      </c>
      <c r="IS74">
        <v>0.23297297054687</v>
      </c>
      <c r="IT74">
        <v>0.28219931351252397</v>
      </c>
      <c r="IU74">
        <v>0.301793215578125</v>
      </c>
      <c r="IV74">
        <v>1.46607801698332E-2</v>
      </c>
      <c r="IW74">
        <v>1.13266079122646E-3</v>
      </c>
      <c r="IX74">
        <v>7.4941272256194597E-2</v>
      </c>
      <c r="IY74">
        <v>2.69546936393653E-3</v>
      </c>
      <c r="IZ74">
        <v>2.69546936393651E-4</v>
      </c>
      <c r="JA74">
        <v>7.5018520293497995E-2</v>
      </c>
      <c r="JB74">
        <v>2.6982478024618899E-3</v>
      </c>
      <c r="JC74">
        <v>2.6982478024618699E-4</v>
      </c>
      <c r="JD74">
        <v>1.8174049844452099E-4</v>
      </c>
      <c r="JE74">
        <v>3.2782298678571999E-3</v>
      </c>
      <c r="JF74" s="159">
        <v>3.6930636500287398E-19</v>
      </c>
      <c r="JG74">
        <v>0</v>
      </c>
      <c r="JH74">
        <v>4.1192763273380298E-3</v>
      </c>
      <c r="JI74">
        <v>5.4472440643196795E-4</v>
      </c>
      <c r="JJ74">
        <v>-0.51259577150700297</v>
      </c>
      <c r="JK74">
        <v>1.8174049844452099E-4</v>
      </c>
      <c r="JL74" s="159">
        <v>6.5753399999999896E-6</v>
      </c>
      <c r="JM74">
        <v>-0.51259577150700297</v>
      </c>
      <c r="JN74">
        <v>0</v>
      </c>
      <c r="JO74">
        <v>1.28679944231107</v>
      </c>
      <c r="JP74">
        <v>-1.6617331873871401E-2</v>
      </c>
      <c r="JQ74">
        <v>1.11344649486733E-3</v>
      </c>
      <c r="JR74">
        <v>2.02471428130515E-2</v>
      </c>
      <c r="JS74">
        <v>1586.71104993124</v>
      </c>
      <c r="JT74">
        <v>4.4088947356431103E-2</v>
      </c>
      <c r="JU74">
        <v>0</v>
      </c>
      <c r="JV74">
        <v>365</v>
      </c>
      <c r="JW74">
        <v>0</v>
      </c>
      <c r="JX74">
        <v>-0.40268092994350901</v>
      </c>
      <c r="JY74">
        <v>0</v>
      </c>
      <c r="JZ74">
        <v>1.3281358325707999</v>
      </c>
      <c r="KA74">
        <v>1.40706455621465</v>
      </c>
      <c r="KB74">
        <v>1.4399360472189799</v>
      </c>
      <c r="KC74">
        <v>0</v>
      </c>
      <c r="KD74">
        <v>0</v>
      </c>
      <c r="KE74">
        <v>0</v>
      </c>
      <c r="KF74">
        <v>3.59692272490106E-3</v>
      </c>
      <c r="KG74">
        <v>2.2736317351741399E-2</v>
      </c>
      <c r="KH74">
        <v>3.7833779377736299E-2</v>
      </c>
      <c r="KI74">
        <v>0</v>
      </c>
      <c r="KJ74">
        <v>0</v>
      </c>
      <c r="KK74">
        <v>0</v>
      </c>
      <c r="KL74">
        <v>0</v>
      </c>
      <c r="KM74">
        <v>0</v>
      </c>
      <c r="KN74">
        <v>0</v>
      </c>
      <c r="KO74">
        <v>0</v>
      </c>
      <c r="KP74">
        <v>0</v>
      </c>
      <c r="KQ74">
        <v>0</v>
      </c>
      <c r="KR74">
        <v>0</v>
      </c>
      <c r="KS74">
        <v>0</v>
      </c>
      <c r="KT74">
        <v>0</v>
      </c>
      <c r="KU74">
        <v>0.34999999999999898</v>
      </c>
      <c r="KV74">
        <v>-0.113492802484031</v>
      </c>
      <c r="KW74">
        <v>1.80191585541526E-3</v>
      </c>
      <c r="KX74">
        <v>34312.246890956601</v>
      </c>
      <c r="KY74">
        <v>0</v>
      </c>
      <c r="KZ74">
        <v>0.21049074858239999</v>
      </c>
      <c r="LA74">
        <v>1.73602675993533E-5</v>
      </c>
      <c r="LB74">
        <v>0</v>
      </c>
      <c r="LC74">
        <v>-12.132314212906699</v>
      </c>
      <c r="LD74">
        <v>1.5720312215025699E-2</v>
      </c>
      <c r="LE74">
        <v>3.4153888820998E-3</v>
      </c>
      <c r="LF74">
        <v>1.5720312215025699E-2</v>
      </c>
      <c r="LG74">
        <v>0.95357154600387495</v>
      </c>
      <c r="LH74">
        <v>1.2415585750044</v>
      </c>
      <c r="LI74">
        <v>0</v>
      </c>
      <c r="LJ74">
        <v>0</v>
      </c>
      <c r="LK74">
        <v>0.244029943587625</v>
      </c>
      <c r="LL74">
        <v>0</v>
      </c>
      <c r="LM74">
        <v>0</v>
      </c>
      <c r="LN74">
        <v>0</v>
      </c>
      <c r="LO74">
        <v>0</v>
      </c>
      <c r="LP74">
        <v>0</v>
      </c>
      <c r="LQ74">
        <v>0</v>
      </c>
      <c r="LR74">
        <v>0</v>
      </c>
      <c r="LS74">
        <v>0</v>
      </c>
      <c r="LT74">
        <v>-999</v>
      </c>
      <c r="LU74">
        <v>0.42568996318751801</v>
      </c>
      <c r="LV74">
        <v>73</v>
      </c>
      <c r="LW74">
        <v>285.12</v>
      </c>
      <c r="LX74">
        <v>2.6639999999999899</v>
      </c>
      <c r="LY74">
        <v>0</v>
      </c>
      <c r="LZ74">
        <v>-999</v>
      </c>
      <c r="MA74">
        <v>0</v>
      </c>
      <c r="MB74">
        <v>0</v>
      </c>
      <c r="MC74">
        <v>685.12</v>
      </c>
      <c r="MD74">
        <v>-23.6999999999999</v>
      </c>
      <c r="ME74">
        <v>-33.6</v>
      </c>
      <c r="MF74">
        <v>0</v>
      </c>
      <c r="MG74">
        <v>8.0706896550000007</v>
      </c>
      <c r="MH74">
        <v>0</v>
      </c>
      <c r="MI74">
        <v>0</v>
      </c>
      <c r="MJ74">
        <v>0</v>
      </c>
      <c r="MK74">
        <v>0</v>
      </c>
      <c r="ML74">
        <v>0</v>
      </c>
      <c r="MM74">
        <v>0</v>
      </c>
      <c r="MN74">
        <v>0</v>
      </c>
      <c r="MO74">
        <v>0</v>
      </c>
      <c r="MP74">
        <v>0</v>
      </c>
      <c r="MQ74">
        <v>0</v>
      </c>
      <c r="MR74">
        <v>0</v>
      </c>
      <c r="MS74">
        <v>0</v>
      </c>
      <c r="MT74">
        <v>0</v>
      </c>
      <c r="MU74">
        <v>0</v>
      </c>
      <c r="MV74">
        <v>0</v>
      </c>
    </row>
    <row r="75" spans="1:360" x14ac:dyDescent="0.25">
      <c r="A75">
        <v>27010</v>
      </c>
      <c r="B75">
        <v>0</v>
      </c>
      <c r="C75">
        <v>-33.6</v>
      </c>
      <c r="D75">
        <v>-23.6999999999999</v>
      </c>
      <c r="E75">
        <v>400</v>
      </c>
      <c r="F75">
        <v>0</v>
      </c>
      <c r="G75">
        <v>0</v>
      </c>
      <c r="H75">
        <v>0</v>
      </c>
      <c r="I75">
        <v>0</v>
      </c>
      <c r="J75">
        <v>0</v>
      </c>
      <c r="K75">
        <v>0</v>
      </c>
      <c r="L75" s="159">
        <v>6.5753399999999896E-6</v>
      </c>
      <c r="M75">
        <v>0</v>
      </c>
      <c r="N75">
        <v>0</v>
      </c>
      <c r="O75">
        <v>0</v>
      </c>
      <c r="P75">
        <v>0</v>
      </c>
      <c r="Q75">
        <v>0</v>
      </c>
      <c r="R75">
        <v>0</v>
      </c>
      <c r="S75">
        <v>0</v>
      </c>
      <c r="T75">
        <v>0</v>
      </c>
      <c r="U75">
        <v>719.73476862626205</v>
      </c>
      <c r="V75">
        <v>14.2271075190312</v>
      </c>
      <c r="W75">
        <v>1.3767745663612401</v>
      </c>
      <c r="X75">
        <v>0.29437153348906198</v>
      </c>
      <c r="Y75">
        <v>0.26920583968518802</v>
      </c>
      <c r="Z75">
        <v>0.436422626825749</v>
      </c>
      <c r="AA75">
        <v>0.112480117461404</v>
      </c>
      <c r="AB75">
        <v>0.53233061844804297</v>
      </c>
      <c r="AC75">
        <v>0.35518926409055201</v>
      </c>
      <c r="AD75">
        <v>0.88453991486490802</v>
      </c>
      <c r="AE75">
        <v>3.9154241075228101E-2</v>
      </c>
      <c r="AF75">
        <v>7.6305844059863306E-2</v>
      </c>
      <c r="AG75">
        <v>0</v>
      </c>
      <c r="AH75">
        <v>3433.8687616544798</v>
      </c>
      <c r="AI75">
        <v>79.185404310510094</v>
      </c>
      <c r="AJ75">
        <v>8.1366967618238899</v>
      </c>
      <c r="AK75">
        <v>414.26052071802701</v>
      </c>
      <c r="AL75">
        <v>7.6922617102839999</v>
      </c>
      <c r="AM75">
        <v>0.86290956267609198</v>
      </c>
      <c r="AN75">
        <v>8691.3696427455707</v>
      </c>
      <c r="AO75">
        <v>312.60905903198397</v>
      </c>
      <c r="AP75">
        <v>31.2609059031981</v>
      </c>
      <c r="AQ75">
        <v>3.0498997907280199E-2</v>
      </c>
      <c r="AR75">
        <v>6.3492122317326096E-3</v>
      </c>
      <c r="AS75">
        <v>1.9045185631629599E-2</v>
      </c>
      <c r="AT75">
        <v>9.48</v>
      </c>
      <c r="AU75">
        <v>5.9732779537118699</v>
      </c>
      <c r="AV75">
        <v>0</v>
      </c>
      <c r="AW75">
        <v>85.424891772704598</v>
      </c>
      <c r="AX75">
        <v>66.669742617370105</v>
      </c>
      <c r="AY75">
        <v>361.44329688715101</v>
      </c>
      <c r="AZ75">
        <v>0.54833294000258204</v>
      </c>
      <c r="BA75">
        <v>0.85113354947820297</v>
      </c>
      <c r="BB75">
        <v>1.4186511801144899E-2</v>
      </c>
      <c r="BC75">
        <v>1.18825629724263E-3</v>
      </c>
      <c r="BD75">
        <v>0.60085379808347705</v>
      </c>
      <c r="BE75">
        <v>9.3258699630797293E-3</v>
      </c>
      <c r="BF75">
        <v>7.5893737131392503E-4</v>
      </c>
      <c r="BG75">
        <v>766.29999847710098</v>
      </c>
      <c r="BH75">
        <v>-1626.59999865293</v>
      </c>
      <c r="BI75">
        <v>433.22268665796003</v>
      </c>
      <c r="BJ75">
        <v>212.73140341765199</v>
      </c>
      <c r="BK75">
        <v>3.57787768834398</v>
      </c>
      <c r="BL75">
        <v>4.7999382671612603</v>
      </c>
      <c r="BM75">
        <v>194.48571841432499</v>
      </c>
      <c r="BN75">
        <v>22.420537338286099</v>
      </c>
      <c r="BO75">
        <v>216.906255752611</v>
      </c>
      <c r="BP75">
        <v>3.51897213254678</v>
      </c>
      <c r="BQ75">
        <v>0.29648883639690199</v>
      </c>
      <c r="BR75">
        <v>209.153525729309</v>
      </c>
      <c r="BS75">
        <v>2.2053843744437498</v>
      </c>
      <c r="BT75">
        <v>0.29577486724816998</v>
      </c>
      <c r="BU75">
        <v>3.52938573270144</v>
      </c>
      <c r="BV75">
        <v>1.7314338317164599</v>
      </c>
      <c r="BW75">
        <v>0.50067128823868901</v>
      </c>
      <c r="BX75">
        <v>1.2972806127462799</v>
      </c>
      <c r="BY75">
        <v>0</v>
      </c>
      <c r="BZ75">
        <v>3.1026528545418102</v>
      </c>
      <c r="CA75">
        <v>0.41631927800496499</v>
      </c>
      <c r="CB75">
        <v>0.29751205933642899</v>
      </c>
      <c r="CC75">
        <v>0.249786592031424</v>
      </c>
      <c r="CD75">
        <v>4.67022443654782E-2</v>
      </c>
      <c r="CE75">
        <v>22.134325657574301</v>
      </c>
      <c r="CF75">
        <v>166.69017912237101</v>
      </c>
      <c r="CG75">
        <v>42.207406691401502</v>
      </c>
      <c r="CH75">
        <v>0.41100471134348898</v>
      </c>
      <c r="CI75">
        <v>7.3366527291018304</v>
      </c>
      <c r="CJ75">
        <v>1.7428891828899999</v>
      </c>
      <c r="CK75">
        <v>9.7576150142446103</v>
      </c>
      <c r="CL75">
        <v>1.5181056878638499</v>
      </c>
      <c r="CM75">
        <v>0.101970275908151</v>
      </c>
      <c r="CN75">
        <v>4.6106062050523901E-2</v>
      </c>
      <c r="CO75">
        <v>0.55436087956169799</v>
      </c>
      <c r="CP75">
        <v>0.69740461959077404</v>
      </c>
      <c r="CQ75">
        <v>0.15181056878638399</v>
      </c>
      <c r="CR75">
        <v>42.463346606937598</v>
      </c>
      <c r="CS75">
        <v>1.5273112721909701</v>
      </c>
      <c r="CT75">
        <v>0.15273112721909601</v>
      </c>
      <c r="CU75">
        <v>1.4700000000000501E-2</v>
      </c>
      <c r="CV75">
        <v>2.1433757233574801E-3</v>
      </c>
      <c r="CW75">
        <v>2.2293839299349498</v>
      </c>
      <c r="CX75">
        <v>2.0300000000000699E-2</v>
      </c>
      <c r="CY75">
        <v>6.1191905514854103E-3</v>
      </c>
      <c r="CZ75">
        <v>0</v>
      </c>
      <c r="DA75">
        <v>2.3999991000028201E-3</v>
      </c>
      <c r="DB75">
        <v>1.4933927337438301E-3</v>
      </c>
      <c r="DC75">
        <v>2.0000000000000699E-3</v>
      </c>
      <c r="DD75">
        <v>3.2802152345815299E-3</v>
      </c>
      <c r="DE75">
        <v>9.3120588179614896E-4</v>
      </c>
      <c r="DF75">
        <v>2.39999909999997E-3</v>
      </c>
      <c r="DG75">
        <v>0</v>
      </c>
      <c r="DH75">
        <v>0</v>
      </c>
      <c r="DI75">
        <v>0.231807694000008</v>
      </c>
      <c r="DJ75">
        <v>1.8846155200000599E-2</v>
      </c>
      <c r="DK75">
        <v>2.5162033415382101</v>
      </c>
      <c r="DL75">
        <v>0.164243037959413</v>
      </c>
      <c r="DM75">
        <v>61.522626625147701</v>
      </c>
      <c r="DN75">
        <v>236.778595705947</v>
      </c>
      <c r="DO75">
        <v>327.66000000000003</v>
      </c>
      <c r="DP75">
        <v>29.3386871473468</v>
      </c>
      <c r="DQ75">
        <v>157.94999999999899</v>
      </c>
      <c r="DR75">
        <v>169.71</v>
      </c>
      <c r="DS75">
        <v>156.59975379676601</v>
      </c>
      <c r="DT75">
        <v>0</v>
      </c>
      <c r="DU75">
        <v>0</v>
      </c>
      <c r="DV75">
        <v>0</v>
      </c>
      <c r="DW75">
        <v>0</v>
      </c>
      <c r="DX75">
        <v>0</v>
      </c>
      <c r="DY75">
        <v>0</v>
      </c>
      <c r="DZ75">
        <v>0</v>
      </c>
      <c r="EA75">
        <v>0</v>
      </c>
      <c r="EB75">
        <v>0</v>
      </c>
      <c r="EC75">
        <v>0</v>
      </c>
      <c r="ED75">
        <v>0</v>
      </c>
      <c r="EE75">
        <v>0</v>
      </c>
      <c r="EF75">
        <v>1.25354330339847</v>
      </c>
      <c r="EG75">
        <v>0</v>
      </c>
      <c r="EH75">
        <v>0</v>
      </c>
      <c r="EI75">
        <v>0</v>
      </c>
      <c r="EJ75">
        <v>0</v>
      </c>
      <c r="EK75">
        <v>0</v>
      </c>
      <c r="EL75">
        <v>0</v>
      </c>
      <c r="EM75">
        <v>0</v>
      </c>
      <c r="EN75">
        <v>0</v>
      </c>
      <c r="EO75">
        <v>0</v>
      </c>
      <c r="EP75">
        <v>0</v>
      </c>
      <c r="EQ75">
        <v>0</v>
      </c>
      <c r="ER75">
        <v>0</v>
      </c>
      <c r="ES75">
        <v>0</v>
      </c>
      <c r="ET75">
        <v>0</v>
      </c>
      <c r="EU75">
        <v>0</v>
      </c>
      <c r="EV75">
        <v>836.83000436237899</v>
      </c>
      <c r="EW75">
        <v>-28.649999999999899</v>
      </c>
      <c r="EX75">
        <v>1515.2310918447599</v>
      </c>
      <c r="EY75">
        <v>847.80012625642996</v>
      </c>
      <c r="EZ75">
        <v>88.240077921719504</v>
      </c>
      <c r="FA75">
        <v>686.87585655761598</v>
      </c>
      <c r="FB75">
        <v>740.11517333984295</v>
      </c>
      <c r="FC75">
        <v>0.380579456076376</v>
      </c>
      <c r="FD75">
        <v>0.69406637521098702</v>
      </c>
      <c r="FE75">
        <v>0</v>
      </c>
      <c r="FF75">
        <v>1</v>
      </c>
      <c r="FG75" s="159">
        <v>5.9031848066233905E-13</v>
      </c>
      <c r="FH75">
        <v>0</v>
      </c>
      <c r="FI75">
        <v>5.4512674794765098E-5</v>
      </c>
      <c r="FJ75">
        <v>-4.9979684096619998E-3</v>
      </c>
      <c r="FK75" s="159">
        <v>6.57534000000779E-6</v>
      </c>
      <c r="FL75" s="159">
        <v>2.28932515786754E-6</v>
      </c>
      <c r="FM75" s="159">
        <v>4.0912973425879501E-6</v>
      </c>
      <c r="FN75">
        <v>0</v>
      </c>
      <c r="FO75">
        <v>0</v>
      </c>
      <c r="FP75">
        <v>0</v>
      </c>
      <c r="FQ75">
        <v>0</v>
      </c>
      <c r="FR75">
        <v>0</v>
      </c>
      <c r="FS75">
        <v>0</v>
      </c>
      <c r="FT75">
        <v>0</v>
      </c>
      <c r="FU75">
        <v>0</v>
      </c>
      <c r="FV75">
        <v>-999</v>
      </c>
      <c r="FW75">
        <v>0.49175680856850601</v>
      </c>
      <c r="FX75">
        <v>3.2406540454961901E-3</v>
      </c>
      <c r="FY75">
        <v>1.2337264960140899</v>
      </c>
      <c r="FZ75">
        <v>8.9450956134474904E-4</v>
      </c>
      <c r="GA75">
        <v>41.616685709507699</v>
      </c>
      <c r="GB75">
        <v>1.0703932612271601E-2</v>
      </c>
      <c r="GC75">
        <v>2.8929547600734002E-3</v>
      </c>
      <c r="GD75">
        <v>0</v>
      </c>
      <c r="GE75">
        <v>7.0281183669143399E-3</v>
      </c>
      <c r="GF75">
        <v>0.36827645478517501</v>
      </c>
      <c r="GG75">
        <v>5.6094052495212399E-4</v>
      </c>
      <c r="GH75">
        <v>9.3893978255884507E-3</v>
      </c>
      <c r="GI75">
        <v>1.8442042448725798E-2</v>
      </c>
      <c r="GJ75">
        <v>9.08623492331487E-4</v>
      </c>
      <c r="GK75">
        <v>1.7635791579865699E-3</v>
      </c>
      <c r="GL75">
        <v>0.40713624630530898</v>
      </c>
      <c r="GM75">
        <v>6.8107995594542097E-3</v>
      </c>
      <c r="GN75">
        <v>5.64369220749883E-4</v>
      </c>
      <c r="GO75">
        <v>0</v>
      </c>
      <c r="GP75">
        <v>0</v>
      </c>
      <c r="GQ75">
        <v>0</v>
      </c>
      <c r="GR75">
        <v>6.1841182919279501E-2</v>
      </c>
      <c r="GS75">
        <v>1.14830774282841E-3</v>
      </c>
      <c r="GT75">
        <v>1.2881591520175399E-4</v>
      </c>
      <c r="GU75">
        <v>3.9098322619130897E-2</v>
      </c>
      <c r="GV75">
        <v>7.2600336015167803E-4</v>
      </c>
      <c r="GW75">
        <v>8.1442268295721899E-5</v>
      </c>
      <c r="GX75">
        <v>0.12533480229546501</v>
      </c>
      <c r="GY75">
        <v>0.135892136654509</v>
      </c>
      <c r="GZ75">
        <v>58.9233706008825</v>
      </c>
      <c r="HA75">
        <v>676.55436462981004</v>
      </c>
      <c r="HB75">
        <v>0</v>
      </c>
      <c r="HC75">
        <v>0.99981307094963601</v>
      </c>
      <c r="HD75">
        <v>0.42960204788430301</v>
      </c>
      <c r="HE75">
        <v>1.11544971856489E-2</v>
      </c>
      <c r="HF75">
        <v>9.6572781400123696E-4</v>
      </c>
      <c r="HG75">
        <v>1.3365133683588701E-2</v>
      </c>
      <c r="HH75" s="159">
        <v>4.7618779264632099E-7</v>
      </c>
      <c r="HI75" s="159">
        <v>3.3333254210535098E-7</v>
      </c>
      <c r="HJ75">
        <v>0</v>
      </c>
      <c r="HK75">
        <v>0</v>
      </c>
      <c r="HL75">
        <v>0</v>
      </c>
      <c r="HM75">
        <v>0</v>
      </c>
      <c r="HN75">
        <v>0</v>
      </c>
      <c r="HO75">
        <v>1.1822038290632299E-2</v>
      </c>
      <c r="HP75">
        <v>0.56549418453881295</v>
      </c>
      <c r="HQ75">
        <v>1.11544971856489E-2</v>
      </c>
      <c r="HR75">
        <v>9.6572781400123696E-4</v>
      </c>
      <c r="HS75">
        <v>0.71552684410099499</v>
      </c>
      <c r="HT75">
        <v>-999</v>
      </c>
      <c r="HU75">
        <v>1</v>
      </c>
      <c r="HV75">
        <v>0.81018607486012495</v>
      </c>
      <c r="HW75">
        <v>0.189813925139874</v>
      </c>
      <c r="HX75">
        <v>12539.498925118</v>
      </c>
      <c r="HY75">
        <v>399.48672505277801</v>
      </c>
      <c r="HZ75">
        <v>40.260512227698101</v>
      </c>
      <c r="IA75">
        <v>-0.135892136654509</v>
      </c>
      <c r="IB75">
        <v>0</v>
      </c>
      <c r="IC75">
        <v>0</v>
      </c>
      <c r="ID75">
        <v>0</v>
      </c>
      <c r="IE75">
        <v>0</v>
      </c>
      <c r="IF75">
        <v>0</v>
      </c>
      <c r="IG75">
        <v>0</v>
      </c>
      <c r="IH75">
        <v>0</v>
      </c>
      <c r="II75">
        <v>46.337800049999601</v>
      </c>
      <c r="IJ75">
        <v>463.37800049999902</v>
      </c>
      <c r="IK75">
        <v>1.0868042127169301E-2</v>
      </c>
      <c r="IL75">
        <v>2.3863764817533698E-3</v>
      </c>
      <c r="IM75">
        <v>1.3254418608922699E-2</v>
      </c>
      <c r="IN75">
        <v>8.5552392139602996E-4</v>
      </c>
      <c r="IO75">
        <v>0.42567841440537402</v>
      </c>
      <c r="IP75">
        <v>1.9127060359967599E-2</v>
      </c>
      <c r="IQ75">
        <v>1.57581634745703E-3</v>
      </c>
      <c r="IR75">
        <v>0.29080385851831397</v>
      </c>
      <c r="IS75">
        <v>0.23278066411367501</v>
      </c>
      <c r="IT75">
        <v>0.28254623835579901</v>
      </c>
      <c r="IU75">
        <v>0.30188948900833201</v>
      </c>
      <c r="IV75">
        <v>1.46746505468319E-2</v>
      </c>
      <c r="IW75">
        <v>1.1305753661434699E-3</v>
      </c>
      <c r="IX75">
        <v>7.4942955076883699E-2</v>
      </c>
      <c r="IY75">
        <v>2.6955298912197802E-3</v>
      </c>
      <c r="IZ75">
        <v>2.69552989121976E-4</v>
      </c>
      <c r="JA75">
        <v>7.5016482573330698E-2</v>
      </c>
      <c r="JB75">
        <v>2.69817451024095E-3</v>
      </c>
      <c r="JC75">
        <v>2.6981745102409301E-4</v>
      </c>
      <c r="JD75">
        <v>1.8201765983566601E-4</v>
      </c>
      <c r="JE75">
        <v>3.27955377556927E-3</v>
      </c>
      <c r="JF75" s="159">
        <v>-1.29426634340457E-18</v>
      </c>
      <c r="JG75">
        <v>0</v>
      </c>
      <c r="JH75">
        <v>4.1184064481502199E-3</v>
      </c>
      <c r="JI75">
        <v>5.4486889577153497E-4</v>
      </c>
      <c r="JJ75">
        <v>-0.512798108236173</v>
      </c>
      <c r="JK75">
        <v>1.8201765983566601E-4</v>
      </c>
      <c r="JL75" s="159">
        <v>6.5753399999999896E-6</v>
      </c>
      <c r="JM75">
        <v>-0.512798108236173</v>
      </c>
      <c r="JN75">
        <v>0</v>
      </c>
      <c r="JO75">
        <v>1.2934820408054599</v>
      </c>
      <c r="JP75">
        <v>-1.6689173126102401E-2</v>
      </c>
      <c r="JQ75">
        <v>1.1197838654185099E-3</v>
      </c>
      <c r="JR75">
        <v>2.0090521557666101E-2</v>
      </c>
      <c r="JS75">
        <v>1587.9152836210401</v>
      </c>
      <c r="JT75">
        <v>4.4021273884654002E-2</v>
      </c>
      <c r="JU75">
        <v>0</v>
      </c>
      <c r="JV75">
        <v>365</v>
      </c>
      <c r="JW75">
        <v>0</v>
      </c>
      <c r="JX75">
        <v>-0.40268092994350901</v>
      </c>
      <c r="JY75">
        <v>0</v>
      </c>
      <c r="JZ75">
        <v>1.3283710819969401</v>
      </c>
      <c r="KA75">
        <v>1.40714496215865</v>
      </c>
      <c r="KB75">
        <v>1.44019516985658</v>
      </c>
      <c r="KC75">
        <v>0</v>
      </c>
      <c r="KD75">
        <v>0</v>
      </c>
      <c r="KE75">
        <v>0</v>
      </c>
      <c r="KF75">
        <v>3.5979720357953099E-3</v>
      </c>
      <c r="KG75">
        <v>2.2747553440618101E-2</v>
      </c>
      <c r="KH75">
        <v>3.7804134420966501E-2</v>
      </c>
      <c r="KI75">
        <v>0</v>
      </c>
      <c r="KJ75">
        <v>0</v>
      </c>
      <c r="KK75">
        <v>0</v>
      </c>
      <c r="KL75">
        <v>0</v>
      </c>
      <c r="KM75">
        <v>0</v>
      </c>
      <c r="KN75">
        <v>0</v>
      </c>
      <c r="KO75">
        <v>0</v>
      </c>
      <c r="KP75">
        <v>0</v>
      </c>
      <c r="KQ75">
        <v>0</v>
      </c>
      <c r="KR75">
        <v>0</v>
      </c>
      <c r="KS75">
        <v>0</v>
      </c>
      <c r="KT75">
        <v>0</v>
      </c>
      <c r="KU75">
        <v>0.34999999999999898</v>
      </c>
      <c r="KV75">
        <v>-0.11343707913890599</v>
      </c>
      <c r="KW75">
        <v>1.80108810492066E-3</v>
      </c>
      <c r="KX75">
        <v>34343.792827880803</v>
      </c>
      <c r="KY75">
        <v>0</v>
      </c>
      <c r="KZ75">
        <v>0.210497383406341</v>
      </c>
      <c r="LA75">
        <v>1.73602675993533E-5</v>
      </c>
      <c r="LB75">
        <v>0</v>
      </c>
      <c r="LC75">
        <v>-12.131984816728</v>
      </c>
      <c r="LD75">
        <v>1.57204989108982E-2</v>
      </c>
      <c r="LE75">
        <v>3.4155650102813601E-3</v>
      </c>
      <c r="LF75">
        <v>1.57204989108982E-2</v>
      </c>
      <c r="LG75">
        <v>0.95371784099839196</v>
      </c>
      <c r="LH75">
        <v>1.2417248193163499</v>
      </c>
      <c r="LI75">
        <v>0</v>
      </c>
      <c r="LJ75">
        <v>0</v>
      </c>
      <c r="LK75">
        <v>0.24407111935058401</v>
      </c>
      <c r="LL75">
        <v>0</v>
      </c>
      <c r="LM75">
        <v>0</v>
      </c>
      <c r="LN75">
        <v>0</v>
      </c>
      <c r="LO75">
        <v>0</v>
      </c>
      <c r="LP75">
        <v>0</v>
      </c>
      <c r="LQ75">
        <v>0</v>
      </c>
      <c r="LR75">
        <v>0</v>
      </c>
      <c r="LS75">
        <v>0</v>
      </c>
      <c r="LT75">
        <v>-999</v>
      </c>
      <c r="LU75">
        <v>0.42569093542013597</v>
      </c>
      <c r="LV75">
        <v>74</v>
      </c>
      <c r="LW75">
        <v>289.07999999999902</v>
      </c>
      <c r="LX75">
        <v>2.7010000000000001</v>
      </c>
      <c r="LY75">
        <v>0</v>
      </c>
      <c r="LZ75">
        <v>-999</v>
      </c>
      <c r="MA75">
        <v>0</v>
      </c>
      <c r="MB75">
        <v>0</v>
      </c>
      <c r="MC75">
        <v>689.07999999999902</v>
      </c>
      <c r="MD75">
        <v>-23.6999999999999</v>
      </c>
      <c r="ME75">
        <v>-33.6</v>
      </c>
      <c r="MF75">
        <v>0</v>
      </c>
      <c r="MG75">
        <v>8.0706896550000007</v>
      </c>
      <c r="MH75">
        <v>0</v>
      </c>
      <c r="MI75">
        <v>0</v>
      </c>
      <c r="MJ75">
        <v>0</v>
      </c>
      <c r="MK75">
        <v>0</v>
      </c>
      <c r="ML75">
        <v>0</v>
      </c>
      <c r="MM75">
        <v>0</v>
      </c>
      <c r="MN75">
        <v>0</v>
      </c>
      <c r="MO75">
        <v>0</v>
      </c>
      <c r="MP75">
        <v>0</v>
      </c>
      <c r="MQ75">
        <v>0</v>
      </c>
      <c r="MR75">
        <v>0</v>
      </c>
      <c r="MS75">
        <v>0</v>
      </c>
      <c r="MT75">
        <v>0</v>
      </c>
      <c r="MU75">
        <v>0</v>
      </c>
      <c r="MV75">
        <v>0</v>
      </c>
    </row>
    <row r="76" spans="1:360" x14ac:dyDescent="0.25">
      <c r="A76">
        <v>27375</v>
      </c>
      <c r="B76">
        <v>0</v>
      </c>
      <c r="C76">
        <v>-33.6</v>
      </c>
      <c r="D76">
        <v>-23.6999999999999</v>
      </c>
      <c r="E76">
        <v>400</v>
      </c>
      <c r="F76">
        <v>0</v>
      </c>
      <c r="G76">
        <v>0</v>
      </c>
      <c r="H76">
        <v>0</v>
      </c>
      <c r="I76">
        <v>0</v>
      </c>
      <c r="J76">
        <v>0</v>
      </c>
      <c r="K76">
        <v>0</v>
      </c>
      <c r="L76" s="159">
        <v>6.5753399999999896E-6</v>
      </c>
      <c r="M76">
        <v>0</v>
      </c>
      <c r="N76">
        <v>0</v>
      </c>
      <c r="O76">
        <v>0</v>
      </c>
      <c r="P76">
        <v>0</v>
      </c>
      <c r="Q76">
        <v>0</v>
      </c>
      <c r="R76">
        <v>0</v>
      </c>
      <c r="S76">
        <v>0</v>
      </c>
      <c r="T76">
        <v>0</v>
      </c>
      <c r="U76">
        <v>720.36724547026301</v>
      </c>
      <c r="V76">
        <v>14.2376455698884</v>
      </c>
      <c r="W76">
        <v>1.3778029616471199</v>
      </c>
      <c r="X76">
        <v>0.29343940268055702</v>
      </c>
      <c r="Y76">
        <v>0.26903095150299899</v>
      </c>
      <c r="Z76">
        <v>0.43752964581644299</v>
      </c>
      <c r="AA76">
        <v>0.112485647395449</v>
      </c>
      <c r="AB76">
        <v>0.533095810253709</v>
      </c>
      <c r="AC76">
        <v>0.35441854235084003</v>
      </c>
      <c r="AD76">
        <v>0.88453577085762303</v>
      </c>
      <c r="AE76">
        <v>3.90581410864453E-2</v>
      </c>
      <c r="AF76">
        <v>7.6406088055931506E-2</v>
      </c>
      <c r="AG76">
        <v>0</v>
      </c>
      <c r="AH76">
        <v>3434.5044386078798</v>
      </c>
      <c r="AI76">
        <v>79.161944333066103</v>
      </c>
      <c r="AJ76">
        <v>8.1377353332379201</v>
      </c>
      <c r="AK76">
        <v>414.54402615254901</v>
      </c>
      <c r="AL76">
        <v>7.6975260255869697</v>
      </c>
      <c r="AM76">
        <v>0.86350010784823505</v>
      </c>
      <c r="AN76">
        <v>8691.11618815771</v>
      </c>
      <c r="AO76">
        <v>312.59994283931502</v>
      </c>
      <c r="AP76">
        <v>31.259994283931299</v>
      </c>
      <c r="AQ76">
        <v>3.05113928217913E-2</v>
      </c>
      <c r="AR76">
        <v>6.3534872003942096E-3</v>
      </c>
      <c r="AS76">
        <v>1.8990404210640199E-2</v>
      </c>
      <c r="AT76">
        <v>9.48</v>
      </c>
      <c r="AU76">
        <v>5.9727129677763404</v>
      </c>
      <c r="AV76">
        <v>0</v>
      </c>
      <c r="AW76">
        <v>85.439137817670002</v>
      </c>
      <c r="AX76">
        <v>66.675359111382406</v>
      </c>
      <c r="AY76">
        <v>361.44183768117801</v>
      </c>
      <c r="AZ76">
        <v>0.54833294000258204</v>
      </c>
      <c r="BA76">
        <v>0.85156013527695296</v>
      </c>
      <c r="BB76">
        <v>1.41918499008172E-2</v>
      </c>
      <c r="BC76">
        <v>1.1887693513153901E-3</v>
      </c>
      <c r="BD76">
        <v>0.60101785208907599</v>
      </c>
      <c r="BE76">
        <v>9.3286471902405705E-3</v>
      </c>
      <c r="BF76">
        <v>7.5909146329203E-4</v>
      </c>
      <c r="BG76">
        <v>766.29999847710098</v>
      </c>
      <c r="BH76">
        <v>-1626.59999865293</v>
      </c>
      <c r="BI76">
        <v>433.43794028073899</v>
      </c>
      <c r="BJ76">
        <v>212.807241922716</v>
      </c>
      <c r="BK76">
        <v>3.5859645432484499</v>
      </c>
      <c r="BL76">
        <v>4.8056694523335697</v>
      </c>
      <c r="BM76">
        <v>194.54701270222299</v>
      </c>
      <c r="BN76">
        <v>22.433421828823999</v>
      </c>
      <c r="BO76">
        <v>216.980434531047</v>
      </c>
      <c r="BP76">
        <v>3.5203113542846598</v>
      </c>
      <c r="BQ76">
        <v>0.29661687151954702</v>
      </c>
      <c r="BR76">
        <v>209.22127737946701</v>
      </c>
      <c r="BS76">
        <v>2.2053061975233499</v>
      </c>
      <c r="BT76">
        <v>0.29589937420024898</v>
      </c>
      <c r="BU76">
        <v>3.5308494051418902</v>
      </c>
      <c r="BV76">
        <v>1.73236933808226</v>
      </c>
      <c r="BW76">
        <v>0.499650485347857</v>
      </c>
      <c r="BX76">
        <v>1.2988295817117701</v>
      </c>
      <c r="BY76">
        <v>0</v>
      </c>
      <c r="BZ76">
        <v>3.10375282858829</v>
      </c>
      <c r="CA76">
        <v>0.41655852569636798</v>
      </c>
      <c r="CB76">
        <v>0.29764526680543202</v>
      </c>
      <c r="CC76">
        <v>0.24988778860793801</v>
      </c>
      <c r="CD76">
        <v>4.6729082911608703E-2</v>
      </c>
      <c r="CE76">
        <v>22.149916394301599</v>
      </c>
      <c r="CF76">
        <v>166.758480585558</v>
      </c>
      <c r="CG76">
        <v>42.209342206049598</v>
      </c>
      <c r="CH76">
        <v>0.41129421039339598</v>
      </c>
      <c r="CI76">
        <v>7.3409752357450699</v>
      </c>
      <c r="CJ76">
        <v>1.74371099818459</v>
      </c>
      <c r="CK76">
        <v>9.7627009348026501</v>
      </c>
      <c r="CL76">
        <v>1.5181753039816499</v>
      </c>
      <c r="CM76">
        <v>0.10212905157166501</v>
      </c>
      <c r="CN76">
        <v>4.6138537739464199E-2</v>
      </c>
      <c r="CO76">
        <v>0.55274871053505303</v>
      </c>
      <c r="CP76">
        <v>0.69591893507026903</v>
      </c>
      <c r="CQ76">
        <v>0.15181753039816401</v>
      </c>
      <c r="CR76">
        <v>42.462796793909597</v>
      </c>
      <c r="CS76">
        <v>1.5272914966503599</v>
      </c>
      <c r="CT76">
        <v>0.15272914966503501</v>
      </c>
      <c r="CU76">
        <v>1.46999999999995E-2</v>
      </c>
      <c r="CV76">
        <v>2.14566489537486E-3</v>
      </c>
      <c r="CW76">
        <v>2.2291897978158</v>
      </c>
      <c r="CX76">
        <v>2.0299999999999301E-2</v>
      </c>
      <c r="CY76">
        <v>6.1240393146917401E-3</v>
      </c>
      <c r="CZ76">
        <v>0</v>
      </c>
      <c r="DA76">
        <v>2.3999991000029099E-3</v>
      </c>
      <c r="DB76">
        <v>1.4932518491006901E-3</v>
      </c>
      <c r="DC76">
        <v>1.9999999999999402E-3</v>
      </c>
      <c r="DD76">
        <v>3.2738738513374702E-3</v>
      </c>
      <c r="DE76">
        <v>9.28265913573263E-4</v>
      </c>
      <c r="DF76">
        <v>2.3999991000000602E-3</v>
      </c>
      <c r="DG76">
        <v>0</v>
      </c>
      <c r="DH76">
        <v>0</v>
      </c>
      <c r="DI76">
        <v>0.23180769399999299</v>
      </c>
      <c r="DJ76">
        <v>1.8846155199999399E-2</v>
      </c>
      <c r="DK76">
        <v>2.5195675931838601</v>
      </c>
      <c r="DL76">
        <v>0.16446263663079999</v>
      </c>
      <c r="DM76">
        <v>61.206484224258901</v>
      </c>
      <c r="DN76">
        <v>237.11748032487901</v>
      </c>
      <c r="DO76">
        <v>327.66000000000003</v>
      </c>
      <c r="DP76">
        <v>29.316179022465199</v>
      </c>
      <c r="DQ76">
        <v>157.94999999999899</v>
      </c>
      <c r="DR76">
        <v>169.71</v>
      </c>
      <c r="DS76">
        <v>156.61499433176499</v>
      </c>
      <c r="DT76">
        <v>0</v>
      </c>
      <c r="DU76">
        <v>0</v>
      </c>
      <c r="DV76">
        <v>0</v>
      </c>
      <c r="DW76">
        <v>0</v>
      </c>
      <c r="DX76">
        <v>0</v>
      </c>
      <c r="DY76">
        <v>0</v>
      </c>
      <c r="DZ76">
        <v>0</v>
      </c>
      <c r="EA76">
        <v>0</v>
      </c>
      <c r="EB76">
        <v>0</v>
      </c>
      <c r="EC76">
        <v>0</v>
      </c>
      <c r="ED76">
        <v>0</v>
      </c>
      <c r="EE76">
        <v>0</v>
      </c>
      <c r="EF76">
        <v>1.2529657373577501</v>
      </c>
      <c r="EG76">
        <v>0</v>
      </c>
      <c r="EH76">
        <v>0</v>
      </c>
      <c r="EI76">
        <v>0</v>
      </c>
      <c r="EJ76">
        <v>0</v>
      </c>
      <c r="EK76">
        <v>0</v>
      </c>
      <c r="EL76">
        <v>0</v>
      </c>
      <c r="EM76">
        <v>0</v>
      </c>
      <c r="EN76">
        <v>0</v>
      </c>
      <c r="EO76">
        <v>0</v>
      </c>
      <c r="EP76">
        <v>0</v>
      </c>
      <c r="EQ76">
        <v>0</v>
      </c>
      <c r="ER76">
        <v>0</v>
      </c>
      <c r="ES76">
        <v>0</v>
      </c>
      <c r="ET76">
        <v>0</v>
      </c>
      <c r="EU76">
        <v>0</v>
      </c>
      <c r="EV76">
        <v>837.49729875898004</v>
      </c>
      <c r="EW76">
        <v>-28.649999999999899</v>
      </c>
      <c r="EX76">
        <v>1516.56262204266</v>
      </c>
      <c r="EY76">
        <v>848.18883909209706</v>
      </c>
      <c r="EZ76">
        <v>88.106179097067397</v>
      </c>
      <c r="FA76">
        <v>687.50876195383</v>
      </c>
      <c r="FB76">
        <v>740.94769287109295</v>
      </c>
      <c r="FC76">
        <v>0.38000195044565099</v>
      </c>
      <c r="FD76">
        <v>0.69301317269734297</v>
      </c>
      <c r="FE76">
        <v>0</v>
      </c>
      <c r="FF76">
        <v>1</v>
      </c>
      <c r="FG76" s="159">
        <v>5.9031848066233905E-13</v>
      </c>
      <c r="FH76">
        <v>0</v>
      </c>
      <c r="FI76">
        <v>5.4512674794765098E-5</v>
      </c>
      <c r="FJ76">
        <v>-4.9908688470133898E-3</v>
      </c>
      <c r="FK76" s="159">
        <v>6.57534000000779E-6</v>
      </c>
      <c r="FL76" s="159">
        <v>2.28270532897795E-6</v>
      </c>
      <c r="FM76" s="159">
        <v>4.0909103648724397E-6</v>
      </c>
      <c r="FN76">
        <v>0</v>
      </c>
      <c r="FO76">
        <v>0</v>
      </c>
      <c r="FP76">
        <v>0</v>
      </c>
      <c r="FQ76">
        <v>0</v>
      </c>
      <c r="FR76">
        <v>0</v>
      </c>
      <c r="FS76">
        <v>0</v>
      </c>
      <c r="FT76">
        <v>0</v>
      </c>
      <c r="FU76">
        <v>0</v>
      </c>
      <c r="FV76">
        <v>-999</v>
      </c>
      <c r="FW76">
        <v>0.49195520017819</v>
      </c>
      <c r="FX76">
        <v>3.2414845720197998E-3</v>
      </c>
      <c r="FY76">
        <v>1.2345118002412001</v>
      </c>
      <c r="FZ76">
        <v>8.9273948405630798E-4</v>
      </c>
      <c r="GA76">
        <v>41.589719930614301</v>
      </c>
      <c r="GB76">
        <v>1.07095708554425E-2</v>
      </c>
      <c r="GC76">
        <v>2.8944786095790702E-3</v>
      </c>
      <c r="GD76">
        <v>0</v>
      </c>
      <c r="GE76">
        <v>7.0287026656551798E-3</v>
      </c>
      <c r="GF76">
        <v>0.36721154397232297</v>
      </c>
      <c r="GG76">
        <v>5.6102038546542604E-4</v>
      </c>
      <c r="GH76">
        <v>9.3881026493398308E-3</v>
      </c>
      <c r="GI76">
        <v>1.84399671495795E-2</v>
      </c>
      <c r="GJ76">
        <v>9.0850383731030102E-4</v>
      </c>
      <c r="GK76">
        <v>1.7634300621444099E-3</v>
      </c>
      <c r="GL76">
        <v>0.407471389913174</v>
      </c>
      <c r="GM76">
        <v>6.8162721481529404E-3</v>
      </c>
      <c r="GN76">
        <v>5.6482335402764303E-4</v>
      </c>
      <c r="GO76">
        <v>0</v>
      </c>
      <c r="GP76">
        <v>0</v>
      </c>
      <c r="GQ76">
        <v>0</v>
      </c>
      <c r="GR76">
        <v>6.1875954212077998E-2</v>
      </c>
      <c r="GS76">
        <v>1.14895339905398E-3</v>
      </c>
      <c r="GT76">
        <v>1.2888834421577201E-4</v>
      </c>
      <c r="GU76">
        <v>3.9125167250031803E-2</v>
      </c>
      <c r="GV76">
        <v>7.2650182890763801E-4</v>
      </c>
      <c r="GW76">
        <v>8.1498185979286602E-5</v>
      </c>
      <c r="GX76">
        <v>0.125442681764555</v>
      </c>
      <c r="GY76">
        <v>0.13600087050981099</v>
      </c>
      <c r="GZ76">
        <v>58.924551645600602</v>
      </c>
      <c r="HA76">
        <v>676.574065730347</v>
      </c>
      <c r="HB76">
        <v>0</v>
      </c>
      <c r="HC76">
        <v>0.99981307147346699</v>
      </c>
      <c r="HD76">
        <v>0.42993310518112499</v>
      </c>
      <c r="HE76">
        <v>1.1163213600778101E-2</v>
      </c>
      <c r="HF76">
        <v>9.6648419254911802E-4</v>
      </c>
      <c r="HG76">
        <v>1.3377693419823901E-2</v>
      </c>
      <c r="HH76" s="159">
        <v>4.7618779571351702E-7</v>
      </c>
      <c r="HI76" s="159">
        <v>3.3333254199794202E-7</v>
      </c>
      <c r="HJ76">
        <v>0</v>
      </c>
      <c r="HK76">
        <v>0</v>
      </c>
      <c r="HL76">
        <v>0</v>
      </c>
      <c r="HM76">
        <v>0</v>
      </c>
      <c r="HN76">
        <v>0</v>
      </c>
      <c r="HO76">
        <v>1.18330924290465E-2</v>
      </c>
      <c r="HP76">
        <v>0.56593397569093595</v>
      </c>
      <c r="HQ76">
        <v>1.1163213600778101E-2</v>
      </c>
      <c r="HR76">
        <v>9.6648419254911802E-4</v>
      </c>
      <c r="HS76">
        <v>0.71536148921858</v>
      </c>
      <c r="HT76">
        <v>-999</v>
      </c>
      <c r="HU76">
        <v>1</v>
      </c>
      <c r="HV76">
        <v>0.81056096268578703</v>
      </c>
      <c r="HW76">
        <v>0.18943903731421199</v>
      </c>
      <c r="HX76">
        <v>12540.1646529181</v>
      </c>
      <c r="HY76">
        <v>399.45941319796799</v>
      </c>
      <c r="HZ76">
        <v>40.261229725017401</v>
      </c>
      <c r="IA76">
        <v>-0.13600087050981099</v>
      </c>
      <c r="IB76">
        <v>0</v>
      </c>
      <c r="IC76">
        <v>0</v>
      </c>
      <c r="ID76">
        <v>0</v>
      </c>
      <c r="IE76">
        <v>0</v>
      </c>
      <c r="IF76">
        <v>0</v>
      </c>
      <c r="IG76">
        <v>0</v>
      </c>
      <c r="IH76">
        <v>0</v>
      </c>
      <c r="II76">
        <v>46.337800049999601</v>
      </c>
      <c r="IJ76">
        <v>463.37800049999902</v>
      </c>
      <c r="IK76">
        <v>1.0879657199679E-2</v>
      </c>
      <c r="IL76">
        <v>2.3894562770507E-3</v>
      </c>
      <c r="IM76">
        <v>1.32691134767297E-2</v>
      </c>
      <c r="IN76">
        <v>8.5330354705924396E-4</v>
      </c>
      <c r="IO76">
        <v>0.42575816375402797</v>
      </c>
      <c r="IP76">
        <v>1.9140360330108699E-2</v>
      </c>
      <c r="IQ76">
        <v>1.57368951534235E-3</v>
      </c>
      <c r="IR76">
        <v>0.29071179174802803</v>
      </c>
      <c r="IS76">
        <v>0.23258883370518399</v>
      </c>
      <c r="IT76">
        <v>0.28289151338143298</v>
      </c>
      <c r="IU76">
        <v>0.301985245117743</v>
      </c>
      <c r="IV76">
        <v>1.4688526244231699E-2</v>
      </c>
      <c r="IW76">
        <v>1.1285061067546601E-3</v>
      </c>
      <c r="IX76">
        <v>7.49443528412614E-2</v>
      </c>
      <c r="IY76">
        <v>2.6955801656672802E-3</v>
      </c>
      <c r="IZ76">
        <v>2.69558016566726E-4</v>
      </c>
      <c r="JA76">
        <v>7.5014461974107993E-2</v>
      </c>
      <c r="JB76">
        <v>2.6981018338219699E-3</v>
      </c>
      <c r="JC76">
        <v>2.69810183382195E-4</v>
      </c>
      <c r="JD76">
        <v>1.8229603779424799E-4</v>
      </c>
      <c r="JE76">
        <v>3.28087493089979E-3</v>
      </c>
      <c r="JF76" s="159">
        <v>8.1315162936412796E-20</v>
      </c>
      <c r="JG76">
        <v>0</v>
      </c>
      <c r="JH76">
        <v>4.1175146013240002E-3</v>
      </c>
      <c r="JI76">
        <v>5.45012743077613E-4</v>
      </c>
      <c r="JJ76">
        <v>-0.51300057760166196</v>
      </c>
      <c r="JK76">
        <v>1.8229603779424799E-4</v>
      </c>
      <c r="JL76" s="159">
        <v>6.5753399999999896E-6</v>
      </c>
      <c r="JM76">
        <v>-0.51300057760166196</v>
      </c>
      <c r="JN76">
        <v>0</v>
      </c>
      <c r="JO76">
        <v>1.29820464406431</v>
      </c>
      <c r="JP76">
        <v>-1.6757134069203199E-2</v>
      </c>
      <c r="JQ76">
        <v>1.12612524866253E-3</v>
      </c>
      <c r="JR76">
        <v>1.98564283965687E-2</v>
      </c>
      <c r="JS76">
        <v>1589.1365200830601</v>
      </c>
      <c r="JT76">
        <v>4.3954474342182297E-2</v>
      </c>
      <c r="JU76">
        <v>0</v>
      </c>
      <c r="JV76">
        <v>365</v>
      </c>
      <c r="JW76">
        <v>0</v>
      </c>
      <c r="JX76">
        <v>-0.40268092994350901</v>
      </c>
      <c r="JY76">
        <v>0</v>
      </c>
      <c r="JZ76">
        <v>1.3286165011055999</v>
      </c>
      <c r="KA76">
        <v>1.4072339766834501</v>
      </c>
      <c r="KB76">
        <v>1.4404601576951701</v>
      </c>
      <c r="KC76">
        <v>0</v>
      </c>
      <c r="KD76">
        <v>0</v>
      </c>
      <c r="KE76">
        <v>0</v>
      </c>
      <c r="KF76">
        <v>3.5990135896506298E-3</v>
      </c>
      <c r="KG76">
        <v>2.2758788245974399E-2</v>
      </c>
      <c r="KH76">
        <v>3.7774447244744103E-2</v>
      </c>
      <c r="KI76">
        <v>0</v>
      </c>
      <c r="KJ76">
        <v>0</v>
      </c>
      <c r="KK76">
        <v>0</v>
      </c>
      <c r="KL76">
        <v>0</v>
      </c>
      <c r="KM76">
        <v>0</v>
      </c>
      <c r="KN76">
        <v>0</v>
      </c>
      <c r="KO76">
        <v>0</v>
      </c>
      <c r="KP76">
        <v>0</v>
      </c>
      <c r="KQ76">
        <v>0</v>
      </c>
      <c r="KR76">
        <v>0</v>
      </c>
      <c r="KS76">
        <v>0</v>
      </c>
      <c r="KT76">
        <v>0</v>
      </c>
      <c r="KU76">
        <v>0.34999999999999898</v>
      </c>
      <c r="KV76">
        <v>-0.113381240544732</v>
      </c>
      <c r="KW76">
        <v>1.8002588930541999E-3</v>
      </c>
      <c r="KX76">
        <v>34375.438097691498</v>
      </c>
      <c r="KY76">
        <v>0</v>
      </c>
      <c r="KZ76">
        <v>0.21050401888888901</v>
      </c>
      <c r="LA76">
        <v>1.73602675993533E-5</v>
      </c>
      <c r="LB76">
        <v>0</v>
      </c>
      <c r="LC76">
        <v>-12.1316594616736</v>
      </c>
      <c r="LD76">
        <v>1.5720683101050702E-2</v>
      </c>
      <c r="LE76">
        <v>3.4157387745761998E-3</v>
      </c>
      <c r="LF76">
        <v>1.5720683101050702E-2</v>
      </c>
      <c r="LG76">
        <v>0.953862388607845</v>
      </c>
      <c r="LH76">
        <v>1.2418890779634599</v>
      </c>
      <c r="LI76">
        <v>0</v>
      </c>
      <c r="LJ76">
        <v>0</v>
      </c>
      <c r="LK76">
        <v>0.24411182233619999</v>
      </c>
      <c r="LL76">
        <v>0</v>
      </c>
      <c r="LM76">
        <v>0</v>
      </c>
      <c r="LN76">
        <v>0</v>
      </c>
      <c r="LO76">
        <v>0</v>
      </c>
      <c r="LP76">
        <v>0</v>
      </c>
      <c r="LQ76">
        <v>0</v>
      </c>
      <c r="LR76">
        <v>0</v>
      </c>
      <c r="LS76">
        <v>0</v>
      </c>
      <c r="LT76">
        <v>-999</v>
      </c>
      <c r="LU76">
        <v>0.42569188313626299</v>
      </c>
      <c r="LV76">
        <v>75</v>
      </c>
      <c r="LW76">
        <v>293.04000000000002</v>
      </c>
      <c r="LX76">
        <v>2.738</v>
      </c>
      <c r="LY76">
        <v>0</v>
      </c>
      <c r="LZ76">
        <v>-999</v>
      </c>
      <c r="MA76">
        <v>0</v>
      </c>
      <c r="MB76">
        <v>0</v>
      </c>
      <c r="MC76">
        <v>693.03999999999905</v>
      </c>
      <c r="MD76">
        <v>-23.6999999999999</v>
      </c>
      <c r="ME76">
        <v>-33.6</v>
      </c>
      <c r="MF76">
        <v>0</v>
      </c>
      <c r="MG76">
        <v>8.0706896550000007</v>
      </c>
      <c r="MH76">
        <v>0</v>
      </c>
      <c r="MI76">
        <v>0</v>
      </c>
      <c r="MJ76">
        <v>0</v>
      </c>
      <c r="MK76">
        <v>0</v>
      </c>
      <c r="ML76">
        <v>0</v>
      </c>
      <c r="MM76">
        <v>0</v>
      </c>
      <c r="MN76">
        <v>0</v>
      </c>
      <c r="MO76">
        <v>0</v>
      </c>
      <c r="MP76">
        <v>0</v>
      </c>
      <c r="MQ76">
        <v>0</v>
      </c>
      <c r="MR76">
        <v>0</v>
      </c>
      <c r="MS76">
        <v>0</v>
      </c>
      <c r="MT76">
        <v>0</v>
      </c>
      <c r="MU76">
        <v>0</v>
      </c>
      <c r="MV76">
        <v>0</v>
      </c>
    </row>
    <row r="77" spans="1:360" x14ac:dyDescent="0.25">
      <c r="A77">
        <v>27740</v>
      </c>
      <c r="B77">
        <v>0</v>
      </c>
      <c r="C77">
        <v>-33.6</v>
      </c>
      <c r="D77">
        <v>-23.6999999999999</v>
      </c>
      <c r="E77">
        <v>400</v>
      </c>
      <c r="F77">
        <v>0</v>
      </c>
      <c r="G77">
        <v>0</v>
      </c>
      <c r="H77">
        <v>0</v>
      </c>
      <c r="I77">
        <v>0</v>
      </c>
      <c r="J77">
        <v>0</v>
      </c>
      <c r="K77">
        <v>0</v>
      </c>
      <c r="L77" s="159">
        <v>6.5753399999999896E-6</v>
      </c>
      <c r="M77">
        <v>0</v>
      </c>
      <c r="N77">
        <v>0</v>
      </c>
      <c r="O77">
        <v>0</v>
      </c>
      <c r="P77">
        <v>0</v>
      </c>
      <c r="Q77">
        <v>0</v>
      </c>
      <c r="R77">
        <v>0</v>
      </c>
      <c r="S77">
        <v>0</v>
      </c>
      <c r="T77">
        <v>0</v>
      </c>
      <c r="U77">
        <v>721.00586596962398</v>
      </c>
      <c r="V77">
        <v>14.2482814012864</v>
      </c>
      <c r="W77">
        <v>1.3788354764444399</v>
      </c>
      <c r="X77">
        <v>0.29251358651619402</v>
      </c>
      <c r="Y77">
        <v>0.26885538196743902</v>
      </c>
      <c r="Z77">
        <v>0.43863103151636601</v>
      </c>
      <c r="AA77">
        <v>0.112491364397314</v>
      </c>
      <c r="AB77">
        <v>0.53385843510783804</v>
      </c>
      <c r="AC77">
        <v>0.35365020049484702</v>
      </c>
      <c r="AD77">
        <v>0.884531316269621</v>
      </c>
      <c r="AE77">
        <v>3.89616394731137E-2</v>
      </c>
      <c r="AF77">
        <v>7.6507044257264498E-2</v>
      </c>
      <c r="AG77">
        <v>0</v>
      </c>
      <c r="AH77">
        <v>3435.1394052761402</v>
      </c>
      <c r="AI77">
        <v>79.138283776476996</v>
      </c>
      <c r="AJ77">
        <v>8.1387750640463405</v>
      </c>
      <c r="AK77">
        <v>414.82512675362102</v>
      </c>
      <c r="AL77">
        <v>7.7027456863613297</v>
      </c>
      <c r="AM77">
        <v>0.86408564372386698</v>
      </c>
      <c r="AN77">
        <v>8690.8650676639809</v>
      </c>
      <c r="AO77">
        <v>312.59091059877301</v>
      </c>
      <c r="AP77">
        <v>31.2590910598771</v>
      </c>
      <c r="AQ77">
        <v>3.0523686133670899E-2</v>
      </c>
      <c r="AR77">
        <v>6.3577427815859396E-3</v>
      </c>
      <c r="AS77">
        <v>1.8936073495092898E-2</v>
      </c>
      <c r="AT77">
        <v>9.48</v>
      </c>
      <c r="AU77">
        <v>5.9721452083479996</v>
      </c>
      <c r="AV77">
        <v>0</v>
      </c>
      <c r="AW77">
        <v>85.453230633760697</v>
      </c>
      <c r="AX77">
        <v>66.680923982386503</v>
      </c>
      <c r="AY77">
        <v>361.44039551523798</v>
      </c>
      <c r="AZ77">
        <v>0.54833294000258204</v>
      </c>
      <c r="BA77">
        <v>0.85199101653482201</v>
      </c>
      <c r="BB77">
        <v>1.4197267726091201E-2</v>
      </c>
      <c r="BC77">
        <v>1.18928740133746E-3</v>
      </c>
      <c r="BD77">
        <v>0.60118395081631903</v>
      </c>
      <c r="BE77">
        <v>9.3314092246931605E-3</v>
      </c>
      <c r="BF77">
        <v>7.5924548070300699E-4</v>
      </c>
      <c r="BG77">
        <v>766.29999847710098</v>
      </c>
      <c r="BH77">
        <v>-1626.59999865293</v>
      </c>
      <c r="BI77">
        <v>433.65464714901401</v>
      </c>
      <c r="BJ77">
        <v>212.88327145909099</v>
      </c>
      <c r="BK77">
        <v>3.5946371266519099</v>
      </c>
      <c r="BL77">
        <v>4.8114239190877504</v>
      </c>
      <c r="BM77">
        <v>194.60961251383799</v>
      </c>
      <c r="BN77">
        <v>22.446462364978299</v>
      </c>
      <c r="BO77">
        <v>217.05607487881699</v>
      </c>
      <c r="BP77">
        <v>3.5216679023992699</v>
      </c>
      <c r="BQ77">
        <v>0.29674515446859201</v>
      </c>
      <c r="BR77">
        <v>209.28863433243899</v>
      </c>
      <c r="BS77">
        <v>2.2052121781892802</v>
      </c>
      <c r="BT77">
        <v>0.296023111838777</v>
      </c>
      <c r="BU77">
        <v>3.5323037337972298</v>
      </c>
      <c r="BV77">
        <v>1.73329702762496</v>
      </c>
      <c r="BW77">
        <v>0.498621863175568</v>
      </c>
      <c r="BX77">
        <v>1.30038484299669</v>
      </c>
      <c r="BY77">
        <v>0</v>
      </c>
      <c r="BZ77">
        <v>3.1048672314538899</v>
      </c>
      <c r="CA77">
        <v>0.41680067094537099</v>
      </c>
      <c r="CB77">
        <v>0.29777766926590499</v>
      </c>
      <c r="CC77">
        <v>0.24998890796598799</v>
      </c>
      <c r="CD77">
        <v>4.6756246502603398E-2</v>
      </c>
      <c r="CE77">
        <v>22.165361763906901</v>
      </c>
      <c r="CF77">
        <v>166.826394336421</v>
      </c>
      <c r="CG77">
        <v>42.211119502270101</v>
      </c>
      <c r="CH77">
        <v>0.41158101017100901</v>
      </c>
      <c r="CI77">
        <v>7.3453269549235101</v>
      </c>
      <c r="CJ77">
        <v>1.74454493364624</v>
      </c>
      <c r="CK77">
        <v>9.7678125968791107</v>
      </c>
      <c r="CL77">
        <v>1.5182392293377101</v>
      </c>
      <c r="CM77">
        <v>0.102288518202945</v>
      </c>
      <c r="CN77">
        <v>4.6170710626970701E-2</v>
      </c>
      <c r="CO77">
        <v>0.55114959164194</v>
      </c>
      <c r="CP77">
        <v>0.69444555649272899</v>
      </c>
      <c r="CQ77">
        <v>0.15182392293377001</v>
      </c>
      <c r="CR77">
        <v>42.462239996018099</v>
      </c>
      <c r="CS77">
        <v>1.5272714698798999</v>
      </c>
      <c r="CT77">
        <v>0.15272714698798801</v>
      </c>
      <c r="CU77">
        <v>1.46999999999964E-2</v>
      </c>
      <c r="CV77">
        <v>2.1479217644276099E-3</v>
      </c>
      <c r="CW77">
        <v>2.2289998691342401</v>
      </c>
      <c r="CX77">
        <v>2.0299999999994999E-2</v>
      </c>
      <c r="CY77">
        <v>6.1288167312391799E-3</v>
      </c>
      <c r="CZ77">
        <v>0</v>
      </c>
      <c r="DA77">
        <v>2.3999991000028102E-3</v>
      </c>
      <c r="DB77">
        <v>1.4931102676920599E-3</v>
      </c>
      <c r="DC77">
        <v>1.99999999999951E-3</v>
      </c>
      <c r="DD77">
        <v>3.2675318167367999E-3</v>
      </c>
      <c r="DE77">
        <v>9.25350839375639E-4</v>
      </c>
      <c r="DF77">
        <v>2.39999909999996E-3</v>
      </c>
      <c r="DG77">
        <v>0</v>
      </c>
      <c r="DH77">
        <v>0</v>
      </c>
      <c r="DI77">
        <v>0.231807693999943</v>
      </c>
      <c r="DJ77">
        <v>1.8846155199995301E-2</v>
      </c>
      <c r="DK77">
        <v>2.5228775457080599</v>
      </c>
      <c r="DL77">
        <v>0.164678690973111</v>
      </c>
      <c r="DM77">
        <v>60.894240224413501</v>
      </c>
      <c r="DN77">
        <v>237.452124997265</v>
      </c>
      <c r="DO77">
        <v>327.66000000000003</v>
      </c>
      <c r="DP77">
        <v>29.293981349562301</v>
      </c>
      <c r="DQ77">
        <v>157.94999999999899</v>
      </c>
      <c r="DR77">
        <v>169.71</v>
      </c>
      <c r="DS77">
        <v>156.63003572791601</v>
      </c>
      <c r="DT77">
        <v>0</v>
      </c>
      <c r="DU77">
        <v>0</v>
      </c>
      <c r="DV77">
        <v>0</v>
      </c>
      <c r="DW77">
        <v>0</v>
      </c>
      <c r="DX77">
        <v>0</v>
      </c>
      <c r="DY77">
        <v>0</v>
      </c>
      <c r="DZ77">
        <v>0</v>
      </c>
      <c r="EA77">
        <v>0</v>
      </c>
      <c r="EB77">
        <v>0</v>
      </c>
      <c r="EC77">
        <v>0</v>
      </c>
      <c r="ED77">
        <v>0</v>
      </c>
      <c r="EE77">
        <v>0</v>
      </c>
      <c r="EF77">
        <v>1.25239769713384</v>
      </c>
      <c r="EG77">
        <v>0</v>
      </c>
      <c r="EH77">
        <v>0</v>
      </c>
      <c r="EI77">
        <v>0</v>
      </c>
      <c r="EJ77">
        <v>0</v>
      </c>
      <c r="EK77">
        <v>0</v>
      </c>
      <c r="EL77">
        <v>0</v>
      </c>
      <c r="EM77">
        <v>0</v>
      </c>
      <c r="EN77">
        <v>0</v>
      </c>
      <c r="EO77">
        <v>0</v>
      </c>
      <c r="EP77">
        <v>0</v>
      </c>
      <c r="EQ77">
        <v>0</v>
      </c>
      <c r="ER77">
        <v>0</v>
      </c>
      <c r="ES77">
        <v>0</v>
      </c>
      <c r="ET77">
        <v>0</v>
      </c>
      <c r="EU77">
        <v>0</v>
      </c>
      <c r="EV77">
        <v>838.17188957793599</v>
      </c>
      <c r="EW77">
        <v>-28.649999999999899</v>
      </c>
      <c r="EX77">
        <v>1517.9070862518399</v>
      </c>
      <c r="EY77">
        <v>848.58173917457304</v>
      </c>
      <c r="EZ77">
        <v>87.973461205969897</v>
      </c>
      <c r="FA77">
        <v>688.14370091709498</v>
      </c>
      <c r="FB77">
        <v>741.78991699218705</v>
      </c>
      <c r="FC77">
        <v>0.379429538181348</v>
      </c>
      <c r="FD77">
        <v>0.69196925900450401</v>
      </c>
      <c r="FE77">
        <v>0</v>
      </c>
      <c r="FF77">
        <v>1</v>
      </c>
      <c r="FG77" s="159">
        <v>5.9034385760673998E-13</v>
      </c>
      <c r="FH77">
        <v>0</v>
      </c>
      <c r="FI77">
        <v>5.4512674794765098E-5</v>
      </c>
      <c r="FJ77">
        <v>-4.9838567314386597E-3</v>
      </c>
      <c r="FK77" s="159">
        <v>6.57534000000779E-6</v>
      </c>
      <c r="FL77" s="159">
        <v>2.27614021272181E-6</v>
      </c>
      <c r="FM77" s="159">
        <v>4.09052148749918E-6</v>
      </c>
      <c r="FN77">
        <v>0</v>
      </c>
      <c r="FO77">
        <v>0</v>
      </c>
      <c r="FP77">
        <v>0</v>
      </c>
      <c r="FQ77">
        <v>0</v>
      </c>
      <c r="FR77">
        <v>0</v>
      </c>
      <c r="FS77">
        <v>0</v>
      </c>
      <c r="FT77">
        <v>0</v>
      </c>
      <c r="FU77">
        <v>0</v>
      </c>
      <c r="FV77">
        <v>-999</v>
      </c>
      <c r="FW77">
        <v>0.49215196843553299</v>
      </c>
      <c r="FX77">
        <v>3.2423079871156399E-3</v>
      </c>
      <c r="FY77">
        <v>1.23529378422785</v>
      </c>
      <c r="FZ77">
        <v>8.9095698639854698E-4</v>
      </c>
      <c r="GA77">
        <v>41.562748332427603</v>
      </c>
      <c r="GB77">
        <v>1.0715303803520501E-2</v>
      </c>
      <c r="GC77">
        <v>2.8960280550055502E-3</v>
      </c>
      <c r="GD77">
        <v>0</v>
      </c>
      <c r="GE77">
        <v>7.0292930285197402E-3</v>
      </c>
      <c r="GF77">
        <v>0.36615543460675198</v>
      </c>
      <c r="GG77">
        <v>5.6110065100213895E-4</v>
      </c>
      <c r="GH77">
        <v>9.3867941788648105E-3</v>
      </c>
      <c r="GI77">
        <v>1.84379056311012E-2</v>
      </c>
      <c r="GJ77">
        <v>9.0837936586039099E-4</v>
      </c>
      <c r="GK77">
        <v>1.76328326922618E-3</v>
      </c>
      <c r="GL77">
        <v>0.40780850549418601</v>
      </c>
      <c r="GM77">
        <v>6.8217637156462504E-3</v>
      </c>
      <c r="GN77">
        <v>5.65276730733932E-4</v>
      </c>
      <c r="GO77">
        <v>0</v>
      </c>
      <c r="GP77">
        <v>0</v>
      </c>
      <c r="GQ77">
        <v>0</v>
      </c>
      <c r="GR77">
        <v>6.1911110958586001E-2</v>
      </c>
      <c r="GS77">
        <v>1.14960621263745E-3</v>
      </c>
      <c r="GT77">
        <v>1.28961576134425E-4</v>
      </c>
      <c r="GU77">
        <v>3.9151784272483697E-2</v>
      </c>
      <c r="GV77">
        <v>7.2699607128027199E-4</v>
      </c>
      <c r="GW77">
        <v>8.1553629551760898E-5</v>
      </c>
      <c r="GX77">
        <v>0.12555103962241801</v>
      </c>
      <c r="GY77">
        <v>0.13611013345887199</v>
      </c>
      <c r="GZ77">
        <v>58.925833411159502</v>
      </c>
      <c r="HA77">
        <v>676.59708749237996</v>
      </c>
      <c r="HB77">
        <v>0</v>
      </c>
      <c r="HC77">
        <v>0.99981307203700498</v>
      </c>
      <c r="HD77">
        <v>0.43026536439677998</v>
      </c>
      <c r="HE77">
        <v>1.11719789875739E-2</v>
      </c>
      <c r="HF77">
        <v>9.6724387160040102E-4</v>
      </c>
      <c r="HG77">
        <v>1.33902789306601E-2</v>
      </c>
      <c r="HH77" s="159">
        <v>4.7618779878109999E-7</v>
      </c>
      <c r="HI77" s="159">
        <v>3.3333254189361498E-7</v>
      </c>
      <c r="HJ77">
        <v>0</v>
      </c>
      <c r="HK77">
        <v>0</v>
      </c>
      <c r="HL77">
        <v>0</v>
      </c>
      <c r="HM77">
        <v>0</v>
      </c>
      <c r="HN77">
        <v>0</v>
      </c>
      <c r="HO77">
        <v>1.1844165103099E-2</v>
      </c>
      <c r="HP77">
        <v>0.566375497855652</v>
      </c>
      <c r="HQ77">
        <v>1.11719789875739E-2</v>
      </c>
      <c r="HR77">
        <v>9.6724387160040102E-4</v>
      </c>
      <c r="HS77">
        <v>0.71519408716621102</v>
      </c>
      <c r="HT77">
        <v>-999</v>
      </c>
      <c r="HU77">
        <v>1</v>
      </c>
      <c r="HV77">
        <v>0.81093390200272397</v>
      </c>
      <c r="HW77">
        <v>0.189066097997275</v>
      </c>
      <c r="HX77">
        <v>12540.829599693699</v>
      </c>
      <c r="HY77">
        <v>399.43194006161201</v>
      </c>
      <c r="HZ77">
        <v>40.261951767647297</v>
      </c>
      <c r="IA77">
        <v>-0.13611013345887199</v>
      </c>
      <c r="IB77">
        <v>0</v>
      </c>
      <c r="IC77">
        <v>0</v>
      </c>
      <c r="ID77">
        <v>0</v>
      </c>
      <c r="IE77">
        <v>0</v>
      </c>
      <c r="IF77">
        <v>0</v>
      </c>
      <c r="IG77">
        <v>0</v>
      </c>
      <c r="IH77">
        <v>0</v>
      </c>
      <c r="II77">
        <v>46.337800049999601</v>
      </c>
      <c r="IJ77">
        <v>463.37800049999902</v>
      </c>
      <c r="IK77">
        <v>1.0891270440501999E-2</v>
      </c>
      <c r="IL77">
        <v>2.3925378783747099E-3</v>
      </c>
      <c r="IM77">
        <v>1.32838083188767E-2</v>
      </c>
      <c r="IN77">
        <v>8.5110133648048805E-4</v>
      </c>
      <c r="IO77">
        <v>0.42583781718029601</v>
      </c>
      <c r="IP77">
        <v>1.9153647120138301E-2</v>
      </c>
      <c r="IQ77">
        <v>1.57158093611778E-3</v>
      </c>
      <c r="IR77">
        <v>0.29062033705048201</v>
      </c>
      <c r="IS77">
        <v>0.23239783914925299</v>
      </c>
      <c r="IT77">
        <v>0.28323493243327502</v>
      </c>
      <c r="IU77">
        <v>0.30208068722251602</v>
      </c>
      <c r="IV77">
        <v>1.4702380917590799E-2</v>
      </c>
      <c r="IW77">
        <v>1.12645431586303E-3</v>
      </c>
      <c r="IX77">
        <v>7.4945544041142703E-2</v>
      </c>
      <c r="IY77">
        <v>2.69562301045347E-3</v>
      </c>
      <c r="IZ77">
        <v>2.69562301045345E-4</v>
      </c>
      <c r="JA77">
        <v>7.5012460062709396E-2</v>
      </c>
      <c r="JB77">
        <v>2.6980298295620798E-3</v>
      </c>
      <c r="JC77">
        <v>2.6980298295620599E-4</v>
      </c>
      <c r="JD77">
        <v>1.8257579322059601E-4</v>
      </c>
      <c r="JE77">
        <v>3.2821852706782298E-3</v>
      </c>
      <c r="JF77" s="159">
        <v>1.5517643593698699E-18</v>
      </c>
      <c r="JG77">
        <v>0</v>
      </c>
      <c r="JH77">
        <v>4.1166024282761997E-3</v>
      </c>
      <c r="JI77">
        <v>5.4515596233875596E-4</v>
      </c>
      <c r="JJ77">
        <v>-0.51320328074409804</v>
      </c>
      <c r="JK77">
        <v>1.8257579322059601E-4</v>
      </c>
      <c r="JL77" s="159">
        <v>6.5753399999999896E-6</v>
      </c>
      <c r="JM77">
        <v>-0.51320328074409804</v>
      </c>
      <c r="JN77">
        <v>0</v>
      </c>
      <c r="JO77">
        <v>1.30356727494369</v>
      </c>
      <c r="JP77">
        <v>-1.6820756065845498E-2</v>
      </c>
      <c r="JQ77">
        <v>1.1324672832626699E-3</v>
      </c>
      <c r="JR77">
        <v>1.9653428758573399E-2</v>
      </c>
      <c r="JS77">
        <v>1590.3716633025599</v>
      </c>
      <c r="JT77">
        <v>4.3888263944700301E-2</v>
      </c>
      <c r="JU77">
        <v>0</v>
      </c>
      <c r="JV77">
        <v>365</v>
      </c>
      <c r="JW77">
        <v>0</v>
      </c>
      <c r="JX77">
        <v>-0.40268092994350901</v>
      </c>
      <c r="JY77">
        <v>0</v>
      </c>
      <c r="JZ77">
        <v>1.3288635381284899</v>
      </c>
      <c r="KA77">
        <v>1.4073311557362</v>
      </c>
      <c r="KB77">
        <v>1.44073000480728</v>
      </c>
      <c r="KC77">
        <v>0</v>
      </c>
      <c r="KD77">
        <v>0</v>
      </c>
      <c r="KE77">
        <v>0</v>
      </c>
      <c r="KF77">
        <v>3.6000485565531801E-3</v>
      </c>
      <c r="KG77">
        <v>2.2769994382616499E-2</v>
      </c>
      <c r="KH77">
        <v>3.7744819505101702E-2</v>
      </c>
      <c r="KI77">
        <v>0</v>
      </c>
      <c r="KJ77">
        <v>0</v>
      </c>
      <c r="KK77">
        <v>0</v>
      </c>
      <c r="KL77">
        <v>0</v>
      </c>
      <c r="KM77">
        <v>0</v>
      </c>
      <c r="KN77">
        <v>0</v>
      </c>
      <c r="KO77">
        <v>0</v>
      </c>
      <c r="KP77">
        <v>0</v>
      </c>
      <c r="KQ77">
        <v>0</v>
      </c>
      <c r="KR77">
        <v>0</v>
      </c>
      <c r="KS77">
        <v>0</v>
      </c>
      <c r="KT77">
        <v>0</v>
      </c>
      <c r="KU77">
        <v>0.34999999999999898</v>
      </c>
      <c r="KV77">
        <v>-0.11332528302079101</v>
      </c>
      <c r="KW77">
        <v>1.7994281666341299E-3</v>
      </c>
      <c r="KX77">
        <v>34407.185045854698</v>
      </c>
      <c r="KY77">
        <v>0</v>
      </c>
      <c r="KZ77">
        <v>0.21051068256119601</v>
      </c>
      <c r="LA77">
        <v>1.73602675993533E-5</v>
      </c>
      <c r="LB77">
        <v>0</v>
      </c>
      <c r="LC77">
        <v>-12.131337349950901</v>
      </c>
      <c r="LD77">
        <v>1.5720864871711499E-2</v>
      </c>
      <c r="LE77">
        <v>3.4159102563316602E-3</v>
      </c>
      <c r="LF77">
        <v>1.5720864871711499E-2</v>
      </c>
      <c r="LG77">
        <v>0.95400529959640301</v>
      </c>
      <c r="LH77">
        <v>1.24205147681409</v>
      </c>
      <c r="LI77">
        <v>0</v>
      </c>
      <c r="LJ77">
        <v>0</v>
      </c>
      <c r="LK77">
        <v>0.24415208752503001</v>
      </c>
      <c r="LL77">
        <v>0</v>
      </c>
      <c r="LM77">
        <v>0</v>
      </c>
      <c r="LN77">
        <v>0</v>
      </c>
      <c r="LO77">
        <v>0</v>
      </c>
      <c r="LP77">
        <v>0</v>
      </c>
      <c r="LQ77">
        <v>0</v>
      </c>
      <c r="LR77">
        <v>0</v>
      </c>
      <c r="LS77">
        <v>0</v>
      </c>
      <c r="LT77">
        <v>-999</v>
      </c>
      <c r="LU77">
        <v>0.42569282263259001</v>
      </c>
      <c r="LV77">
        <v>76</v>
      </c>
      <c r="LW77">
        <v>297</v>
      </c>
      <c r="LX77">
        <v>2.7749999999999901</v>
      </c>
      <c r="LY77">
        <v>0</v>
      </c>
      <c r="LZ77">
        <v>-999</v>
      </c>
      <c r="MA77">
        <v>0</v>
      </c>
      <c r="MB77">
        <v>0</v>
      </c>
      <c r="MC77">
        <v>697</v>
      </c>
      <c r="MD77">
        <v>-23.6999999999999</v>
      </c>
      <c r="ME77">
        <v>-33.6</v>
      </c>
      <c r="MF77">
        <v>0</v>
      </c>
      <c r="MG77">
        <v>8.0706896550000007</v>
      </c>
      <c r="MH77">
        <v>0</v>
      </c>
      <c r="MI77">
        <v>0</v>
      </c>
      <c r="MJ77">
        <v>0</v>
      </c>
      <c r="MK77">
        <v>0</v>
      </c>
      <c r="ML77">
        <v>0</v>
      </c>
      <c r="MM77">
        <v>0</v>
      </c>
      <c r="MN77">
        <v>0</v>
      </c>
      <c r="MO77">
        <v>0</v>
      </c>
      <c r="MP77">
        <v>0</v>
      </c>
      <c r="MQ77">
        <v>0</v>
      </c>
      <c r="MR77">
        <v>0</v>
      </c>
      <c r="MS77">
        <v>0</v>
      </c>
      <c r="MT77">
        <v>0</v>
      </c>
      <c r="MU77">
        <v>0</v>
      </c>
      <c r="MV77">
        <v>0</v>
      </c>
    </row>
    <row r="78" spans="1:360" x14ac:dyDescent="0.25">
      <c r="A78">
        <v>28105</v>
      </c>
      <c r="B78">
        <v>0</v>
      </c>
      <c r="C78">
        <v>-33.6</v>
      </c>
      <c r="D78">
        <v>-23.6999999999999</v>
      </c>
      <c r="E78">
        <v>400</v>
      </c>
      <c r="F78">
        <v>0</v>
      </c>
      <c r="G78">
        <v>0</v>
      </c>
      <c r="H78">
        <v>0</v>
      </c>
      <c r="I78">
        <v>0</v>
      </c>
      <c r="J78">
        <v>0</v>
      </c>
      <c r="K78">
        <v>0</v>
      </c>
      <c r="L78" s="159">
        <v>6.5753399999999896E-6</v>
      </c>
      <c r="M78">
        <v>0</v>
      </c>
      <c r="N78">
        <v>0</v>
      </c>
      <c r="O78">
        <v>0</v>
      </c>
      <c r="P78">
        <v>0</v>
      </c>
      <c r="Q78">
        <v>0</v>
      </c>
      <c r="R78">
        <v>0</v>
      </c>
      <c r="S78">
        <v>0</v>
      </c>
      <c r="T78">
        <v>0</v>
      </c>
      <c r="U78">
        <v>721.645933388142</v>
      </c>
      <c r="V78">
        <v>14.258990184976399</v>
      </c>
      <c r="W78">
        <v>1.3798710121019699</v>
      </c>
      <c r="X78">
        <v>0.29159551621983099</v>
      </c>
      <c r="Y78">
        <v>0.26867914000031501</v>
      </c>
      <c r="Z78">
        <v>0.43972534377985301</v>
      </c>
      <c r="AA78">
        <v>0.112497121591216</v>
      </c>
      <c r="AB78">
        <v>0.53461814408684605</v>
      </c>
      <c r="AC78">
        <v>0.35288473432193601</v>
      </c>
      <c r="AD78">
        <v>0.884526714223421</v>
      </c>
      <c r="AE78">
        <v>3.8864762296789597E-2</v>
      </c>
      <c r="AF78">
        <v>7.6608523479789095E-2</v>
      </c>
      <c r="AG78">
        <v>0</v>
      </c>
      <c r="AH78">
        <v>3435.77452344524</v>
      </c>
      <c r="AI78">
        <v>79.114451110078505</v>
      </c>
      <c r="AJ78">
        <v>8.1398168944177502</v>
      </c>
      <c r="AK78">
        <v>415.10403027330301</v>
      </c>
      <c r="AL78">
        <v>7.7079245502839502</v>
      </c>
      <c r="AM78">
        <v>0.86466660305298904</v>
      </c>
      <c r="AN78">
        <v>8690.6161682751299</v>
      </c>
      <c r="AO78">
        <v>312.58195824638898</v>
      </c>
      <c r="AP78">
        <v>31.258195824638701</v>
      </c>
      <c r="AQ78">
        <v>3.0535943087015901E-2</v>
      </c>
      <c r="AR78">
        <v>6.3619972205471902E-3</v>
      </c>
      <c r="AS78">
        <v>1.8882289023115201E-2</v>
      </c>
      <c r="AT78">
        <v>9.48</v>
      </c>
      <c r="AU78">
        <v>5.9715747012895504</v>
      </c>
      <c r="AV78">
        <v>0</v>
      </c>
      <c r="AW78">
        <v>85.467182516616205</v>
      </c>
      <c r="AX78">
        <v>66.686451271266506</v>
      </c>
      <c r="AY78">
        <v>361.43896950856799</v>
      </c>
      <c r="AZ78">
        <v>0.54833294000258204</v>
      </c>
      <c r="BA78">
        <v>0.85242448711838803</v>
      </c>
      <c r="BB78">
        <v>1.42027219922423E-2</v>
      </c>
      <c r="BC78">
        <v>1.18980703093276E-3</v>
      </c>
      <c r="BD78">
        <v>0.60134503129660399</v>
      </c>
      <c r="BE78">
        <v>9.3341405173702294E-3</v>
      </c>
      <c r="BF78">
        <v>7.5939873304276104E-4</v>
      </c>
      <c r="BG78">
        <v>766.29999847710098</v>
      </c>
      <c r="BH78">
        <v>-1626.59999865293</v>
      </c>
      <c r="BI78">
        <v>433.86721020592501</v>
      </c>
      <c r="BJ78">
        <v>212.95532791070701</v>
      </c>
      <c r="BK78">
        <v>3.5995296656249098</v>
      </c>
      <c r="BL78">
        <v>4.8171949924070496</v>
      </c>
      <c r="BM78">
        <v>194.672864966053</v>
      </c>
      <c r="BN78">
        <v>22.459590518544701</v>
      </c>
      <c r="BO78">
        <v>217.13245548459801</v>
      </c>
      <c r="BP78">
        <v>3.5230401162117202</v>
      </c>
      <c r="BQ78">
        <v>0.29687381158062098</v>
      </c>
      <c r="BR78">
        <v>209.35579824508099</v>
      </c>
      <c r="BS78">
        <v>2.2051044790343002</v>
      </c>
      <c r="BT78">
        <v>0.29614625711852899</v>
      </c>
      <c r="BU78">
        <v>3.5337488999017101</v>
      </c>
      <c r="BV78">
        <v>1.73421855627233</v>
      </c>
      <c r="BW78">
        <v>0.49758575108693298</v>
      </c>
      <c r="BX78">
        <v>1.30194459254244</v>
      </c>
      <c r="BY78">
        <v>0</v>
      </c>
      <c r="BZ78">
        <v>3.1059956730796299</v>
      </c>
      <c r="CA78">
        <v>0.41704444313208699</v>
      </c>
      <c r="CB78">
        <v>0.29790934723815699</v>
      </c>
      <c r="CC78">
        <v>0.25009021897891698</v>
      </c>
      <c r="CD78">
        <v>4.67835926017032E-2</v>
      </c>
      <c r="CE78">
        <v>22.1806869988622</v>
      </c>
      <c r="CF78">
        <v>166.894101282836</v>
      </c>
      <c r="CG78">
        <v>42.212797573392002</v>
      </c>
      <c r="CH78">
        <v>0.41186557920945799</v>
      </c>
      <c r="CI78">
        <v>7.3496955622722098</v>
      </c>
      <c r="CJ78">
        <v>1.7453857417118299</v>
      </c>
      <c r="CK78">
        <v>9.7729338448444505</v>
      </c>
      <c r="CL78">
        <v>1.5182995857896899</v>
      </c>
      <c r="CM78">
        <v>0.102448788985546</v>
      </c>
      <c r="CN78">
        <v>4.6202633272580999E-2</v>
      </c>
      <c r="CO78">
        <v>0.54956419380492205</v>
      </c>
      <c r="CP78">
        <v>0.69298525710606396</v>
      </c>
      <c r="CQ78">
        <v>0.151829958578968</v>
      </c>
      <c r="CR78">
        <v>42.461696962245298</v>
      </c>
      <c r="CS78">
        <v>1.5272519381738801</v>
      </c>
      <c r="CT78">
        <v>0.152725193817386</v>
      </c>
      <c r="CU78">
        <v>1.47000000000003E-2</v>
      </c>
      <c r="CV78">
        <v>2.1501472713169102E-3</v>
      </c>
      <c r="CW78">
        <v>2.2288092602491298</v>
      </c>
      <c r="CX78">
        <v>2.0300000000000401E-2</v>
      </c>
      <c r="CY78">
        <v>6.1335130114091602E-3</v>
      </c>
      <c r="CZ78">
        <v>0</v>
      </c>
      <c r="DA78">
        <v>2.3999991000029299E-3</v>
      </c>
      <c r="DB78">
        <v>1.4929679958584001E-3</v>
      </c>
      <c r="DC78">
        <v>2.0000000000000399E-3</v>
      </c>
      <c r="DD78">
        <v>3.2612005107847302E-3</v>
      </c>
      <c r="DE78">
        <v>9.2246093742486999E-4</v>
      </c>
      <c r="DF78">
        <v>2.3999991000000901E-3</v>
      </c>
      <c r="DG78">
        <v>0</v>
      </c>
      <c r="DH78">
        <v>0</v>
      </c>
      <c r="DI78">
        <v>0.231807694000005</v>
      </c>
      <c r="DJ78">
        <v>1.8846155200000402E-2</v>
      </c>
      <c r="DK78">
        <v>2.5261476411846</v>
      </c>
      <c r="DL78">
        <v>0.16489214368045599</v>
      </c>
      <c r="DM78">
        <v>60.584924502173301</v>
      </c>
      <c r="DN78">
        <v>237.783701930917</v>
      </c>
      <c r="DO78">
        <v>327.66000000000003</v>
      </c>
      <c r="DP78">
        <v>29.271898411276101</v>
      </c>
      <c r="DQ78">
        <v>157.94999999999899</v>
      </c>
      <c r="DR78">
        <v>169.71</v>
      </c>
      <c r="DS78">
        <v>156.644966966498</v>
      </c>
      <c r="DT78">
        <v>0</v>
      </c>
      <c r="DU78">
        <v>0</v>
      </c>
      <c r="DV78">
        <v>0</v>
      </c>
      <c r="DW78">
        <v>0</v>
      </c>
      <c r="DX78">
        <v>0</v>
      </c>
      <c r="DY78">
        <v>0</v>
      </c>
      <c r="DZ78">
        <v>0</v>
      </c>
      <c r="EA78">
        <v>0</v>
      </c>
      <c r="EB78">
        <v>0</v>
      </c>
      <c r="EC78">
        <v>0</v>
      </c>
      <c r="ED78">
        <v>0</v>
      </c>
      <c r="EE78">
        <v>0</v>
      </c>
      <c r="EF78">
        <v>1.2518303014565599</v>
      </c>
      <c r="EG78">
        <v>0</v>
      </c>
      <c r="EH78">
        <v>0</v>
      </c>
      <c r="EI78">
        <v>0</v>
      </c>
      <c r="EJ78">
        <v>0</v>
      </c>
      <c r="EK78">
        <v>0</v>
      </c>
      <c r="EL78">
        <v>0</v>
      </c>
      <c r="EM78">
        <v>0</v>
      </c>
      <c r="EN78">
        <v>0</v>
      </c>
      <c r="EO78">
        <v>0</v>
      </c>
      <c r="EP78">
        <v>0</v>
      </c>
      <c r="EQ78">
        <v>0</v>
      </c>
      <c r="ER78">
        <v>0</v>
      </c>
      <c r="ES78">
        <v>0</v>
      </c>
      <c r="ET78">
        <v>0</v>
      </c>
      <c r="EU78">
        <v>0</v>
      </c>
      <c r="EV78">
        <v>838.84856427458794</v>
      </c>
      <c r="EW78">
        <v>-28.649999999999899</v>
      </c>
      <c r="EX78">
        <v>1519.25459660661</v>
      </c>
      <c r="EY78">
        <v>848.97568866570703</v>
      </c>
      <c r="EZ78">
        <v>87.841971975881606</v>
      </c>
      <c r="FA78">
        <v>688.77744856824302</v>
      </c>
      <c r="FB78">
        <v>742.63519287109295</v>
      </c>
      <c r="FC78">
        <v>0.37886242513197699</v>
      </c>
      <c r="FD78">
        <v>0.69093500954035902</v>
      </c>
      <c r="FE78">
        <v>0</v>
      </c>
      <c r="FF78">
        <v>1</v>
      </c>
      <c r="FG78" s="159">
        <v>5.9034385760673998E-13</v>
      </c>
      <c r="FH78">
        <v>0</v>
      </c>
      <c r="FI78">
        <v>5.4512674794765098E-5</v>
      </c>
      <c r="FJ78">
        <v>-4.9769255809048799E-3</v>
      </c>
      <c r="FK78" s="159">
        <v>6.57534000000779E-6</v>
      </c>
      <c r="FL78" s="159">
        <v>2.2696412970941198E-6</v>
      </c>
      <c r="FM78" s="159">
        <v>4.0901307281823998E-6</v>
      </c>
      <c r="FN78">
        <v>0</v>
      </c>
      <c r="FO78">
        <v>0</v>
      </c>
      <c r="FP78">
        <v>0</v>
      </c>
      <c r="FQ78">
        <v>0</v>
      </c>
      <c r="FR78">
        <v>0</v>
      </c>
      <c r="FS78">
        <v>0</v>
      </c>
      <c r="FT78">
        <v>0</v>
      </c>
      <c r="FU78">
        <v>0</v>
      </c>
      <c r="FV78">
        <v>-999</v>
      </c>
      <c r="FW78">
        <v>0.49234816462018799</v>
      </c>
      <c r="FX78">
        <v>3.2431196987835302E-3</v>
      </c>
      <c r="FY78">
        <v>1.2360759639044201</v>
      </c>
      <c r="FZ78">
        <v>8.8916189044234602E-4</v>
      </c>
      <c r="GA78">
        <v>41.535769362658101</v>
      </c>
      <c r="GB78">
        <v>1.07210651067088E-2</v>
      </c>
      <c r="GC78">
        <v>2.89758516397537E-3</v>
      </c>
      <c r="GD78">
        <v>0</v>
      </c>
      <c r="GE78">
        <v>7.0298667532012497E-3</v>
      </c>
      <c r="GF78">
        <v>0.36510997472566498</v>
      </c>
      <c r="GG78">
        <v>5.61180381102013E-4</v>
      </c>
      <c r="GH78">
        <v>9.3855172245817502E-3</v>
      </c>
      <c r="GI78">
        <v>1.8435862520863201E-2</v>
      </c>
      <c r="GJ78">
        <v>9.08255282020563E-4</v>
      </c>
      <c r="GK78">
        <v>1.7631386643162899E-3</v>
      </c>
      <c r="GL78">
        <v>0.40814555895486998</v>
      </c>
      <c r="GM78">
        <v>6.8272705548771302E-3</v>
      </c>
      <c r="GN78">
        <v>5.6572963672423102E-4</v>
      </c>
      <c r="GO78">
        <v>0</v>
      </c>
      <c r="GP78">
        <v>0</v>
      </c>
      <c r="GQ78">
        <v>0</v>
      </c>
      <c r="GR78">
        <v>6.1946375032577099E-2</v>
      </c>
      <c r="GS78">
        <v>1.1502610191482E-3</v>
      </c>
      <c r="GT78">
        <v>1.29035031617495E-4</v>
      </c>
      <c r="GU78">
        <v>3.9178193150343703E-2</v>
      </c>
      <c r="GV78">
        <v>7.27486448687275E-4</v>
      </c>
      <c r="GW78">
        <v>8.1608639556589405E-5</v>
      </c>
      <c r="GX78">
        <v>0.12565973890389701</v>
      </c>
      <c r="GY78">
        <v>0.13621973436575199</v>
      </c>
      <c r="GZ78">
        <v>58.926991341288598</v>
      </c>
      <c r="HA78">
        <v>676.62038012017604</v>
      </c>
      <c r="HB78">
        <v>0</v>
      </c>
      <c r="HC78">
        <v>0.99981307261940799</v>
      </c>
      <c r="HD78">
        <v>0.43059781565317801</v>
      </c>
      <c r="HE78">
        <v>1.11807556594471E-2</v>
      </c>
      <c r="HF78">
        <v>9.6800364626251198E-4</v>
      </c>
      <c r="HG78">
        <v>1.3402867583060699E-2</v>
      </c>
      <c r="HH78" s="159">
        <v>4.7618780184663103E-7</v>
      </c>
      <c r="HI78" s="159">
        <v>3.3333254178941902E-7</v>
      </c>
      <c r="HJ78">
        <v>0</v>
      </c>
      <c r="HK78">
        <v>0</v>
      </c>
      <c r="HL78">
        <v>0</v>
      </c>
      <c r="HM78">
        <v>0</v>
      </c>
      <c r="HN78">
        <v>0</v>
      </c>
      <c r="HO78">
        <v>1.1855238467455899E-2</v>
      </c>
      <c r="HP78">
        <v>0.56681755001892997</v>
      </c>
      <c r="HQ78">
        <v>1.11807556594471E-2</v>
      </c>
      <c r="HR78">
        <v>9.6800364626251198E-4</v>
      </c>
      <c r="HS78">
        <v>0.71502378712033099</v>
      </c>
      <c r="HT78">
        <v>-999</v>
      </c>
      <c r="HU78">
        <v>0.999999999999999</v>
      </c>
      <c r="HV78">
        <v>0.81130409005087101</v>
      </c>
      <c r="HW78">
        <v>0.18869590994912799</v>
      </c>
      <c r="HX78">
        <v>12541.4947219936</v>
      </c>
      <c r="HY78">
        <v>399.40433390675202</v>
      </c>
      <c r="HZ78">
        <v>40.262679322109399</v>
      </c>
      <c r="IA78">
        <v>-0.13621973436575199</v>
      </c>
      <c r="IB78">
        <v>0</v>
      </c>
      <c r="IC78">
        <v>0</v>
      </c>
      <c r="ID78">
        <v>0</v>
      </c>
      <c r="IE78">
        <v>0</v>
      </c>
      <c r="IF78">
        <v>0</v>
      </c>
      <c r="IG78">
        <v>0</v>
      </c>
      <c r="IH78">
        <v>0</v>
      </c>
      <c r="II78">
        <v>46.337800049999601</v>
      </c>
      <c r="IJ78">
        <v>463.37800049999902</v>
      </c>
      <c r="IK78">
        <v>1.09029064500636E-2</v>
      </c>
      <c r="IL78">
        <v>2.3956282829780901E-3</v>
      </c>
      <c r="IM78">
        <v>1.3298534733041699E-2</v>
      </c>
      <c r="IN78">
        <v>8.4892185900171599E-4</v>
      </c>
      <c r="IO78">
        <v>0.425917479977034</v>
      </c>
      <c r="IP78">
        <v>1.91669543466488E-2</v>
      </c>
      <c r="IQ78">
        <v>1.5694952597538E-3</v>
      </c>
      <c r="IR78">
        <v>0.29052982585863901</v>
      </c>
      <c r="IS78">
        <v>0.23220759367699101</v>
      </c>
      <c r="IT78">
        <v>0.28357602989194097</v>
      </c>
      <c r="IU78">
        <v>0.30217574868915498</v>
      </c>
      <c r="IV78">
        <v>1.47162419996967E-2</v>
      </c>
      <c r="IW78">
        <v>1.1244240250585999E-3</v>
      </c>
      <c r="IX78">
        <v>7.4946582652912999E-2</v>
      </c>
      <c r="IY78">
        <v>2.6956603669877699E-3</v>
      </c>
      <c r="IZ78">
        <v>2.6956603669877499E-4</v>
      </c>
      <c r="JA78">
        <v>7.5010475594048401E-2</v>
      </c>
      <c r="JB78">
        <v>2.6979584526783101E-3</v>
      </c>
      <c r="JC78">
        <v>2.6979584526782901E-4</v>
      </c>
      <c r="JD78">
        <v>1.8285691955003099E-4</v>
      </c>
      <c r="JE78">
        <v>3.2834917451769201E-3</v>
      </c>
      <c r="JF78" s="159">
        <v>8.5380921083233397E-19</v>
      </c>
      <c r="JG78">
        <v>0</v>
      </c>
      <c r="JH78">
        <v>4.11566571933333E-3</v>
      </c>
      <c r="JI78">
        <v>5.45298011324714E-4</v>
      </c>
      <c r="JJ78">
        <v>-0.513405958648956</v>
      </c>
      <c r="JK78">
        <v>1.8285691955003099E-4</v>
      </c>
      <c r="JL78" s="159">
        <v>6.5753399999999896E-6</v>
      </c>
      <c r="JM78">
        <v>-0.513405958648956</v>
      </c>
      <c r="JN78">
        <v>0</v>
      </c>
      <c r="JO78">
        <v>1.30518971844063</v>
      </c>
      <c r="JP78">
        <v>-1.6880859777635201E-2</v>
      </c>
      <c r="JQ78">
        <v>1.1387985892154001E-3</v>
      </c>
      <c r="JR78">
        <v>1.94751556328434E-2</v>
      </c>
      <c r="JS78">
        <v>1591.61086472743</v>
      </c>
      <c r="JT78">
        <v>4.3822666502506998E-2</v>
      </c>
      <c r="JU78">
        <v>0</v>
      </c>
      <c r="JV78">
        <v>365</v>
      </c>
      <c r="JW78">
        <v>0</v>
      </c>
      <c r="JX78">
        <v>-0.40268092994350901</v>
      </c>
      <c r="JY78">
        <v>0</v>
      </c>
      <c r="JZ78">
        <v>1.32912267820092</v>
      </c>
      <c r="KA78">
        <v>1.4074349239567201</v>
      </c>
      <c r="KB78">
        <v>1.44100243262185</v>
      </c>
      <c r="KC78">
        <v>0</v>
      </c>
      <c r="KD78">
        <v>0</v>
      </c>
      <c r="KE78">
        <v>0</v>
      </c>
      <c r="KF78">
        <v>3.6010709357548699E-3</v>
      </c>
      <c r="KG78">
        <v>2.2781151728622901E-2</v>
      </c>
      <c r="KH78">
        <v>3.7715111406881503E-2</v>
      </c>
      <c r="KI78">
        <v>0</v>
      </c>
      <c r="KJ78">
        <v>0</v>
      </c>
      <c r="KK78">
        <v>0</v>
      </c>
      <c r="KL78">
        <v>0</v>
      </c>
      <c r="KM78">
        <v>0</v>
      </c>
      <c r="KN78">
        <v>0</v>
      </c>
      <c r="KO78">
        <v>0</v>
      </c>
      <c r="KP78">
        <v>0</v>
      </c>
      <c r="KQ78">
        <v>0</v>
      </c>
      <c r="KR78">
        <v>0</v>
      </c>
      <c r="KS78">
        <v>0</v>
      </c>
      <c r="KT78">
        <v>0</v>
      </c>
      <c r="KU78">
        <v>0.34999999999999898</v>
      </c>
      <c r="KV78">
        <v>-0.113269490781369</v>
      </c>
      <c r="KW78">
        <v>1.79860014459647E-3</v>
      </c>
      <c r="KX78">
        <v>34438.8724284122</v>
      </c>
      <c r="KY78">
        <v>0</v>
      </c>
      <c r="KZ78">
        <v>0.210517387422573</v>
      </c>
      <c r="LA78">
        <v>1.73602675993533E-5</v>
      </c>
      <c r="LB78">
        <v>0</v>
      </c>
      <c r="LC78">
        <v>-12.131018286215401</v>
      </c>
      <c r="LD78">
        <v>1.57210442107341E-2</v>
      </c>
      <c r="LE78">
        <v>3.4160794440888402E-3</v>
      </c>
      <c r="LF78">
        <v>1.57210442107341E-2</v>
      </c>
      <c r="LG78">
        <v>0.95414666675805804</v>
      </c>
      <c r="LH78">
        <v>1.24221212131597</v>
      </c>
      <c r="LI78">
        <v>0</v>
      </c>
      <c r="LJ78">
        <v>0</v>
      </c>
      <c r="LK78">
        <v>0.24419195004747399</v>
      </c>
      <c r="LL78">
        <v>0</v>
      </c>
      <c r="LM78">
        <v>0</v>
      </c>
      <c r="LN78">
        <v>0</v>
      </c>
      <c r="LO78">
        <v>0</v>
      </c>
      <c r="LP78">
        <v>0</v>
      </c>
      <c r="LQ78">
        <v>0</v>
      </c>
      <c r="LR78">
        <v>0</v>
      </c>
      <c r="LS78">
        <v>0</v>
      </c>
      <c r="LT78">
        <v>-999</v>
      </c>
      <c r="LU78">
        <v>0.425693752376195</v>
      </c>
      <c r="LV78">
        <v>77</v>
      </c>
      <c r="LW78">
        <v>300.95999999999901</v>
      </c>
      <c r="LX78">
        <v>2.8119999999999901</v>
      </c>
      <c r="LY78">
        <v>0</v>
      </c>
      <c r="LZ78">
        <v>-999</v>
      </c>
      <c r="MA78">
        <v>0</v>
      </c>
      <c r="MB78">
        <v>0</v>
      </c>
      <c r="MC78">
        <v>700.96</v>
      </c>
      <c r="MD78">
        <v>-23.6999999999999</v>
      </c>
      <c r="ME78">
        <v>-33.6</v>
      </c>
      <c r="MF78">
        <v>0</v>
      </c>
      <c r="MG78">
        <v>8.0706896550000007</v>
      </c>
      <c r="MH78">
        <v>0</v>
      </c>
      <c r="MI78">
        <v>0</v>
      </c>
      <c r="MJ78">
        <v>0</v>
      </c>
      <c r="MK78">
        <v>0</v>
      </c>
      <c r="ML78">
        <v>0</v>
      </c>
      <c r="MM78">
        <v>0</v>
      </c>
      <c r="MN78">
        <v>0</v>
      </c>
      <c r="MO78">
        <v>0</v>
      </c>
      <c r="MP78">
        <v>0</v>
      </c>
      <c r="MQ78">
        <v>0</v>
      </c>
      <c r="MR78">
        <v>0</v>
      </c>
      <c r="MS78">
        <v>0</v>
      </c>
      <c r="MT78">
        <v>0</v>
      </c>
      <c r="MU78">
        <v>0</v>
      </c>
      <c r="MV78">
        <v>0</v>
      </c>
    </row>
    <row r="79" spans="1:360" x14ac:dyDescent="0.25">
      <c r="A79">
        <v>28470</v>
      </c>
      <c r="B79">
        <v>0</v>
      </c>
      <c r="C79">
        <v>-33.6</v>
      </c>
      <c r="D79">
        <v>-23.6999999999999</v>
      </c>
      <c r="E79">
        <v>400</v>
      </c>
      <c r="F79">
        <v>0</v>
      </c>
      <c r="G79">
        <v>0</v>
      </c>
      <c r="H79">
        <v>0</v>
      </c>
      <c r="I79">
        <v>0</v>
      </c>
      <c r="J79">
        <v>0</v>
      </c>
      <c r="K79">
        <v>0</v>
      </c>
      <c r="L79" s="159">
        <v>6.5753399999999896E-6</v>
      </c>
      <c r="M79">
        <v>0</v>
      </c>
      <c r="N79">
        <v>0</v>
      </c>
      <c r="O79">
        <v>0</v>
      </c>
      <c r="P79">
        <v>0</v>
      </c>
      <c r="Q79">
        <v>0</v>
      </c>
      <c r="R79">
        <v>0</v>
      </c>
      <c r="S79">
        <v>0</v>
      </c>
      <c r="T79">
        <v>0</v>
      </c>
      <c r="U79">
        <v>722.285229245501</v>
      </c>
      <c r="V79">
        <v>14.269737466574201</v>
      </c>
      <c r="W79">
        <v>1.38090785020014</v>
      </c>
      <c r="X79">
        <v>0.29068639930418</v>
      </c>
      <c r="Y79">
        <v>0.268502887095381</v>
      </c>
      <c r="Z79">
        <v>0.440810713600439</v>
      </c>
      <c r="AA79">
        <v>0.11250292178039401</v>
      </c>
      <c r="AB79">
        <v>0.53537490073195704</v>
      </c>
      <c r="AC79">
        <v>0.35212217748764801</v>
      </c>
      <c r="AD79">
        <v>0.88452207355824697</v>
      </c>
      <c r="AE79">
        <v>3.87675833268432E-2</v>
      </c>
      <c r="AF79">
        <v>7.6710343114908805E-2</v>
      </c>
      <c r="AG79">
        <v>0</v>
      </c>
      <c r="AH79">
        <v>3436.41049461697</v>
      </c>
      <c r="AI79">
        <v>79.090484748591095</v>
      </c>
      <c r="AJ79">
        <v>8.1408623718667705</v>
      </c>
      <c r="AK79">
        <v>415.38086971457199</v>
      </c>
      <c r="AL79">
        <v>7.7130650870415201</v>
      </c>
      <c r="AM79">
        <v>0.86524326288237097</v>
      </c>
      <c r="AN79">
        <v>8690.36940962687</v>
      </c>
      <c r="AO79">
        <v>312.57308289164001</v>
      </c>
      <c r="AP79">
        <v>31.257308289163699</v>
      </c>
      <c r="AQ79">
        <v>3.0548127063044099E-2</v>
      </c>
      <c r="AR79">
        <v>6.36623850234397E-3</v>
      </c>
      <c r="AS79">
        <v>1.8829157304077901E-2</v>
      </c>
      <c r="AT79">
        <v>9.48</v>
      </c>
      <c r="AU79">
        <v>5.9710014798079598</v>
      </c>
      <c r="AV79">
        <v>0</v>
      </c>
      <c r="AW79">
        <v>85.480977055368598</v>
      </c>
      <c r="AX79">
        <v>66.691921995516907</v>
      </c>
      <c r="AY79">
        <v>361.43756104692801</v>
      </c>
      <c r="AZ79">
        <v>0.54833294000258204</v>
      </c>
      <c r="BA79">
        <v>0.85285956991580203</v>
      </c>
      <c r="BB79">
        <v>1.4208200295377799E-2</v>
      </c>
      <c r="BC79">
        <v>1.1903273513938801E-3</v>
      </c>
      <c r="BD79">
        <v>0.60150404000126301</v>
      </c>
      <c r="BE79">
        <v>9.3368231393973506E-3</v>
      </c>
      <c r="BF79">
        <v>7.5955076186539597E-4</v>
      </c>
      <c r="BG79">
        <v>766.29999847710098</v>
      </c>
      <c r="BH79">
        <v>-1626.59999865293</v>
      </c>
      <c r="BI79">
        <v>434.07796005383699</v>
      </c>
      <c r="BJ79">
        <v>213.02551964137501</v>
      </c>
      <c r="BK79">
        <v>3.6029164685817201</v>
      </c>
      <c r="BL79">
        <v>4.8229555326754801</v>
      </c>
      <c r="BM79">
        <v>194.736445818335</v>
      </c>
      <c r="BN79">
        <v>22.472733498356199</v>
      </c>
      <c r="BO79">
        <v>217.20917931669101</v>
      </c>
      <c r="BP79">
        <v>3.52442566679618</v>
      </c>
      <c r="BQ79">
        <v>0.29700284733888499</v>
      </c>
      <c r="BR79">
        <v>209.422603172793</v>
      </c>
      <c r="BS79">
        <v>2.20497839952789</v>
      </c>
      <c r="BT79">
        <v>0.29626824553539399</v>
      </c>
      <c r="BU79">
        <v>3.535172948394</v>
      </c>
      <c r="BV79">
        <v>1.73512949160972</v>
      </c>
      <c r="BW79">
        <v>0.49654196146658902</v>
      </c>
      <c r="BX79">
        <v>1.30350149531769</v>
      </c>
      <c r="BY79">
        <v>0</v>
      </c>
      <c r="BZ79">
        <v>3.1071371761739099</v>
      </c>
      <c r="CA79">
        <v>0.41728849062227003</v>
      </c>
      <c r="CB79">
        <v>0.298039685437052</v>
      </c>
      <c r="CC79">
        <v>0.25019187775483798</v>
      </c>
      <c r="CD79">
        <v>4.6810969584046999E-2</v>
      </c>
      <c r="CE79">
        <v>22.1958940570882</v>
      </c>
      <c r="CF79">
        <v>166.961448624535</v>
      </c>
      <c r="CG79">
        <v>42.214395900019099</v>
      </c>
      <c r="CH79">
        <v>0.41214795386469999</v>
      </c>
      <c r="CI79">
        <v>7.3541035322619104</v>
      </c>
      <c r="CJ79">
        <v>1.7462405488869499</v>
      </c>
      <c r="CK79">
        <v>9.7780900519166405</v>
      </c>
      <c r="CL79">
        <v>1.51835707401116</v>
      </c>
      <c r="CM79">
        <v>0.10260978765661399</v>
      </c>
      <c r="CN79">
        <v>4.6234309754666997E-2</v>
      </c>
      <c r="CO79">
        <v>0.54799707334848702</v>
      </c>
      <c r="CP79">
        <v>0.69154207600786999</v>
      </c>
      <c r="CQ79">
        <v>0.15183570740111499</v>
      </c>
      <c r="CR79">
        <v>42.461154548257298</v>
      </c>
      <c r="CS79">
        <v>1.52723242876013</v>
      </c>
      <c r="CT79">
        <v>0.152723242876011</v>
      </c>
      <c r="CU79">
        <v>1.47000000000034E-2</v>
      </c>
      <c r="CV79">
        <v>2.15235174858817E-3</v>
      </c>
      <c r="CW79">
        <v>2.2286249210805198</v>
      </c>
      <c r="CX79">
        <v>2.03000000000047E-2</v>
      </c>
      <c r="CY79">
        <v>6.1381694451880502E-3</v>
      </c>
      <c r="CZ79">
        <v>0</v>
      </c>
      <c r="DA79">
        <v>2.3999991000030201E-3</v>
      </c>
      <c r="DB79">
        <v>1.49282504096201E-3</v>
      </c>
      <c r="DC79">
        <v>2.0000000000004702E-3</v>
      </c>
      <c r="DD79">
        <v>3.25491239896223E-3</v>
      </c>
      <c r="DE79">
        <v>9.19603559383571E-4</v>
      </c>
      <c r="DF79">
        <v>2.3999991000001699E-3</v>
      </c>
      <c r="DG79">
        <v>0</v>
      </c>
      <c r="DH79">
        <v>0</v>
      </c>
      <c r="DI79">
        <v>0.23180769400005399</v>
      </c>
      <c r="DJ79">
        <v>1.8846155200004398E-2</v>
      </c>
      <c r="DK79">
        <v>2.52937634046198</v>
      </c>
      <c r="DL79">
        <v>0.16510289428603001</v>
      </c>
      <c r="DM79">
        <v>60.278758304775501</v>
      </c>
      <c r="DN79">
        <v>238.111922520207</v>
      </c>
      <c r="DO79">
        <v>327.66000000000003</v>
      </c>
      <c r="DP79">
        <v>29.250057049181201</v>
      </c>
      <c r="DQ79">
        <v>157.94999999999899</v>
      </c>
      <c r="DR79">
        <v>169.71</v>
      </c>
      <c r="DS79">
        <v>156.65975851837601</v>
      </c>
      <c r="DT79">
        <v>0</v>
      </c>
      <c r="DU79">
        <v>0</v>
      </c>
      <c r="DV79">
        <v>0</v>
      </c>
      <c r="DW79">
        <v>0</v>
      </c>
      <c r="DX79">
        <v>0</v>
      </c>
      <c r="DY79">
        <v>0</v>
      </c>
      <c r="DZ79">
        <v>0</v>
      </c>
      <c r="EA79">
        <v>0</v>
      </c>
      <c r="EB79">
        <v>0</v>
      </c>
      <c r="EC79">
        <v>0</v>
      </c>
      <c r="ED79">
        <v>0</v>
      </c>
      <c r="EE79">
        <v>0</v>
      </c>
      <c r="EF79">
        <v>1.25126931941052</v>
      </c>
      <c r="EG79">
        <v>0</v>
      </c>
      <c r="EH79">
        <v>0</v>
      </c>
      <c r="EI79">
        <v>0</v>
      </c>
      <c r="EJ79">
        <v>0</v>
      </c>
      <c r="EK79">
        <v>0</v>
      </c>
      <c r="EL79">
        <v>0</v>
      </c>
      <c r="EM79">
        <v>0</v>
      </c>
      <c r="EN79">
        <v>0</v>
      </c>
      <c r="EO79">
        <v>0</v>
      </c>
      <c r="EP79">
        <v>0</v>
      </c>
      <c r="EQ79">
        <v>0</v>
      </c>
      <c r="ER79">
        <v>0</v>
      </c>
      <c r="ES79">
        <v>0</v>
      </c>
      <c r="ET79">
        <v>0</v>
      </c>
      <c r="EU79">
        <v>0</v>
      </c>
      <c r="EV79">
        <v>839.52493763999701</v>
      </c>
      <c r="EW79">
        <v>-28.649999999999899</v>
      </c>
      <c r="EX79">
        <v>1520.6004826220999</v>
      </c>
      <c r="EY79">
        <v>849.36926103515998</v>
      </c>
      <c r="EZ79">
        <v>87.711937010140105</v>
      </c>
      <c r="FA79">
        <v>689.40816694198497</v>
      </c>
      <c r="FB79">
        <v>743.48040771484295</v>
      </c>
      <c r="FC79">
        <v>0.37830158432473399</v>
      </c>
      <c r="FD79">
        <v>0.68991219882386101</v>
      </c>
      <c r="FE79">
        <v>0</v>
      </c>
      <c r="FF79">
        <v>1</v>
      </c>
      <c r="FG79" s="159">
        <v>5.9034385760673998E-13</v>
      </c>
      <c r="FH79">
        <v>0</v>
      </c>
      <c r="FI79">
        <v>5.4512674794765098E-5</v>
      </c>
      <c r="FJ79">
        <v>-4.9700831841783099E-3</v>
      </c>
      <c r="FK79" s="159">
        <v>6.57534000000779E-6</v>
      </c>
      <c r="FL79" s="159">
        <v>2.26322143013423E-6</v>
      </c>
      <c r="FM79" s="159">
        <v>4.0897381096666497E-6</v>
      </c>
      <c r="FN79">
        <v>0</v>
      </c>
      <c r="FO79">
        <v>0</v>
      </c>
      <c r="FP79">
        <v>0</v>
      </c>
      <c r="FQ79">
        <v>0</v>
      </c>
      <c r="FR79">
        <v>0</v>
      </c>
      <c r="FS79">
        <v>0</v>
      </c>
      <c r="FT79">
        <v>0</v>
      </c>
      <c r="FU79">
        <v>0</v>
      </c>
      <c r="FV79">
        <v>-999</v>
      </c>
      <c r="FW79">
        <v>0.49254319979481997</v>
      </c>
      <c r="FX79">
        <v>3.24391843678697E-3</v>
      </c>
      <c r="FY79">
        <v>1.23685605385297</v>
      </c>
      <c r="FZ79">
        <v>8.8735491840240298E-4</v>
      </c>
      <c r="GA79">
        <v>41.508802597652902</v>
      </c>
      <c r="GB79">
        <v>1.07268419777046E-2</v>
      </c>
      <c r="GC79">
        <v>2.8991464804607198E-3</v>
      </c>
      <c r="GD79">
        <v>0</v>
      </c>
      <c r="GE79">
        <v>7.0304198356500903E-3</v>
      </c>
      <c r="GF79">
        <v>0.36407723115227703</v>
      </c>
      <c r="GG79">
        <v>5.6125959970322104E-4</v>
      </c>
      <c r="GH79">
        <v>9.3842778755190495E-3</v>
      </c>
      <c r="GI79">
        <v>1.8433841393417E-2</v>
      </c>
      <c r="GJ79">
        <v>9.0813324471587895E-4</v>
      </c>
      <c r="GK79">
        <v>1.76299635568897E-3</v>
      </c>
      <c r="GL79">
        <v>0.40848148758802999</v>
      </c>
      <c r="GM79">
        <v>6.8327778365294802E-3</v>
      </c>
      <c r="GN79">
        <v>5.6618152657032903E-4</v>
      </c>
      <c r="GO79">
        <v>0</v>
      </c>
      <c r="GP79">
        <v>0</v>
      </c>
      <c r="GQ79">
        <v>0</v>
      </c>
      <c r="GR79">
        <v>6.1981616499131899E-2</v>
      </c>
      <c r="GS79">
        <v>1.1509154058692E-3</v>
      </c>
      <c r="GT79">
        <v>1.29108440009007E-4</v>
      </c>
      <c r="GU79">
        <v>3.9204406892382297E-2</v>
      </c>
      <c r="GV79">
        <v>7.2797320268405197E-4</v>
      </c>
      <c r="GW79">
        <v>8.1663243091194696E-5</v>
      </c>
      <c r="GX79">
        <v>0.125768477793329</v>
      </c>
      <c r="GY79">
        <v>0.13632936256335601</v>
      </c>
      <c r="GZ79">
        <v>58.9280035947138</v>
      </c>
      <c r="HA79">
        <v>676.64302190599699</v>
      </c>
      <c r="HB79">
        <v>0</v>
      </c>
      <c r="HC79">
        <v>0.99981307320678303</v>
      </c>
      <c r="HD79">
        <v>0.43092960619845799</v>
      </c>
      <c r="HE79">
        <v>1.1189516869743101E-2</v>
      </c>
      <c r="HF79">
        <v>9.6876152535625801E-4</v>
      </c>
      <c r="HG79">
        <v>1.34154183304174E-2</v>
      </c>
      <c r="HH79" s="159">
        <v>4.7618780490055998E-7</v>
      </c>
      <c r="HI79" s="159">
        <v>3.3333254168435798E-7</v>
      </c>
      <c r="HJ79">
        <v>0</v>
      </c>
      <c r="HK79">
        <v>0</v>
      </c>
      <c r="HL79">
        <v>0</v>
      </c>
      <c r="HM79">
        <v>0</v>
      </c>
      <c r="HN79">
        <v>0</v>
      </c>
      <c r="HO79">
        <v>1.1866277669976199E-2</v>
      </c>
      <c r="HP79">
        <v>0.56725896876181403</v>
      </c>
      <c r="HQ79">
        <v>1.1189516869743101E-2</v>
      </c>
      <c r="HR79">
        <v>9.6876152535625801E-4</v>
      </c>
      <c r="HS79">
        <v>0.714851582273627</v>
      </c>
      <c r="HT79">
        <v>-999</v>
      </c>
      <c r="HU79">
        <v>1</v>
      </c>
      <c r="HV79">
        <v>0.81167072858485101</v>
      </c>
      <c r="HW79">
        <v>0.18832927141514799</v>
      </c>
      <c r="HX79">
        <v>12542.1607739584</v>
      </c>
      <c r="HY79">
        <v>399.37663272727201</v>
      </c>
      <c r="HZ79">
        <v>40.2634139239129</v>
      </c>
      <c r="IA79">
        <v>-0.13632936256335601</v>
      </c>
      <c r="IB79">
        <v>0</v>
      </c>
      <c r="IC79">
        <v>0</v>
      </c>
      <c r="ID79">
        <v>0</v>
      </c>
      <c r="IE79">
        <v>0</v>
      </c>
      <c r="IF79">
        <v>0</v>
      </c>
      <c r="IG79">
        <v>0</v>
      </c>
      <c r="IH79">
        <v>0</v>
      </c>
      <c r="II79">
        <v>46.337800049999601</v>
      </c>
      <c r="IJ79">
        <v>463.37800049999902</v>
      </c>
      <c r="IK79">
        <v>1.0914551672515999E-2</v>
      </c>
      <c r="IL79">
        <v>2.3987230370479799E-3</v>
      </c>
      <c r="IM79">
        <v>1.3313274709564E-2</v>
      </c>
      <c r="IN79">
        <v>8.4677005666615901E-4</v>
      </c>
      <c r="IO79">
        <v>0.42599724408730799</v>
      </c>
      <c r="IP79">
        <v>1.91802667270531E-2</v>
      </c>
      <c r="IQ79">
        <v>1.56743757371699E-3</v>
      </c>
      <c r="IR79">
        <v>0.29044044682131198</v>
      </c>
      <c r="IS79">
        <v>0.232018482403205</v>
      </c>
      <c r="IT79">
        <v>0.28391410622794</v>
      </c>
      <c r="IU79">
        <v>0.30227041416994299</v>
      </c>
      <c r="IV79">
        <v>1.4730090348953499E-2</v>
      </c>
      <c r="IW79">
        <v>1.12241993590704E-3</v>
      </c>
      <c r="IX79">
        <v>7.49475353371057E-2</v>
      </c>
      <c r="IY79">
        <v>2.6956946328999701E-3</v>
      </c>
      <c r="IZ79">
        <v>2.6956946328999501E-4</v>
      </c>
      <c r="JA79">
        <v>7.5008508752705302E-2</v>
      </c>
      <c r="JB79">
        <v>2.6978877098095999E-3</v>
      </c>
      <c r="JC79">
        <v>2.6978877098095798E-4</v>
      </c>
      <c r="JD79">
        <v>1.8313931661070401E-4</v>
      </c>
      <c r="JE79">
        <v>3.2847904925887099E-3</v>
      </c>
      <c r="JF79" s="159">
        <v>2.3378109344218598E-19</v>
      </c>
      <c r="JG79">
        <v>0</v>
      </c>
      <c r="JH79">
        <v>4.11470334919914E-3</v>
      </c>
      <c r="JI79">
        <v>5.4543865022184195E-4</v>
      </c>
      <c r="JJ79">
        <v>-0.51360828548600401</v>
      </c>
      <c r="JK79">
        <v>1.8313931661070401E-4</v>
      </c>
      <c r="JL79" s="159">
        <v>6.5753399999999896E-6</v>
      </c>
      <c r="JM79">
        <v>-0.51360828548600401</v>
      </c>
      <c r="JN79">
        <v>0</v>
      </c>
      <c r="JO79">
        <v>1.3053478221202901</v>
      </c>
      <c r="JP79">
        <v>-1.6937472623179E-2</v>
      </c>
      <c r="JQ79">
        <v>1.1450867010384101E-3</v>
      </c>
      <c r="JR79">
        <v>1.92621258355281E-2</v>
      </c>
      <c r="JS79">
        <v>1592.84963970438</v>
      </c>
      <c r="JT79">
        <v>4.3757794564762698E-2</v>
      </c>
      <c r="JU79">
        <v>0</v>
      </c>
      <c r="JV79">
        <v>365</v>
      </c>
      <c r="JW79">
        <v>0</v>
      </c>
      <c r="JX79">
        <v>-0.40268092994350901</v>
      </c>
      <c r="JY79">
        <v>0</v>
      </c>
      <c r="JZ79">
        <v>1.3293874079611001</v>
      </c>
      <c r="KA79">
        <v>1.4075464645492901</v>
      </c>
      <c r="KB79">
        <v>1.4412772740409501</v>
      </c>
      <c r="KC79">
        <v>0</v>
      </c>
      <c r="KD79">
        <v>0</v>
      </c>
      <c r="KE79">
        <v>0</v>
      </c>
      <c r="KF79">
        <v>3.60207855330937E-3</v>
      </c>
      <c r="KG79">
        <v>2.27922347559722E-2</v>
      </c>
      <c r="KH79">
        <v>3.7685368399408302E-2</v>
      </c>
      <c r="KI79">
        <v>0</v>
      </c>
      <c r="KJ79">
        <v>0</v>
      </c>
      <c r="KK79">
        <v>0</v>
      </c>
      <c r="KL79">
        <v>0</v>
      </c>
      <c r="KM79">
        <v>0</v>
      </c>
      <c r="KN79">
        <v>0</v>
      </c>
      <c r="KO79">
        <v>0</v>
      </c>
      <c r="KP79">
        <v>0</v>
      </c>
      <c r="KQ79">
        <v>0</v>
      </c>
      <c r="KR79">
        <v>0</v>
      </c>
      <c r="KS79">
        <v>0</v>
      </c>
      <c r="KT79">
        <v>0</v>
      </c>
      <c r="KU79">
        <v>0.34999999999999898</v>
      </c>
      <c r="KV79">
        <v>-0.11321402491629801</v>
      </c>
      <c r="KW79">
        <v>1.7977772142987001E-3</v>
      </c>
      <c r="KX79">
        <v>34470.408347099197</v>
      </c>
      <c r="KY79">
        <v>0</v>
      </c>
      <c r="KZ79">
        <v>0.210524144256133</v>
      </c>
      <c r="LA79">
        <v>1.73602675993533E-5</v>
      </c>
      <c r="LB79">
        <v>0</v>
      </c>
      <c r="LC79">
        <v>-12.130702445812799</v>
      </c>
      <c r="LD79">
        <v>1.5721221067948699E-2</v>
      </c>
      <c r="LE79">
        <v>3.4162462905176702E-3</v>
      </c>
      <c r="LF79">
        <v>1.5721221067948699E-2</v>
      </c>
      <c r="LG79">
        <v>0.954286353842006</v>
      </c>
      <c r="LH79">
        <v>1.24237085663864</v>
      </c>
      <c r="LI79">
        <v>0</v>
      </c>
      <c r="LJ79">
        <v>0</v>
      </c>
      <c r="LK79">
        <v>0.24423136301533799</v>
      </c>
      <c r="LL79">
        <v>0</v>
      </c>
      <c r="LM79">
        <v>0</v>
      </c>
      <c r="LN79">
        <v>0</v>
      </c>
      <c r="LO79">
        <v>0</v>
      </c>
      <c r="LP79">
        <v>0</v>
      </c>
      <c r="LQ79">
        <v>0</v>
      </c>
      <c r="LR79">
        <v>0</v>
      </c>
      <c r="LS79">
        <v>0</v>
      </c>
      <c r="LT79">
        <v>-999</v>
      </c>
      <c r="LU79">
        <v>0.42569467734969002</v>
      </c>
      <c r="LV79">
        <v>78</v>
      </c>
      <c r="LW79">
        <v>304.92</v>
      </c>
      <c r="LX79">
        <v>2.84899999999999</v>
      </c>
      <c r="LY79">
        <v>0</v>
      </c>
      <c r="LZ79">
        <v>-999</v>
      </c>
      <c r="MA79">
        <v>0</v>
      </c>
      <c r="MB79">
        <v>0</v>
      </c>
      <c r="MC79">
        <v>704.92</v>
      </c>
      <c r="MD79">
        <v>-23.6999999999999</v>
      </c>
      <c r="ME79">
        <v>-33.6</v>
      </c>
      <c r="MF79">
        <v>0</v>
      </c>
      <c r="MG79">
        <v>8.0706896550000007</v>
      </c>
      <c r="MH79">
        <v>0</v>
      </c>
      <c r="MI79">
        <v>0</v>
      </c>
      <c r="MJ79">
        <v>0</v>
      </c>
      <c r="MK79">
        <v>0</v>
      </c>
      <c r="ML79">
        <v>0</v>
      </c>
      <c r="MM79">
        <v>0</v>
      </c>
      <c r="MN79">
        <v>0</v>
      </c>
      <c r="MO79">
        <v>0</v>
      </c>
      <c r="MP79">
        <v>0</v>
      </c>
      <c r="MQ79">
        <v>0</v>
      </c>
      <c r="MR79">
        <v>0</v>
      </c>
      <c r="MS79">
        <v>0</v>
      </c>
      <c r="MT79">
        <v>0</v>
      </c>
      <c r="MU79">
        <v>0</v>
      </c>
      <c r="MV79">
        <v>0</v>
      </c>
    </row>
    <row r="80" spans="1:360" x14ac:dyDescent="0.25">
      <c r="A80">
        <v>28835</v>
      </c>
      <c r="B80">
        <v>0</v>
      </c>
      <c r="C80">
        <v>-33.6</v>
      </c>
      <c r="D80">
        <v>-23.6999999999999</v>
      </c>
      <c r="E80">
        <v>400</v>
      </c>
      <c r="F80">
        <v>0</v>
      </c>
      <c r="G80">
        <v>0</v>
      </c>
      <c r="H80">
        <v>0</v>
      </c>
      <c r="I80">
        <v>0</v>
      </c>
      <c r="J80">
        <v>0</v>
      </c>
      <c r="K80">
        <v>0</v>
      </c>
      <c r="L80" s="159">
        <v>6.5753399999999896E-6</v>
      </c>
      <c r="M80">
        <v>0</v>
      </c>
      <c r="N80">
        <v>0</v>
      </c>
      <c r="O80">
        <v>0</v>
      </c>
      <c r="P80">
        <v>0</v>
      </c>
      <c r="Q80">
        <v>0</v>
      </c>
      <c r="R80">
        <v>0</v>
      </c>
      <c r="S80">
        <v>0</v>
      </c>
      <c r="T80">
        <v>0</v>
      </c>
      <c r="U80">
        <v>722.92181185911102</v>
      </c>
      <c r="V80">
        <v>14.2804938903036</v>
      </c>
      <c r="W80">
        <v>1.3819444353969801</v>
      </c>
      <c r="X80">
        <v>0.289786569198491</v>
      </c>
      <c r="Y80">
        <v>0.26832762991430498</v>
      </c>
      <c r="Z80">
        <v>0.44188580088720297</v>
      </c>
      <c r="AA80">
        <v>0.11250872037267701</v>
      </c>
      <c r="AB80">
        <v>0.53612859678246705</v>
      </c>
      <c r="AC80">
        <v>0.351362682844855</v>
      </c>
      <c r="AD80">
        <v>0.88451747274107995</v>
      </c>
      <c r="AE80">
        <v>3.8670171286247203E-2</v>
      </c>
      <c r="AF80">
        <v>7.6812355972671803E-2</v>
      </c>
      <c r="AG80">
        <v>0</v>
      </c>
      <c r="AH80">
        <v>3437.0476142364</v>
      </c>
      <c r="AI80">
        <v>79.066417672866606</v>
      </c>
      <c r="AJ80">
        <v>8.1419128842167297</v>
      </c>
      <c r="AK80">
        <v>415.65572418384198</v>
      </c>
      <c r="AL80">
        <v>7.7181687655339903</v>
      </c>
      <c r="AM80">
        <v>0.86581578799161296</v>
      </c>
      <c r="AN80">
        <v>8690.1247443590401</v>
      </c>
      <c r="AO80">
        <v>312.56428283108499</v>
      </c>
      <c r="AP80">
        <v>31.256428283108299</v>
      </c>
      <c r="AQ80">
        <v>3.05601690206623E-2</v>
      </c>
      <c r="AR80">
        <v>6.3704462266300802E-3</v>
      </c>
      <c r="AS80">
        <v>1.8776756476603301E-2</v>
      </c>
      <c r="AT80">
        <v>9.48</v>
      </c>
      <c r="AU80">
        <v>5.9704255810990299</v>
      </c>
      <c r="AV80">
        <v>0</v>
      </c>
      <c r="AW80">
        <v>85.494616966104502</v>
      </c>
      <c r="AX80">
        <v>66.697338913509896</v>
      </c>
      <c r="AY80">
        <v>361.436170012422</v>
      </c>
      <c r="AZ80">
        <v>0.54833294000258204</v>
      </c>
      <c r="BA80">
        <v>0.85329499967179001</v>
      </c>
      <c r="BB80">
        <v>1.42136804283601E-2</v>
      </c>
      <c r="BC80">
        <v>1.1908468324448699E-3</v>
      </c>
      <c r="BD80">
        <v>0.60166048179898701</v>
      </c>
      <c r="BE80">
        <v>9.3394595185467503E-3</v>
      </c>
      <c r="BF80">
        <v>7.59701611378514E-4</v>
      </c>
      <c r="BG80">
        <v>766.29999847710098</v>
      </c>
      <c r="BH80">
        <v>-1626.59999865293</v>
      </c>
      <c r="BI80">
        <v>434.28638676608801</v>
      </c>
      <c r="BJ80">
        <v>213.093722770629</v>
      </c>
      <c r="BK80">
        <v>3.6046497335602998</v>
      </c>
      <c r="BL80">
        <v>4.8287034582221198</v>
      </c>
      <c r="BM80">
        <v>194.79999835083399</v>
      </c>
      <c r="BN80">
        <v>22.485845264406201</v>
      </c>
      <c r="BO80">
        <v>217.28584361524099</v>
      </c>
      <c r="BP80">
        <v>3.5258194047897602</v>
      </c>
      <c r="BQ80">
        <v>0.29713209528988299</v>
      </c>
      <c r="BR80">
        <v>209.48907303706901</v>
      </c>
      <c r="BS80">
        <v>2.20483438598212</v>
      </c>
      <c r="BT80">
        <v>0.29638906388613101</v>
      </c>
      <c r="BU80">
        <v>3.53657582851914</v>
      </c>
      <c r="BV80">
        <v>1.73602980552096</v>
      </c>
      <c r="BW80">
        <v>0.49549103428950803</v>
      </c>
      <c r="BX80">
        <v>1.30505498870868</v>
      </c>
      <c r="BY80">
        <v>0</v>
      </c>
      <c r="BZ80">
        <v>3.1082874462749501</v>
      </c>
      <c r="CA80">
        <v>0.41753195851480801</v>
      </c>
      <c r="CB80">
        <v>0.29816868048672401</v>
      </c>
      <c r="CC80">
        <v>0.250293813742126</v>
      </c>
      <c r="CD80">
        <v>4.6838281547756398E-2</v>
      </c>
      <c r="CE80">
        <v>22.210990795136301</v>
      </c>
      <c r="CF80">
        <v>167.028456210728</v>
      </c>
      <c r="CG80">
        <v>42.215951558493899</v>
      </c>
      <c r="CH80">
        <v>0.41242828002234599</v>
      </c>
      <c r="CI80">
        <v>7.3585336436295297</v>
      </c>
      <c r="CJ80">
        <v>1.74710394431537</v>
      </c>
      <c r="CK80">
        <v>9.7832588858173803</v>
      </c>
      <c r="CL80">
        <v>1.5184130275549601</v>
      </c>
      <c r="CM80">
        <v>0.102771453069369</v>
      </c>
      <c r="CN80">
        <v>4.6265756438517901E-2</v>
      </c>
      <c r="CO80">
        <v>0.54645064290757595</v>
      </c>
      <c r="CP80">
        <v>0.69011839798274199</v>
      </c>
      <c r="CQ80">
        <v>0.15184130275549501</v>
      </c>
      <c r="CR80">
        <v>42.460616826340598</v>
      </c>
      <c r="CS80">
        <v>1.52721308810965</v>
      </c>
      <c r="CT80">
        <v>0.15272130881096399</v>
      </c>
      <c r="CU80">
        <v>1.4700000000001901E-2</v>
      </c>
      <c r="CV80">
        <v>2.1545302007399099E-3</v>
      </c>
      <c r="CW80">
        <v>2.22844195261818</v>
      </c>
      <c r="CX80">
        <v>2.0300000000002601E-2</v>
      </c>
      <c r="CY80">
        <v>6.14276628900913E-3</v>
      </c>
      <c r="CZ80">
        <v>0</v>
      </c>
      <c r="DA80">
        <v>2.3999991000029398E-3</v>
      </c>
      <c r="DB80">
        <v>1.4926814118230501E-3</v>
      </c>
      <c r="DC80">
        <v>2.0000000000002598E-3</v>
      </c>
      <c r="DD80">
        <v>3.2486820358049698E-3</v>
      </c>
      <c r="DE80">
        <v>9.1678270290298104E-4</v>
      </c>
      <c r="DF80">
        <v>2.3999991000001001E-3</v>
      </c>
      <c r="DG80">
        <v>0</v>
      </c>
      <c r="DH80">
        <v>0</v>
      </c>
      <c r="DI80">
        <v>0.23180769400003101</v>
      </c>
      <c r="DJ80">
        <v>1.8846155200002501E-2</v>
      </c>
      <c r="DK80">
        <v>2.5325659930948099</v>
      </c>
      <c r="DL80">
        <v>0.16531109615501299</v>
      </c>
      <c r="DM80">
        <v>59.975646832741198</v>
      </c>
      <c r="DN80">
        <v>238.436871940912</v>
      </c>
      <c r="DO80">
        <v>327.66000000000003</v>
      </c>
      <c r="DP80">
        <v>29.2284299116425</v>
      </c>
      <c r="DQ80">
        <v>157.94999999999899</v>
      </c>
      <c r="DR80">
        <v>169.71</v>
      </c>
      <c r="DS80">
        <v>156.67439677096101</v>
      </c>
      <c r="DT80">
        <v>0</v>
      </c>
      <c r="DU80">
        <v>0</v>
      </c>
      <c r="DV80">
        <v>0</v>
      </c>
      <c r="DW80">
        <v>0</v>
      </c>
      <c r="DX80">
        <v>0</v>
      </c>
      <c r="DY80">
        <v>0</v>
      </c>
      <c r="DZ80">
        <v>0</v>
      </c>
      <c r="EA80">
        <v>0</v>
      </c>
      <c r="EB80">
        <v>0</v>
      </c>
      <c r="EC80">
        <v>0</v>
      </c>
      <c r="ED80">
        <v>0</v>
      </c>
      <c r="EE80">
        <v>0</v>
      </c>
      <c r="EF80">
        <v>1.25071312632113</v>
      </c>
      <c r="EG80">
        <v>0</v>
      </c>
      <c r="EH80">
        <v>0</v>
      </c>
      <c r="EI80">
        <v>0</v>
      </c>
      <c r="EJ80">
        <v>0</v>
      </c>
      <c r="EK80">
        <v>0</v>
      </c>
      <c r="EL80">
        <v>0</v>
      </c>
      <c r="EM80">
        <v>0</v>
      </c>
      <c r="EN80">
        <v>0</v>
      </c>
      <c r="EO80">
        <v>0</v>
      </c>
      <c r="EP80">
        <v>0</v>
      </c>
      <c r="EQ80">
        <v>0</v>
      </c>
      <c r="ER80">
        <v>0</v>
      </c>
      <c r="ES80">
        <v>0</v>
      </c>
      <c r="ET80">
        <v>0</v>
      </c>
      <c r="EU80">
        <v>0</v>
      </c>
      <c r="EV80">
        <v>840.19885129237002</v>
      </c>
      <c r="EW80">
        <v>-28.649999999999899</v>
      </c>
      <c r="EX80">
        <v>1521.9406565454899</v>
      </c>
      <c r="EY80">
        <v>849.761149077857</v>
      </c>
      <c r="EZ80">
        <v>87.583317478632495</v>
      </c>
      <c r="FA80">
        <v>690.03461964809105</v>
      </c>
      <c r="FB80">
        <v>744.32269287109295</v>
      </c>
      <c r="FC80">
        <v>0.377746848285342</v>
      </c>
      <c r="FD80">
        <v>0.68890052143058</v>
      </c>
      <c r="FE80">
        <v>0</v>
      </c>
      <c r="FF80">
        <v>1</v>
      </c>
      <c r="FG80" s="159">
        <v>5.9036923455114201E-13</v>
      </c>
      <c r="FH80">
        <v>0</v>
      </c>
      <c r="FI80">
        <v>5.4512674794765098E-5</v>
      </c>
      <c r="FJ80">
        <v>-4.9633278193222203E-3</v>
      </c>
      <c r="FK80" s="159">
        <v>6.57534000000779E-6</v>
      </c>
      <c r="FL80" s="159">
        <v>2.25689001479523E-6</v>
      </c>
      <c r="FM80" s="159">
        <v>4.0893436574285803E-6</v>
      </c>
      <c r="FN80">
        <v>0</v>
      </c>
      <c r="FO80">
        <v>0</v>
      </c>
      <c r="FP80">
        <v>0</v>
      </c>
      <c r="FQ80">
        <v>0</v>
      </c>
      <c r="FR80">
        <v>0</v>
      </c>
      <c r="FS80">
        <v>0</v>
      </c>
      <c r="FT80">
        <v>0</v>
      </c>
      <c r="FU80">
        <v>0</v>
      </c>
      <c r="FV80">
        <v>-999</v>
      </c>
      <c r="FW80">
        <v>0.49273595982075702</v>
      </c>
      <c r="FX80">
        <v>3.24470395233815E-3</v>
      </c>
      <c r="FY80">
        <v>1.2376300702665499</v>
      </c>
      <c r="FZ80">
        <v>8.8553673949209703E-4</v>
      </c>
      <c r="GA80">
        <v>41.481860357906797</v>
      </c>
      <c r="GB80">
        <v>1.0732640007788801E-2</v>
      </c>
      <c r="GC80">
        <v>2.90071351561861E-3</v>
      </c>
      <c r="GD80">
        <v>0</v>
      </c>
      <c r="GE80">
        <v>7.03095420744886E-3</v>
      </c>
      <c r="GF80">
        <v>0.36305871650973898</v>
      </c>
      <c r="GG80">
        <v>5.6133827851779301E-4</v>
      </c>
      <c r="GH80">
        <v>9.3830819413928505E-3</v>
      </c>
      <c r="GI80">
        <v>1.8431842376623198E-2</v>
      </c>
      <c r="GJ80">
        <v>9.0801466499602402E-4</v>
      </c>
      <c r="GK80">
        <v>1.7628561005589699E-3</v>
      </c>
      <c r="GL80">
        <v>0.40881547477946201</v>
      </c>
      <c r="GM80">
        <v>6.8382759000284099E-3</v>
      </c>
      <c r="GN80">
        <v>5.6663215506056602E-4</v>
      </c>
      <c r="GO80">
        <v>0</v>
      </c>
      <c r="GP80">
        <v>0</v>
      </c>
      <c r="GQ80">
        <v>0</v>
      </c>
      <c r="GR80">
        <v>6.2016715889332698E-2</v>
      </c>
      <c r="GS80">
        <v>1.1515671544230499E-3</v>
      </c>
      <c r="GT80">
        <v>1.29181552453794E-4</v>
      </c>
      <c r="GU80">
        <v>3.9230431249430001E-2</v>
      </c>
      <c r="GV80">
        <v>7.2845644005580597E-4</v>
      </c>
      <c r="GW80">
        <v>8.1717452134625099E-5</v>
      </c>
      <c r="GX80">
        <v>0.12587704226521701</v>
      </c>
      <c r="GY80">
        <v>0.13643880996500601</v>
      </c>
      <c r="GZ80">
        <v>58.9288409622107</v>
      </c>
      <c r="HA80">
        <v>676.66414959075496</v>
      </c>
      <c r="HB80">
        <v>0</v>
      </c>
      <c r="HC80">
        <v>0.99981307378912598</v>
      </c>
      <c r="HD80">
        <v>0.43126012821057802</v>
      </c>
      <c r="HE80">
        <v>1.11982424978444E-2</v>
      </c>
      <c r="HF80">
        <v>9.6951599892503698E-4</v>
      </c>
      <c r="HG80">
        <v>1.34278773052598E-2</v>
      </c>
      <c r="HH80" s="159">
        <v>4.7618780793008597E-7</v>
      </c>
      <c r="HI80" s="159">
        <v>3.3333254157739201E-7</v>
      </c>
      <c r="HJ80">
        <v>0</v>
      </c>
      <c r="HK80">
        <v>0</v>
      </c>
      <c r="HL80">
        <v>0</v>
      </c>
      <c r="HM80">
        <v>0</v>
      </c>
      <c r="HN80">
        <v>0</v>
      </c>
      <c r="HO80">
        <v>1.18772361166477E-2</v>
      </c>
      <c r="HP80">
        <v>0.56769893817558503</v>
      </c>
      <c r="HQ80">
        <v>1.11982424978444E-2</v>
      </c>
      <c r="HR80">
        <v>9.6951599892503698E-4</v>
      </c>
      <c r="HS80">
        <v>0.71467825271456997</v>
      </c>
      <c r="HT80">
        <v>-999</v>
      </c>
      <c r="HU80">
        <v>1</v>
      </c>
      <c r="HV80">
        <v>0.81203361720749601</v>
      </c>
      <c r="HW80">
        <v>0.187966382792503</v>
      </c>
      <c r="HX80">
        <v>12542.8280827792</v>
      </c>
      <c r="HY80">
        <v>399.34886926948599</v>
      </c>
      <c r="HZ80">
        <v>40.2641569553167</v>
      </c>
      <c r="IA80">
        <v>-0.13643880996500601</v>
      </c>
      <c r="IB80">
        <v>0</v>
      </c>
      <c r="IC80">
        <v>0</v>
      </c>
      <c r="ID80">
        <v>0</v>
      </c>
      <c r="IE80">
        <v>0</v>
      </c>
      <c r="IF80">
        <v>0</v>
      </c>
      <c r="IG80">
        <v>0</v>
      </c>
      <c r="IH80">
        <v>0</v>
      </c>
      <c r="II80">
        <v>46.337800049999601</v>
      </c>
      <c r="IJ80">
        <v>463.37800049999902</v>
      </c>
      <c r="IK80">
        <v>1.0926178536675501E-2</v>
      </c>
      <c r="IL80">
        <v>2.4018139209383499E-3</v>
      </c>
      <c r="IM80">
        <v>1.33279924576139E-2</v>
      </c>
      <c r="IN80">
        <v>8.4464937966388404E-4</v>
      </c>
      <c r="IO80">
        <v>0.42607712752694898</v>
      </c>
      <c r="IP80">
        <v>1.9193550434876101E-2</v>
      </c>
      <c r="IQ80">
        <v>1.5654114195766901E-3</v>
      </c>
      <c r="IR80">
        <v>0.29035227076261599</v>
      </c>
      <c r="IS80">
        <v>0.23183097850405701</v>
      </c>
      <c r="IT80">
        <v>0.28424857022491401</v>
      </c>
      <c r="IU80">
        <v>0.30236466602948697</v>
      </c>
      <c r="IV80">
        <v>1.47438908565918E-2</v>
      </c>
      <c r="IW80">
        <v>1.1204454617482599E-3</v>
      </c>
      <c r="IX80">
        <v>7.4948449156934299E-2</v>
      </c>
      <c r="IY80">
        <v>2.6957275009482102E-3</v>
      </c>
      <c r="IZ80">
        <v>2.6957275009482001E-4</v>
      </c>
      <c r="JA80">
        <v>7.5006555854458007E-2</v>
      </c>
      <c r="JB80">
        <v>2.6978174684427498E-3</v>
      </c>
      <c r="JC80">
        <v>2.6978174684427297E-4</v>
      </c>
      <c r="JD80">
        <v>1.8342282672822901E-4</v>
      </c>
      <c r="JE80">
        <v>3.28607399114545E-3</v>
      </c>
      <c r="JF80" s="159">
        <v>1.09775469964157E-18</v>
      </c>
      <c r="JG80">
        <v>0</v>
      </c>
      <c r="JH80">
        <v>4.1137158674206904E-3</v>
      </c>
      <c r="JI80">
        <v>5.4557782892865304E-4</v>
      </c>
      <c r="JJ80">
        <v>-0.51381003184895202</v>
      </c>
      <c r="JK80">
        <v>1.8342282672822901E-4</v>
      </c>
      <c r="JL80" s="159">
        <v>6.5753399999999896E-6</v>
      </c>
      <c r="JM80">
        <v>-0.51381003184895202</v>
      </c>
      <c r="JN80">
        <v>0</v>
      </c>
      <c r="JO80">
        <v>1.3038914344653401</v>
      </c>
      <c r="JP80">
        <v>-1.6990784375386099E-2</v>
      </c>
      <c r="JQ80">
        <v>1.1513170641953899E-3</v>
      </c>
      <c r="JR80">
        <v>1.90513147040078E-2</v>
      </c>
      <c r="JS80">
        <v>1594.0838684958901</v>
      </c>
      <c r="JT80">
        <v>4.3693628759876701E-2</v>
      </c>
      <c r="JU80">
        <v>0</v>
      </c>
      <c r="JV80">
        <v>365</v>
      </c>
      <c r="JW80">
        <v>0</v>
      </c>
      <c r="JX80">
        <v>-0.40268092994350901</v>
      </c>
      <c r="JY80">
        <v>0</v>
      </c>
      <c r="JZ80">
        <v>1.3296570140707</v>
      </c>
      <c r="KA80">
        <v>1.4076637037261699</v>
      </c>
      <c r="KB80">
        <v>1.4415529706527599</v>
      </c>
      <c r="KC80">
        <v>0</v>
      </c>
      <c r="KD80">
        <v>0</v>
      </c>
      <c r="KE80">
        <v>0</v>
      </c>
      <c r="KF80">
        <v>3.6030704921004601E-3</v>
      </c>
      <c r="KG80">
        <v>2.2803219222040601E-2</v>
      </c>
      <c r="KH80">
        <v>3.7655682469602499E-2</v>
      </c>
      <c r="KI80">
        <v>0</v>
      </c>
      <c r="KJ80">
        <v>0</v>
      </c>
      <c r="KK80">
        <v>0</v>
      </c>
      <c r="KL80">
        <v>0</v>
      </c>
      <c r="KM80">
        <v>0</v>
      </c>
      <c r="KN80">
        <v>0</v>
      </c>
      <c r="KO80">
        <v>0</v>
      </c>
      <c r="KP80">
        <v>0</v>
      </c>
      <c r="KQ80">
        <v>0</v>
      </c>
      <c r="KR80">
        <v>0</v>
      </c>
      <c r="KS80">
        <v>0</v>
      </c>
      <c r="KT80">
        <v>0</v>
      </c>
      <c r="KU80">
        <v>0.34999999999999898</v>
      </c>
      <c r="KV80">
        <v>-0.11315899300948799</v>
      </c>
      <c r="KW80">
        <v>1.79696096675322E-3</v>
      </c>
      <c r="KX80">
        <v>34501.730982404501</v>
      </c>
      <c r="KY80">
        <v>0</v>
      </c>
      <c r="KZ80">
        <v>0.21053095736869801</v>
      </c>
      <c r="LA80">
        <v>1.73602675993533E-5</v>
      </c>
      <c r="LB80">
        <v>0</v>
      </c>
      <c r="LC80">
        <v>-12.1303904089469</v>
      </c>
      <c r="LD80">
        <v>1.5721395186978199E-2</v>
      </c>
      <c r="LE80">
        <v>3.4164105537530299E-3</v>
      </c>
      <c r="LF80">
        <v>1.5721395186978199E-2</v>
      </c>
      <c r="LG80">
        <v>0.95442433395818305</v>
      </c>
      <c r="LH80">
        <v>1.2425276522252</v>
      </c>
      <c r="LI80">
        <v>0</v>
      </c>
      <c r="LJ80">
        <v>0</v>
      </c>
      <c r="LK80">
        <v>0.24427033418887001</v>
      </c>
      <c r="LL80">
        <v>0</v>
      </c>
      <c r="LM80">
        <v>0</v>
      </c>
      <c r="LN80">
        <v>0</v>
      </c>
      <c r="LO80">
        <v>0</v>
      </c>
      <c r="LP80">
        <v>0</v>
      </c>
      <c r="LQ80">
        <v>0</v>
      </c>
      <c r="LR80">
        <v>0</v>
      </c>
      <c r="LS80">
        <v>0</v>
      </c>
      <c r="LT80">
        <v>-999</v>
      </c>
      <c r="LU80">
        <v>0.42569557896237697</v>
      </c>
      <c r="LV80">
        <v>79</v>
      </c>
      <c r="LW80">
        <v>308.88</v>
      </c>
      <c r="LX80">
        <v>2.8859999999999899</v>
      </c>
      <c r="LY80">
        <v>0</v>
      </c>
      <c r="LZ80">
        <v>-999</v>
      </c>
      <c r="MA80">
        <v>0</v>
      </c>
      <c r="MB80">
        <v>0</v>
      </c>
      <c r="MC80">
        <v>708.88</v>
      </c>
      <c r="MD80">
        <v>-23.6999999999999</v>
      </c>
      <c r="ME80">
        <v>-33.6</v>
      </c>
      <c r="MF80">
        <v>0</v>
      </c>
      <c r="MG80">
        <v>8.0706896550000007</v>
      </c>
      <c r="MH80">
        <v>0</v>
      </c>
      <c r="MI80">
        <v>0</v>
      </c>
      <c r="MJ80">
        <v>0</v>
      </c>
      <c r="MK80">
        <v>0</v>
      </c>
      <c r="ML80">
        <v>0</v>
      </c>
      <c r="MM80">
        <v>0</v>
      </c>
      <c r="MN80">
        <v>0</v>
      </c>
      <c r="MO80">
        <v>0</v>
      </c>
      <c r="MP80">
        <v>0</v>
      </c>
      <c r="MQ80">
        <v>0</v>
      </c>
      <c r="MR80">
        <v>0</v>
      </c>
      <c r="MS80">
        <v>0</v>
      </c>
      <c r="MT80">
        <v>0</v>
      </c>
      <c r="MU80">
        <v>0</v>
      </c>
      <c r="MV80">
        <v>0</v>
      </c>
    </row>
    <row r="81" spans="1:360" x14ac:dyDescent="0.25">
      <c r="A81">
        <v>29200</v>
      </c>
      <c r="B81">
        <v>0</v>
      </c>
      <c r="C81">
        <v>-33.6</v>
      </c>
      <c r="D81">
        <v>-23.6999999999999</v>
      </c>
      <c r="E81">
        <v>400</v>
      </c>
      <c r="F81">
        <v>0</v>
      </c>
      <c r="G81">
        <v>0</v>
      </c>
      <c r="H81">
        <v>0</v>
      </c>
      <c r="I81">
        <v>0</v>
      </c>
      <c r="J81">
        <v>0</v>
      </c>
      <c r="K81">
        <v>0</v>
      </c>
      <c r="L81" s="159">
        <v>6.5753399999999896E-6</v>
      </c>
      <c r="M81">
        <v>0</v>
      </c>
      <c r="N81">
        <v>0</v>
      </c>
      <c r="O81">
        <v>0</v>
      </c>
      <c r="P81">
        <v>0</v>
      </c>
      <c r="Q81">
        <v>0</v>
      </c>
      <c r="R81">
        <v>0</v>
      </c>
      <c r="S81">
        <v>0</v>
      </c>
      <c r="T81">
        <v>0</v>
      </c>
      <c r="U81">
        <v>723.55324128462701</v>
      </c>
      <c r="V81">
        <v>14.291233668496901</v>
      </c>
      <c r="W81">
        <v>1.3829791673409</v>
      </c>
      <c r="X81">
        <v>0.28889744508407</v>
      </c>
      <c r="Y81">
        <v>0.26815360917377601</v>
      </c>
      <c r="Z81">
        <v>0.44294894574215199</v>
      </c>
      <c r="AA81">
        <v>0.112514588239835</v>
      </c>
      <c r="AB81">
        <v>0.53687907150177405</v>
      </c>
      <c r="AC81">
        <v>0.35060634025838999</v>
      </c>
      <c r="AD81">
        <v>0.88451291862292203</v>
      </c>
      <c r="AE81">
        <v>3.8572550695728597E-2</v>
      </c>
      <c r="AF81">
        <v>7.6914530681349097E-2</v>
      </c>
      <c r="AG81">
        <v>0</v>
      </c>
      <c r="AH81">
        <v>3437.6858821474798</v>
      </c>
      <c r="AI81">
        <v>79.042278808128401</v>
      </c>
      <c r="AJ81">
        <v>8.1429698404000508</v>
      </c>
      <c r="AK81">
        <v>415.92862393943898</v>
      </c>
      <c r="AL81">
        <v>7.7232361476178299</v>
      </c>
      <c r="AM81">
        <v>0.86638424140915904</v>
      </c>
      <c r="AN81">
        <v>8689.8821501477105</v>
      </c>
      <c r="AO81">
        <v>312.555557261785</v>
      </c>
      <c r="AP81">
        <v>31.255555726178301</v>
      </c>
      <c r="AQ81">
        <v>3.05720790079511E-2</v>
      </c>
      <c r="AR81">
        <v>6.3746246456884599E-3</v>
      </c>
      <c r="AS81">
        <v>1.8725174741210202E-2</v>
      </c>
      <c r="AT81">
        <v>9.48</v>
      </c>
      <c r="AU81">
        <v>5.9698470463745199</v>
      </c>
      <c r="AV81">
        <v>0</v>
      </c>
      <c r="AW81">
        <v>85.508102753291993</v>
      </c>
      <c r="AX81">
        <v>66.702694309688297</v>
      </c>
      <c r="AY81">
        <v>361.43479603613298</v>
      </c>
      <c r="AZ81">
        <v>0.54833294000258204</v>
      </c>
      <c r="BA81">
        <v>0.85372963144387504</v>
      </c>
      <c r="BB81">
        <v>1.4219141791489399E-2</v>
      </c>
      <c r="BC81">
        <v>1.19136384635924E-3</v>
      </c>
      <c r="BD81">
        <v>0.60181230026340504</v>
      </c>
      <c r="BE81">
        <v>9.3420473923878193E-3</v>
      </c>
      <c r="BF81">
        <v>7.5985100754685797E-4</v>
      </c>
      <c r="BG81">
        <v>766.29999847710098</v>
      </c>
      <c r="BH81">
        <v>-1626.59999865293</v>
      </c>
      <c r="BI81">
        <v>434.49110604103299</v>
      </c>
      <c r="BJ81">
        <v>213.15909042928701</v>
      </c>
      <c r="BK81">
        <v>3.6039162024971101</v>
      </c>
      <c r="BL81">
        <v>4.8344429963488098</v>
      </c>
      <c r="BM81">
        <v>194.863224049216</v>
      </c>
      <c r="BN81">
        <v>22.4988799509043</v>
      </c>
      <c r="BO81">
        <v>217.36210400012001</v>
      </c>
      <c r="BP81">
        <v>3.52721835354069</v>
      </c>
      <c r="BQ81">
        <v>0.29726147505335798</v>
      </c>
      <c r="BR81">
        <v>209.55517422679</v>
      </c>
      <c r="BS81">
        <v>2.2046720010746199</v>
      </c>
      <c r="BT81">
        <v>0.29650862238260201</v>
      </c>
      <c r="BU81">
        <v>3.5379581317339999</v>
      </c>
      <c r="BV81">
        <v>1.7369185854186999</v>
      </c>
      <c r="BW81">
        <v>0.494433331085885</v>
      </c>
      <c r="BX81">
        <v>1.3066062152294</v>
      </c>
      <c r="BY81">
        <v>0</v>
      </c>
      <c r="BZ81">
        <v>3.1094443583971398</v>
      </c>
      <c r="CA81">
        <v>0.41777399514354902</v>
      </c>
      <c r="CB81">
        <v>0.29829620699727299</v>
      </c>
      <c r="CC81">
        <v>0.25039604209951</v>
      </c>
      <c r="CD81">
        <v>4.6865432953848103E-2</v>
      </c>
      <c r="CE81">
        <v>22.225980195307098</v>
      </c>
      <c r="CF81">
        <v>167.09509049195199</v>
      </c>
      <c r="CG81">
        <v>42.217489523480801</v>
      </c>
      <c r="CH81">
        <v>0.41270661305971601</v>
      </c>
      <c r="CI81">
        <v>7.3629771384376399</v>
      </c>
      <c r="CJ81">
        <v>1.7479735368175899</v>
      </c>
      <c r="CK81">
        <v>9.7884287623250508</v>
      </c>
      <c r="CL81">
        <v>1.5184683447037099</v>
      </c>
      <c r="CM81">
        <v>0.102933693184044</v>
      </c>
      <c r="CN81">
        <v>4.62969795363012E-2</v>
      </c>
      <c r="CO81">
        <v>0.54492725221837102</v>
      </c>
      <c r="CP81">
        <v>0.68871648320049395</v>
      </c>
      <c r="CQ81">
        <v>0.15184683447037001</v>
      </c>
      <c r="CR81">
        <v>42.460083734839003</v>
      </c>
      <c r="CS81">
        <v>1.5271939140048101</v>
      </c>
      <c r="CT81">
        <v>0.15271939140048099</v>
      </c>
      <c r="CU81">
        <v>1.4700000000001399E-2</v>
      </c>
      <c r="CV81">
        <v>2.1566851307216598E-3</v>
      </c>
      <c r="CW81">
        <v>2.2282583573555099</v>
      </c>
      <c r="CX81">
        <v>2.03000000000019E-2</v>
      </c>
      <c r="CY81">
        <v>6.1473110329675496E-3</v>
      </c>
      <c r="CZ81">
        <v>0</v>
      </c>
      <c r="DA81">
        <v>2.3999991000029099E-3</v>
      </c>
      <c r="DB81">
        <v>1.49253711822269E-3</v>
      </c>
      <c r="DC81">
        <v>2.00000000000019E-3</v>
      </c>
      <c r="DD81">
        <v>3.2425309452077098E-3</v>
      </c>
      <c r="DE81">
        <v>9.1400239374092097E-4</v>
      </c>
      <c r="DF81">
        <v>2.3999991000000702E-3</v>
      </c>
      <c r="DG81">
        <v>0</v>
      </c>
      <c r="DH81">
        <v>0</v>
      </c>
      <c r="DI81">
        <v>0.23180769400002199</v>
      </c>
      <c r="DJ81">
        <v>1.88461552000018E-2</v>
      </c>
      <c r="DK81">
        <v>2.5357210156652301</v>
      </c>
      <c r="DL81">
        <v>0.16551703757605901</v>
      </c>
      <c r="DM81">
        <v>59.675279379727797</v>
      </c>
      <c r="DN81">
        <v>238.758859549248</v>
      </c>
      <c r="DO81">
        <v>327.66000000000003</v>
      </c>
      <c r="DP81">
        <v>29.207023857281001</v>
      </c>
      <c r="DQ81">
        <v>157.94999999999899</v>
      </c>
      <c r="DR81">
        <v>169.71</v>
      </c>
      <c r="DS81">
        <v>156.688884145065</v>
      </c>
      <c r="DT81">
        <v>0</v>
      </c>
      <c r="DU81">
        <v>0</v>
      </c>
      <c r="DV81">
        <v>0</v>
      </c>
      <c r="DW81">
        <v>0</v>
      </c>
      <c r="DX81">
        <v>0</v>
      </c>
      <c r="DY81">
        <v>0</v>
      </c>
      <c r="DZ81">
        <v>0</v>
      </c>
      <c r="EA81">
        <v>0</v>
      </c>
      <c r="EB81">
        <v>0</v>
      </c>
      <c r="EC81">
        <v>0</v>
      </c>
      <c r="ED81">
        <v>0</v>
      </c>
      <c r="EE81">
        <v>0</v>
      </c>
      <c r="EF81">
        <v>1.25016169815319</v>
      </c>
      <c r="EG81">
        <v>0</v>
      </c>
      <c r="EH81">
        <v>0</v>
      </c>
      <c r="EI81">
        <v>0</v>
      </c>
      <c r="EJ81">
        <v>0</v>
      </c>
      <c r="EK81">
        <v>0</v>
      </c>
      <c r="EL81">
        <v>0</v>
      </c>
      <c r="EM81">
        <v>0</v>
      </c>
      <c r="EN81">
        <v>0</v>
      </c>
      <c r="EO81">
        <v>0</v>
      </c>
      <c r="EP81">
        <v>0</v>
      </c>
      <c r="EQ81">
        <v>0</v>
      </c>
      <c r="ER81">
        <v>0</v>
      </c>
      <c r="ES81">
        <v>0</v>
      </c>
      <c r="ET81">
        <v>0</v>
      </c>
      <c r="EU81">
        <v>0</v>
      </c>
      <c r="EV81">
        <v>840.86761984590896</v>
      </c>
      <c r="EW81">
        <v>-28.649999999999899</v>
      </c>
      <c r="EX81">
        <v>1523.26998165184</v>
      </c>
      <c r="EY81">
        <v>850.149797941153</v>
      </c>
      <c r="EZ81">
        <v>87.456388090908405</v>
      </c>
      <c r="FA81">
        <v>690.65475084349703</v>
      </c>
      <c r="FB81">
        <v>745.15881347656205</v>
      </c>
      <c r="FC81">
        <v>0.37719940183608702</v>
      </c>
      <c r="FD81">
        <v>0.68790213813219203</v>
      </c>
      <c r="FE81">
        <v>0</v>
      </c>
      <c r="FF81">
        <v>1</v>
      </c>
      <c r="FG81" s="159">
        <v>5.9039461149554304E-13</v>
      </c>
      <c r="FH81">
        <v>0</v>
      </c>
      <c r="FI81">
        <v>5.4512674794765098E-5</v>
      </c>
      <c r="FJ81">
        <v>-4.95665887067279E-3</v>
      </c>
      <c r="FK81" s="159">
        <v>6.57534000000779E-6</v>
      </c>
      <c r="FL81" s="159">
        <v>2.2506576685132999E-6</v>
      </c>
      <c r="FM81" s="159">
        <v>4.0889473996955001E-6</v>
      </c>
      <c r="FN81">
        <v>0</v>
      </c>
      <c r="FO81">
        <v>0</v>
      </c>
      <c r="FP81">
        <v>0</v>
      </c>
      <c r="FQ81">
        <v>0</v>
      </c>
      <c r="FR81">
        <v>0</v>
      </c>
      <c r="FS81">
        <v>0</v>
      </c>
      <c r="FT81">
        <v>0</v>
      </c>
      <c r="FU81">
        <v>0</v>
      </c>
      <c r="FV81">
        <v>-999</v>
      </c>
      <c r="FW81">
        <v>0.492926606788883</v>
      </c>
      <c r="FX81">
        <v>3.2454741998262301E-3</v>
      </c>
      <c r="FY81">
        <v>1.2383988417324201</v>
      </c>
      <c r="FZ81">
        <v>8.8370770990053903E-4</v>
      </c>
      <c r="GA81">
        <v>41.4549574663912</v>
      </c>
      <c r="GB81">
        <v>1.0738448652660699E-2</v>
      </c>
      <c r="GC81">
        <v>2.9022834196380299E-3</v>
      </c>
      <c r="GD81">
        <v>0</v>
      </c>
      <c r="GE81">
        <v>7.0314653293648104E-3</v>
      </c>
      <c r="GF81">
        <v>0.362056138791229</v>
      </c>
      <c r="GG81">
        <v>5.6141619069631802E-4</v>
      </c>
      <c r="GH81">
        <v>9.3819440024672501E-3</v>
      </c>
      <c r="GI81">
        <v>1.8429871871310999E-2</v>
      </c>
      <c r="GJ81">
        <v>9.0790154338969199E-4</v>
      </c>
      <c r="GK81">
        <v>1.76271828897691E-3</v>
      </c>
      <c r="GL81">
        <v>0.40914635517679299</v>
      </c>
      <c r="GM81">
        <v>6.8437533832130699E-3</v>
      </c>
      <c r="GN81">
        <v>5.6708096675259505E-4</v>
      </c>
      <c r="GO81">
        <v>0</v>
      </c>
      <c r="GP81">
        <v>0</v>
      </c>
      <c r="GQ81">
        <v>0</v>
      </c>
      <c r="GR81">
        <v>6.2051538756190697E-2</v>
      </c>
      <c r="GS81">
        <v>1.15221376830967E-3</v>
      </c>
      <c r="GT81">
        <v>1.2925408889718801E-4</v>
      </c>
      <c r="GU81">
        <v>3.92562697452844E-2</v>
      </c>
      <c r="GV81">
        <v>7.2893622623472596E-4</v>
      </c>
      <c r="GW81">
        <v>8.1771274026992002E-5</v>
      </c>
      <c r="GX81">
        <v>0.12598519843502001</v>
      </c>
      <c r="GY81">
        <v>0.13654783488472499</v>
      </c>
      <c r="GZ81">
        <v>58.929443431148798</v>
      </c>
      <c r="HA81">
        <v>676.68271202185394</v>
      </c>
      <c r="HB81">
        <v>0</v>
      </c>
      <c r="HC81">
        <v>0.99981307436556899</v>
      </c>
      <c r="HD81">
        <v>0.43158853711329798</v>
      </c>
      <c r="HE81">
        <v>1.12069063047965E-2</v>
      </c>
      <c r="HF81">
        <v>9.7026493744174205E-4</v>
      </c>
      <c r="HG81">
        <v>1.3440222682522301E-2</v>
      </c>
      <c r="HH81" s="159">
        <v>4.7618781093216E-7</v>
      </c>
      <c r="HI81" s="159">
        <v>3.3333254146734602E-7</v>
      </c>
      <c r="HJ81">
        <v>0</v>
      </c>
      <c r="HK81">
        <v>0</v>
      </c>
      <c r="HL81">
        <v>0</v>
      </c>
      <c r="HM81">
        <v>0</v>
      </c>
      <c r="HN81">
        <v>0</v>
      </c>
      <c r="HO81">
        <v>1.18880945977542E-2</v>
      </c>
      <c r="HP81">
        <v>0.56813637199802303</v>
      </c>
      <c r="HQ81">
        <v>1.12069063047965E-2</v>
      </c>
      <c r="HR81">
        <v>9.7026493744174205E-4</v>
      </c>
      <c r="HS81">
        <v>0.71450398921971503</v>
      </c>
      <c r="HT81">
        <v>-999</v>
      </c>
      <c r="HU81">
        <v>1</v>
      </c>
      <c r="HV81">
        <v>0.81239183084685396</v>
      </c>
      <c r="HW81">
        <v>0.18760816915314499</v>
      </c>
      <c r="HX81">
        <v>12543.4966562346</v>
      </c>
      <c r="HY81">
        <v>399.32107221753199</v>
      </c>
      <c r="HZ81">
        <v>40.2649098079875</v>
      </c>
      <c r="IA81">
        <v>-0.13654783488472499</v>
      </c>
      <c r="IB81">
        <v>0</v>
      </c>
      <c r="IC81">
        <v>0</v>
      </c>
      <c r="ID81">
        <v>0</v>
      </c>
      <c r="IE81">
        <v>0</v>
      </c>
      <c r="IF81">
        <v>0</v>
      </c>
      <c r="IG81">
        <v>0</v>
      </c>
      <c r="IH81">
        <v>0</v>
      </c>
      <c r="II81">
        <v>46.337800049999601</v>
      </c>
      <c r="IJ81">
        <v>463.37800049999902</v>
      </c>
      <c r="IK81">
        <v>1.09377867731564E-2</v>
      </c>
      <c r="IL81">
        <v>2.4049016659717401E-3</v>
      </c>
      <c r="IM81">
        <v>1.33426884391281E-2</v>
      </c>
      <c r="IN81">
        <v>8.4256363389015505E-4</v>
      </c>
      <c r="IO81">
        <v>0.42615713757490598</v>
      </c>
      <c r="IP81">
        <v>1.9206807927808E-2</v>
      </c>
      <c r="IQ81">
        <v>1.5634207403072799E-3</v>
      </c>
      <c r="IR81">
        <v>0.29026552290622798</v>
      </c>
      <c r="IS81">
        <v>0.23164523233982201</v>
      </c>
      <c r="IT81">
        <v>0.28457889614979498</v>
      </c>
      <c r="IU81">
        <v>0.30245841319650402</v>
      </c>
      <c r="IV81">
        <v>1.4757642442864601E-2</v>
      </c>
      <c r="IW81">
        <v>1.1185041918129401E-3</v>
      </c>
      <c r="IX81">
        <v>7.4949365666824405E-2</v>
      </c>
      <c r="IY81">
        <v>2.6957604657519298E-3</v>
      </c>
      <c r="IZ81">
        <v>2.6957604657519102E-4</v>
      </c>
      <c r="JA81">
        <v>7.5004617993730802E-2</v>
      </c>
      <c r="JB81">
        <v>2.69774776794175E-3</v>
      </c>
      <c r="JC81">
        <v>2.6977477679417301E-4</v>
      </c>
      <c r="JD81">
        <v>1.83707269248807E-4</v>
      </c>
      <c r="JE81">
        <v>3.2873433706106701E-3</v>
      </c>
      <c r="JF81" s="159">
        <v>2.4733362059825498E-19</v>
      </c>
      <c r="JG81">
        <v>0</v>
      </c>
      <c r="JH81">
        <v>4.1127017716782203E-3</v>
      </c>
      <c r="JI81">
        <v>5.4571533471695901E-4</v>
      </c>
      <c r="JJ81">
        <v>-0.51401086607496005</v>
      </c>
      <c r="JK81">
        <v>1.83707269248807E-4</v>
      </c>
      <c r="JL81" s="159">
        <v>6.5753399999999896E-6</v>
      </c>
      <c r="JM81">
        <v>-0.51401086607496005</v>
      </c>
      <c r="JN81">
        <v>0</v>
      </c>
      <c r="JO81">
        <v>1.3000028808313799</v>
      </c>
      <c r="JP81">
        <v>-1.70411853556993E-2</v>
      </c>
      <c r="JQ81">
        <v>1.1574681547925499E-3</v>
      </c>
      <c r="JR81">
        <v>1.8837213742827399E-2</v>
      </c>
      <c r="JS81">
        <v>1595.30864065787</v>
      </c>
      <c r="JT81">
        <v>4.3630306135143501E-2</v>
      </c>
      <c r="JU81">
        <v>0</v>
      </c>
      <c r="JV81">
        <v>365</v>
      </c>
      <c r="JW81">
        <v>0</v>
      </c>
      <c r="JX81">
        <v>-0.40268092994350901</v>
      </c>
      <c r="JY81">
        <v>0</v>
      </c>
      <c r="JZ81">
        <v>1.3299337313173401</v>
      </c>
      <c r="KA81">
        <v>1.40778526846457</v>
      </c>
      <c r="KB81">
        <v>1.4418283565668999</v>
      </c>
      <c r="KC81">
        <v>0</v>
      </c>
      <c r="KD81">
        <v>0</v>
      </c>
      <c r="KE81">
        <v>0</v>
      </c>
      <c r="KF81">
        <v>3.6040442204176202E-3</v>
      </c>
      <c r="KG81">
        <v>2.2814098872491102E-2</v>
      </c>
      <c r="KH81">
        <v>3.76260316695671E-2</v>
      </c>
      <c r="KI81">
        <v>0</v>
      </c>
      <c r="KJ81">
        <v>0</v>
      </c>
      <c r="KK81">
        <v>0</v>
      </c>
      <c r="KL81">
        <v>0</v>
      </c>
      <c r="KM81">
        <v>0</v>
      </c>
      <c r="KN81">
        <v>0</v>
      </c>
      <c r="KO81">
        <v>0</v>
      </c>
      <c r="KP81">
        <v>0</v>
      </c>
      <c r="KQ81">
        <v>0</v>
      </c>
      <c r="KR81">
        <v>0</v>
      </c>
      <c r="KS81">
        <v>0</v>
      </c>
      <c r="KT81">
        <v>0</v>
      </c>
      <c r="KU81">
        <v>0.34999999999999898</v>
      </c>
      <c r="KV81">
        <v>-0.113104574065977</v>
      </c>
      <c r="KW81">
        <v>1.79615404998013E-3</v>
      </c>
      <c r="KX81">
        <v>34532.7375421748</v>
      </c>
      <c r="KY81">
        <v>0</v>
      </c>
      <c r="KZ81">
        <v>0.21053782637000701</v>
      </c>
      <c r="LA81">
        <v>1.73602675993533E-5</v>
      </c>
      <c r="LB81">
        <v>0</v>
      </c>
      <c r="LC81">
        <v>-12.130081923759599</v>
      </c>
      <c r="LD81">
        <v>1.5721566773799201E-2</v>
      </c>
      <c r="LE81">
        <v>3.4165724281125199E-3</v>
      </c>
      <c r="LF81">
        <v>1.5721566773799201E-2</v>
      </c>
      <c r="LG81">
        <v>0.95456064948173103</v>
      </c>
      <c r="LH81">
        <v>1.2426825562292401</v>
      </c>
      <c r="LI81">
        <v>0</v>
      </c>
      <c r="LJ81">
        <v>0</v>
      </c>
      <c r="LK81">
        <v>0.24430886500940499</v>
      </c>
      <c r="LL81">
        <v>0</v>
      </c>
      <c r="LM81">
        <v>0</v>
      </c>
      <c r="LN81">
        <v>0</v>
      </c>
      <c r="LO81">
        <v>0</v>
      </c>
      <c r="LP81">
        <v>0</v>
      </c>
      <c r="LQ81">
        <v>0</v>
      </c>
      <c r="LR81">
        <v>0</v>
      </c>
      <c r="LS81">
        <v>0</v>
      </c>
      <c r="LT81">
        <v>-999</v>
      </c>
      <c r="LU81">
        <v>0.42569646451674398</v>
      </c>
      <c r="LV81">
        <v>80</v>
      </c>
      <c r="LW81">
        <v>312.83999999999901</v>
      </c>
      <c r="LX81">
        <v>2.923</v>
      </c>
      <c r="LY81">
        <v>0</v>
      </c>
      <c r="LZ81">
        <v>-999</v>
      </c>
      <c r="MA81">
        <v>0</v>
      </c>
      <c r="MB81">
        <v>0</v>
      </c>
      <c r="MC81">
        <v>712.83999999999901</v>
      </c>
      <c r="MD81">
        <v>-23.6999999999999</v>
      </c>
      <c r="ME81">
        <v>-33.6</v>
      </c>
      <c r="MF81">
        <v>0</v>
      </c>
      <c r="MG81">
        <v>8.0706896550000007</v>
      </c>
      <c r="MH81">
        <v>0</v>
      </c>
      <c r="MI81">
        <v>0</v>
      </c>
      <c r="MJ81">
        <v>0</v>
      </c>
      <c r="MK81">
        <v>0</v>
      </c>
      <c r="ML81">
        <v>0</v>
      </c>
      <c r="MM81">
        <v>0</v>
      </c>
      <c r="MN81">
        <v>0</v>
      </c>
      <c r="MO81">
        <v>0</v>
      </c>
      <c r="MP81">
        <v>0</v>
      </c>
      <c r="MQ81">
        <v>0</v>
      </c>
      <c r="MR81">
        <v>0</v>
      </c>
      <c r="MS81">
        <v>0</v>
      </c>
      <c r="MT81">
        <v>0</v>
      </c>
      <c r="MU81">
        <v>0</v>
      </c>
      <c r="MV81">
        <v>0</v>
      </c>
    </row>
    <row r="82" spans="1:360" x14ac:dyDescent="0.25">
      <c r="A82">
        <v>29565</v>
      </c>
      <c r="B82">
        <v>0</v>
      </c>
      <c r="C82">
        <v>-33.6</v>
      </c>
      <c r="D82">
        <v>-23.6999999999999</v>
      </c>
      <c r="E82">
        <v>400</v>
      </c>
      <c r="F82">
        <v>0</v>
      </c>
      <c r="G82">
        <v>0</v>
      </c>
      <c r="H82">
        <v>0</v>
      </c>
      <c r="I82">
        <v>0</v>
      </c>
      <c r="J82">
        <v>0</v>
      </c>
      <c r="K82">
        <v>0</v>
      </c>
      <c r="L82" s="159">
        <v>6.5753399999999896E-6</v>
      </c>
      <c r="M82">
        <v>0</v>
      </c>
      <c r="N82">
        <v>0</v>
      </c>
      <c r="O82">
        <v>0</v>
      </c>
      <c r="P82">
        <v>0</v>
      </c>
      <c r="Q82">
        <v>0</v>
      </c>
      <c r="R82">
        <v>0</v>
      </c>
      <c r="S82">
        <v>0</v>
      </c>
      <c r="T82">
        <v>0</v>
      </c>
      <c r="U82">
        <v>724.18085615217899</v>
      </c>
      <c r="V82">
        <v>14.3019348204688</v>
      </c>
      <c r="W82">
        <v>1.3840107036351901</v>
      </c>
      <c r="X82">
        <v>0.28801764580480899</v>
      </c>
      <c r="Y82">
        <v>0.26798223585858</v>
      </c>
      <c r="Z82">
        <v>0.44400011833660902</v>
      </c>
      <c r="AA82">
        <v>0.112520413079075</v>
      </c>
      <c r="AB82">
        <v>0.53762628824136005</v>
      </c>
      <c r="AC82">
        <v>0.349853298679564</v>
      </c>
      <c r="AD82">
        <v>0.88450844067621404</v>
      </c>
      <c r="AE82">
        <v>3.8474809179772203E-2</v>
      </c>
      <c r="AF82">
        <v>7.7016750144013102E-2</v>
      </c>
      <c r="AG82">
        <v>0</v>
      </c>
      <c r="AH82">
        <v>3438.3253693593902</v>
      </c>
      <c r="AI82">
        <v>79.018093219025005</v>
      </c>
      <c r="AJ82">
        <v>8.1440344120911004</v>
      </c>
      <c r="AK82">
        <v>416.19958794181599</v>
      </c>
      <c r="AL82">
        <v>7.7282675853632004</v>
      </c>
      <c r="AM82">
        <v>0.86694866262986303</v>
      </c>
      <c r="AN82">
        <v>8689.6416259766302</v>
      </c>
      <c r="AO82">
        <v>312.54690614718697</v>
      </c>
      <c r="AP82">
        <v>31.254690614718498</v>
      </c>
      <c r="AQ82">
        <v>3.0583710369045999E-2</v>
      </c>
      <c r="AR82">
        <v>6.3787272671519003E-3</v>
      </c>
      <c r="AS82">
        <v>1.8674414493404901E-2</v>
      </c>
      <c r="AT82">
        <v>9.48</v>
      </c>
      <c r="AU82">
        <v>5.96926592063065</v>
      </c>
      <c r="AV82">
        <v>0</v>
      </c>
      <c r="AW82">
        <v>85.521268859753505</v>
      </c>
      <c r="AX82">
        <v>66.707987698561794</v>
      </c>
      <c r="AY82">
        <v>361.43345897535499</v>
      </c>
      <c r="AZ82">
        <v>0.54833294000258204</v>
      </c>
      <c r="BA82">
        <v>0.85416306060837299</v>
      </c>
      <c r="BB82">
        <v>1.4224588240421601E-2</v>
      </c>
      <c r="BC82">
        <v>1.19187906814925E-3</v>
      </c>
      <c r="BD82">
        <v>0.60196612627910195</v>
      </c>
      <c r="BE82">
        <v>9.3446036790526092E-3</v>
      </c>
      <c r="BF82">
        <v>7.5999969607709703E-4</v>
      </c>
      <c r="BG82">
        <v>766.29999847710098</v>
      </c>
      <c r="BH82">
        <v>-1626.59999865293</v>
      </c>
      <c r="BI82">
        <v>434.69666585165498</v>
      </c>
      <c r="BJ82">
        <v>213.225393086503</v>
      </c>
      <c r="BK82">
        <v>3.6045693762822499</v>
      </c>
      <c r="BL82">
        <v>4.8401691472050699</v>
      </c>
      <c r="BM82">
        <v>194.926123918613</v>
      </c>
      <c r="BN82">
        <v>22.511823447542401</v>
      </c>
      <c r="BO82">
        <v>217.43794736615601</v>
      </c>
      <c r="BP82">
        <v>3.5286166837415398</v>
      </c>
      <c r="BQ82">
        <v>0.29739066226758698</v>
      </c>
      <c r="BR82">
        <v>209.620823710221</v>
      </c>
      <c r="BS82">
        <v>2.2044903508343099</v>
      </c>
      <c r="BT82">
        <v>0.29662678081565702</v>
      </c>
      <c r="BU82">
        <v>3.5393178357133799</v>
      </c>
      <c r="BV82">
        <v>1.7377947571851999</v>
      </c>
      <c r="BW82">
        <v>0.49336925495924</v>
      </c>
      <c r="BX82">
        <v>1.3081538235689301</v>
      </c>
      <c r="BY82">
        <v>0</v>
      </c>
      <c r="BZ82">
        <v>3.11060234524254</v>
      </c>
      <c r="CA82">
        <v>0.41801433849901298</v>
      </c>
      <c r="CB82">
        <v>0.29842219856188301</v>
      </c>
      <c r="CC82">
        <v>0.25049826785720403</v>
      </c>
      <c r="CD82">
        <v>4.6892394410382898E-2</v>
      </c>
      <c r="CE82">
        <v>22.240859445165199</v>
      </c>
      <c r="CF82">
        <v>167.16127519865901</v>
      </c>
      <c r="CG82">
        <v>42.219024340484303</v>
      </c>
      <c r="CH82">
        <v>0.41298290075366101</v>
      </c>
      <c r="CI82">
        <v>7.3674290051968896</v>
      </c>
      <c r="CJ82">
        <v>1.7488483898949501</v>
      </c>
      <c r="CK82">
        <v>9.79359308270136</v>
      </c>
      <c r="CL82">
        <v>1.51852354862657</v>
      </c>
      <c r="CM82">
        <v>0.10309638017872701</v>
      </c>
      <c r="CN82">
        <v>4.6327973189681002E-2</v>
      </c>
      <c r="CO82">
        <v>0.54342906283633896</v>
      </c>
      <c r="CP82">
        <v>0.68733837732951897</v>
      </c>
      <c r="CQ82">
        <v>0.151852354862655</v>
      </c>
      <c r="CR82">
        <v>42.459548511561799</v>
      </c>
      <c r="CS82">
        <v>1.5271746632248</v>
      </c>
      <c r="CT82">
        <v>0.15271746632247801</v>
      </c>
      <c r="CU82">
        <v>1.4699999999999601E-2</v>
      </c>
      <c r="CV82">
        <v>2.1588118430474999E-3</v>
      </c>
      <c r="CW82">
        <v>2.2280735403399099</v>
      </c>
      <c r="CX82">
        <v>2.0299999999999398E-2</v>
      </c>
      <c r="CY82">
        <v>6.1517928642560796E-3</v>
      </c>
      <c r="CZ82">
        <v>0</v>
      </c>
      <c r="DA82">
        <v>2.3999991000029199E-3</v>
      </c>
      <c r="DB82">
        <v>1.4923921710205299E-3</v>
      </c>
      <c r="DC82">
        <v>1.9999999999999402E-3</v>
      </c>
      <c r="DD82">
        <v>3.2364673454502099E-3</v>
      </c>
      <c r="DE82">
        <v>9.1126642715260104E-4</v>
      </c>
      <c r="DF82">
        <v>2.3999991000000702E-3</v>
      </c>
      <c r="DG82">
        <v>0</v>
      </c>
      <c r="DH82">
        <v>0</v>
      </c>
      <c r="DI82">
        <v>0.23180769399999299</v>
      </c>
      <c r="DJ82">
        <v>1.8846155199999399E-2</v>
      </c>
      <c r="DK82">
        <v>2.5388351595195702</v>
      </c>
      <c r="DL82">
        <v>0.16572031067360099</v>
      </c>
      <c r="DM82">
        <v>59.378398817842601</v>
      </c>
      <c r="DN82">
        <v>239.07722707608301</v>
      </c>
      <c r="DO82">
        <v>327.66000000000003</v>
      </c>
      <c r="DP82">
        <v>29.1859185869091</v>
      </c>
      <c r="DQ82">
        <v>157.94999999999899</v>
      </c>
      <c r="DR82">
        <v>169.71</v>
      </c>
      <c r="DS82">
        <v>156.70317933647701</v>
      </c>
      <c r="DT82">
        <v>0</v>
      </c>
      <c r="DU82">
        <v>0</v>
      </c>
      <c r="DV82">
        <v>0</v>
      </c>
      <c r="DW82">
        <v>0</v>
      </c>
      <c r="DX82">
        <v>0</v>
      </c>
      <c r="DY82">
        <v>0</v>
      </c>
      <c r="DZ82">
        <v>0</v>
      </c>
      <c r="EA82">
        <v>0</v>
      </c>
      <c r="EB82">
        <v>0</v>
      </c>
      <c r="EC82">
        <v>0</v>
      </c>
      <c r="ED82">
        <v>0</v>
      </c>
      <c r="EE82">
        <v>0</v>
      </c>
      <c r="EF82">
        <v>1.24961888788841</v>
      </c>
      <c r="EG82">
        <v>0</v>
      </c>
      <c r="EH82">
        <v>0</v>
      </c>
      <c r="EI82">
        <v>0</v>
      </c>
      <c r="EJ82">
        <v>0</v>
      </c>
      <c r="EK82">
        <v>0</v>
      </c>
      <c r="EL82">
        <v>0</v>
      </c>
      <c r="EM82">
        <v>0</v>
      </c>
      <c r="EN82">
        <v>0</v>
      </c>
      <c r="EO82">
        <v>0</v>
      </c>
      <c r="EP82">
        <v>0</v>
      </c>
      <c r="EQ82">
        <v>0</v>
      </c>
      <c r="ER82">
        <v>0</v>
      </c>
      <c r="ES82">
        <v>0</v>
      </c>
      <c r="ET82">
        <v>0</v>
      </c>
      <c r="EU82">
        <v>0</v>
      </c>
      <c r="EV82">
        <v>841.53266112409403</v>
      </c>
      <c r="EW82">
        <v>-28.649999999999899</v>
      </c>
      <c r="EX82">
        <v>1524.59127610985</v>
      </c>
      <c r="EY82">
        <v>850.53601919802804</v>
      </c>
      <c r="EZ82">
        <v>87.330813532598498</v>
      </c>
      <c r="FA82">
        <v>691.26998361718699</v>
      </c>
      <c r="FB82">
        <v>745.990478515625</v>
      </c>
      <c r="FC82">
        <v>0.37665779876609701</v>
      </c>
      <c r="FD82">
        <v>0.68691441146016696</v>
      </c>
      <c r="FE82">
        <v>0</v>
      </c>
      <c r="FF82">
        <v>1</v>
      </c>
      <c r="FG82" s="159">
        <v>5.9039461149554304E-13</v>
      </c>
      <c r="FH82">
        <v>0</v>
      </c>
      <c r="FI82">
        <v>5.4512674794765098E-5</v>
      </c>
      <c r="FJ82">
        <v>-4.9501576667978801E-3</v>
      </c>
      <c r="FK82" s="159">
        <v>6.57534000000779E-6</v>
      </c>
      <c r="FL82" s="159">
        <v>2.2445248952089199E-6</v>
      </c>
      <c r="FM82" s="159">
        <v>4.0885493672868197E-6</v>
      </c>
      <c r="FN82">
        <v>0</v>
      </c>
      <c r="FO82">
        <v>0</v>
      </c>
      <c r="FP82">
        <v>0</v>
      </c>
      <c r="FQ82">
        <v>0</v>
      </c>
      <c r="FR82">
        <v>0</v>
      </c>
      <c r="FS82">
        <v>0</v>
      </c>
      <c r="FT82">
        <v>0</v>
      </c>
      <c r="FU82">
        <v>0</v>
      </c>
      <c r="FV82">
        <v>-999</v>
      </c>
      <c r="FW82">
        <v>0.493112793131738</v>
      </c>
      <c r="FX82">
        <v>3.2462335349335899E-3</v>
      </c>
      <c r="FY82">
        <v>1.2391538690834301</v>
      </c>
      <c r="FZ82">
        <v>8.8186924588610702E-4</v>
      </c>
      <c r="GA82">
        <v>41.428186288389199</v>
      </c>
      <c r="GB82">
        <v>1.0744339863253599E-2</v>
      </c>
      <c r="GC82">
        <v>2.9038756387172E-3</v>
      </c>
      <c r="GD82">
        <v>0</v>
      </c>
      <c r="GE82">
        <v>7.0319784195369004E-3</v>
      </c>
      <c r="GF82">
        <v>0.36106957906083198</v>
      </c>
      <c r="GG82">
        <v>5.61494198937634E-4</v>
      </c>
      <c r="GH82">
        <v>9.3808321250280508E-3</v>
      </c>
      <c r="GI82">
        <v>1.8427924525343701E-2</v>
      </c>
      <c r="GJ82">
        <v>9.0779130467454701E-4</v>
      </c>
      <c r="GK82">
        <v>1.76258249923767E-3</v>
      </c>
      <c r="GL82">
        <v>0.40947486233813102</v>
      </c>
      <c r="GM82">
        <v>6.8492013857530199E-3</v>
      </c>
      <c r="GN82">
        <v>5.6752754250123899E-4</v>
      </c>
      <c r="GO82">
        <v>0</v>
      </c>
      <c r="GP82">
        <v>0</v>
      </c>
      <c r="GQ82">
        <v>0</v>
      </c>
      <c r="GR82">
        <v>6.2086156681407302E-2</v>
      </c>
      <c r="GS82">
        <v>1.1528565767051501E-3</v>
      </c>
      <c r="GT82">
        <v>1.2932619844472E-4</v>
      </c>
      <c r="GU82">
        <v>3.92819280883707E-2</v>
      </c>
      <c r="GV82">
        <v>7.2941266721860201E-4</v>
      </c>
      <c r="GW82">
        <v>8.1824720659012996E-5</v>
      </c>
      <c r="GX82">
        <v>0.126092779212648</v>
      </c>
      <c r="GY82">
        <v>0.13665633154516099</v>
      </c>
      <c r="GZ82">
        <v>58.929967919737201</v>
      </c>
      <c r="HA82">
        <v>676.70013277019495</v>
      </c>
      <c r="HB82">
        <v>0</v>
      </c>
      <c r="HC82">
        <v>0.99981307493237204</v>
      </c>
      <c r="HD82">
        <v>0.43191495647753497</v>
      </c>
      <c r="HE82">
        <v>1.1215515069155199E-2</v>
      </c>
      <c r="HF82">
        <v>9.7100921939935198E-4</v>
      </c>
      <c r="HG82">
        <v>1.34524001382441E-2</v>
      </c>
      <c r="HH82" s="159">
        <v>4.7618781389092899E-7</v>
      </c>
      <c r="HI82" s="159">
        <v>3.3333254135654898E-7</v>
      </c>
      <c r="HJ82">
        <v>0</v>
      </c>
      <c r="HK82">
        <v>0</v>
      </c>
      <c r="HL82">
        <v>0</v>
      </c>
      <c r="HM82">
        <v>0</v>
      </c>
      <c r="HN82">
        <v>0</v>
      </c>
      <c r="HO82">
        <v>1.18988054630551E-2</v>
      </c>
      <c r="HP82">
        <v>0.56857128802269596</v>
      </c>
      <c r="HQ82">
        <v>1.1215515069155199E-2</v>
      </c>
      <c r="HR82">
        <v>9.7100921939935198E-4</v>
      </c>
      <c r="HS82">
        <v>0.71433100731135701</v>
      </c>
      <c r="HT82">
        <v>-999</v>
      </c>
      <c r="HU82">
        <v>1</v>
      </c>
      <c r="HV82">
        <v>0.81274627765792495</v>
      </c>
      <c r="HW82">
        <v>0.18725372234207399</v>
      </c>
      <c r="HX82">
        <v>12544.1665832778</v>
      </c>
      <c r="HY82">
        <v>399.29326695157499</v>
      </c>
      <c r="HZ82">
        <v>40.265673689439502</v>
      </c>
      <c r="IA82">
        <v>-0.13665633154516099</v>
      </c>
      <c r="IB82">
        <v>0</v>
      </c>
      <c r="IC82">
        <v>0</v>
      </c>
      <c r="ID82">
        <v>0</v>
      </c>
      <c r="IE82">
        <v>0</v>
      </c>
      <c r="IF82">
        <v>0</v>
      </c>
      <c r="IG82">
        <v>0</v>
      </c>
      <c r="IH82">
        <v>0</v>
      </c>
      <c r="II82">
        <v>46.337800049999601</v>
      </c>
      <c r="IJ82">
        <v>463.37800049999902</v>
      </c>
      <c r="IK82">
        <v>1.0949322813075301E-2</v>
      </c>
      <c r="IL82">
        <v>2.4079697309106699E-3</v>
      </c>
      <c r="IM82">
        <v>1.33572925439859E-2</v>
      </c>
      <c r="IN82">
        <v>8.4051304052057895E-4</v>
      </c>
      <c r="IO82">
        <v>0.42623732559280503</v>
      </c>
      <c r="IP82">
        <v>1.9219971337404999E-2</v>
      </c>
      <c r="IQ82">
        <v>1.5614659327993401E-3</v>
      </c>
      <c r="IR82">
        <v>0.29017998106605603</v>
      </c>
      <c r="IS82">
        <v>0.23146190808004299</v>
      </c>
      <c r="IT82">
        <v>0.28490479014319597</v>
      </c>
      <c r="IU82">
        <v>0.30255178652263798</v>
      </c>
      <c r="IV82">
        <v>1.47712800984055E-2</v>
      </c>
      <c r="IW82">
        <v>1.11659680889939E-3</v>
      </c>
      <c r="IX82">
        <v>7.4950328354828094E-2</v>
      </c>
      <c r="IY82">
        <v>2.6957950914787599E-3</v>
      </c>
      <c r="IZ82">
        <v>2.6957950914787402E-4</v>
      </c>
      <c r="JA82">
        <v>7.5002702652376005E-2</v>
      </c>
      <c r="JB82">
        <v>2.69767887741204E-3</v>
      </c>
      <c r="JC82">
        <v>2.6976788774120202E-4</v>
      </c>
      <c r="JD82">
        <v>1.8399251728643399E-4</v>
      </c>
      <c r="JE82">
        <v>3.2885834129250998E-3</v>
      </c>
      <c r="JF82" s="159">
        <v>-8.1315162936412796E-20</v>
      </c>
      <c r="JG82">
        <v>0</v>
      </c>
      <c r="JH82">
        <v>4.1116664318315696E-3</v>
      </c>
      <c r="JI82">
        <v>5.4585165612001799E-4</v>
      </c>
      <c r="JJ82">
        <v>-0.51421082072017499</v>
      </c>
      <c r="JK82">
        <v>1.8399251728643399E-4</v>
      </c>
      <c r="JL82" s="159">
        <v>6.5753399999999896E-6</v>
      </c>
      <c r="JM82">
        <v>-0.51421082072017499</v>
      </c>
      <c r="JN82">
        <v>0</v>
      </c>
      <c r="JO82">
        <v>1.29754191076289</v>
      </c>
      <c r="JP82">
        <v>-1.7088380002179399E-2</v>
      </c>
      <c r="JQ82">
        <v>1.1635317545498E-3</v>
      </c>
      <c r="JR82">
        <v>1.8455519164767498E-2</v>
      </c>
      <c r="JS82">
        <v>1596.52649815738</v>
      </c>
      <c r="JT82">
        <v>4.3567659408684303E-2</v>
      </c>
      <c r="JU82">
        <v>0</v>
      </c>
      <c r="JV82">
        <v>365</v>
      </c>
      <c r="JW82">
        <v>0</v>
      </c>
      <c r="JX82">
        <v>-0.40268092994350901</v>
      </c>
      <c r="JY82">
        <v>0</v>
      </c>
      <c r="JZ82">
        <v>1.3302051815954601</v>
      </c>
      <c r="KA82">
        <v>1.4079094092719999</v>
      </c>
      <c r="KB82">
        <v>1.4421029523009301</v>
      </c>
      <c r="KC82">
        <v>0</v>
      </c>
      <c r="KD82">
        <v>0</v>
      </c>
      <c r="KE82">
        <v>0</v>
      </c>
      <c r="KF82">
        <v>3.60500426671095E-3</v>
      </c>
      <c r="KG82">
        <v>2.2824857270325301E-2</v>
      </c>
      <c r="KH82">
        <v>3.75967248505217E-2</v>
      </c>
      <c r="KI82">
        <v>0</v>
      </c>
      <c r="KJ82">
        <v>0</v>
      </c>
      <c r="KK82">
        <v>0</v>
      </c>
      <c r="KL82">
        <v>0</v>
      </c>
      <c r="KM82">
        <v>0</v>
      </c>
      <c r="KN82">
        <v>0</v>
      </c>
      <c r="KO82">
        <v>0</v>
      </c>
      <c r="KP82">
        <v>0</v>
      </c>
      <c r="KQ82">
        <v>0</v>
      </c>
      <c r="KR82">
        <v>0</v>
      </c>
      <c r="KS82">
        <v>0</v>
      </c>
      <c r="KT82">
        <v>0</v>
      </c>
      <c r="KU82">
        <v>0.34999999999999898</v>
      </c>
      <c r="KV82">
        <v>-0.113050641540032</v>
      </c>
      <c r="KW82">
        <v>1.79535458027288E-3</v>
      </c>
      <c r="KX82">
        <v>34563.499180859297</v>
      </c>
      <c r="KY82">
        <v>0</v>
      </c>
      <c r="KZ82">
        <v>0.210544752475159</v>
      </c>
      <c r="LA82">
        <v>1.73602675993533E-5</v>
      </c>
      <c r="LB82">
        <v>0</v>
      </c>
      <c r="LC82">
        <v>-12.1297789772246</v>
      </c>
      <c r="LD82">
        <v>1.5721733222234399E-2</v>
      </c>
      <c r="LE82">
        <v>3.41672945493813E-3</v>
      </c>
      <c r="LF82">
        <v>1.5721733222234399E-2</v>
      </c>
      <c r="LG82">
        <v>0.95469353360487397</v>
      </c>
      <c r="LH82">
        <v>1.2428335609146199</v>
      </c>
      <c r="LI82">
        <v>0</v>
      </c>
      <c r="LJ82">
        <v>0</v>
      </c>
      <c r="LK82">
        <v>0.244346482456438</v>
      </c>
      <c r="LL82">
        <v>0</v>
      </c>
      <c r="LM82">
        <v>0</v>
      </c>
      <c r="LN82">
        <v>0</v>
      </c>
      <c r="LO82">
        <v>0</v>
      </c>
      <c r="LP82">
        <v>0</v>
      </c>
      <c r="LQ82">
        <v>0</v>
      </c>
      <c r="LR82">
        <v>0</v>
      </c>
      <c r="LS82">
        <v>0</v>
      </c>
      <c r="LT82">
        <v>-999</v>
      </c>
      <c r="LU82">
        <v>0.42569737652579998</v>
      </c>
      <c r="LV82">
        <v>81</v>
      </c>
      <c r="LW82">
        <v>316.8</v>
      </c>
      <c r="LX82">
        <v>2.96</v>
      </c>
      <c r="LY82">
        <v>0</v>
      </c>
      <c r="LZ82">
        <v>-999</v>
      </c>
      <c r="MA82">
        <v>0</v>
      </c>
      <c r="MB82">
        <v>0</v>
      </c>
      <c r="MC82">
        <v>716.79999999999905</v>
      </c>
      <c r="MD82">
        <v>-23.6999999999999</v>
      </c>
      <c r="ME82">
        <v>-33.6</v>
      </c>
      <c r="MF82">
        <v>0</v>
      </c>
      <c r="MG82">
        <v>8.0706896550000007</v>
      </c>
      <c r="MH82">
        <v>0</v>
      </c>
      <c r="MI82">
        <v>0</v>
      </c>
      <c r="MJ82">
        <v>0</v>
      </c>
      <c r="MK82">
        <v>0</v>
      </c>
      <c r="ML82">
        <v>0</v>
      </c>
      <c r="MM82">
        <v>0</v>
      </c>
      <c r="MN82">
        <v>0</v>
      </c>
      <c r="MO82">
        <v>0</v>
      </c>
      <c r="MP82">
        <v>0</v>
      </c>
      <c r="MQ82">
        <v>0</v>
      </c>
      <c r="MR82">
        <v>0</v>
      </c>
      <c r="MS82">
        <v>0</v>
      </c>
      <c r="MT82">
        <v>0</v>
      </c>
      <c r="MU82">
        <v>0</v>
      </c>
      <c r="MV82">
        <v>0</v>
      </c>
    </row>
    <row r="83" spans="1:360" x14ac:dyDescent="0.25">
      <c r="A83">
        <v>29930</v>
      </c>
      <c r="B83">
        <v>0</v>
      </c>
      <c r="C83">
        <v>-33.6</v>
      </c>
      <c r="D83">
        <v>-23.6999999999999</v>
      </c>
      <c r="E83">
        <v>400</v>
      </c>
      <c r="F83">
        <v>0</v>
      </c>
      <c r="G83">
        <v>0</v>
      </c>
      <c r="H83">
        <v>0</v>
      </c>
      <c r="I83">
        <v>0</v>
      </c>
      <c r="J83">
        <v>0</v>
      </c>
      <c r="K83">
        <v>0</v>
      </c>
      <c r="L83" s="159">
        <v>6.5753399999999896E-6</v>
      </c>
      <c r="M83">
        <v>0</v>
      </c>
      <c r="N83">
        <v>0</v>
      </c>
      <c r="O83">
        <v>0</v>
      </c>
      <c r="P83">
        <v>0</v>
      </c>
      <c r="Q83">
        <v>0</v>
      </c>
      <c r="R83">
        <v>0</v>
      </c>
      <c r="S83">
        <v>0</v>
      </c>
      <c r="T83">
        <v>0</v>
      </c>
      <c r="U83">
        <v>724.803311748287</v>
      </c>
      <c r="V83">
        <v>14.312592031493899</v>
      </c>
      <c r="W83">
        <v>1.3850383524502901</v>
      </c>
      <c r="X83">
        <v>0.28714738373952198</v>
      </c>
      <c r="Y83">
        <v>0.26781325314041898</v>
      </c>
      <c r="Z83">
        <v>0.44503936312005798</v>
      </c>
      <c r="AA83">
        <v>0.112526213524789</v>
      </c>
      <c r="AB83">
        <v>0.53837023413551099</v>
      </c>
      <c r="AC83">
        <v>0.34910355233969897</v>
      </c>
      <c r="AD83">
        <v>0.88450400651691097</v>
      </c>
      <c r="AE83">
        <v>3.8376925581876803E-2</v>
      </c>
      <c r="AF83">
        <v>7.7119067901211605E-2</v>
      </c>
      <c r="AG83">
        <v>0</v>
      </c>
      <c r="AH83">
        <v>3438.9657134437098</v>
      </c>
      <c r="AI83">
        <v>78.993868325502604</v>
      </c>
      <c r="AJ83">
        <v>8.1451071184089194</v>
      </c>
      <c r="AK83">
        <v>416.46861802794803</v>
      </c>
      <c r="AL83">
        <v>7.7332631128802296</v>
      </c>
      <c r="AM83">
        <v>0.86750905548016</v>
      </c>
      <c r="AN83">
        <v>8689.4031832659803</v>
      </c>
      <c r="AO83">
        <v>312.53832989804903</v>
      </c>
      <c r="AP83">
        <v>31.2538329898047</v>
      </c>
      <c r="AQ83">
        <v>3.0595117227038299E-2</v>
      </c>
      <c r="AR83">
        <v>6.3827683280991898E-3</v>
      </c>
      <c r="AS83">
        <v>1.86244752565119E-2</v>
      </c>
      <c r="AT83">
        <v>9.48</v>
      </c>
      <c r="AU83">
        <v>5.9686822465475498</v>
      </c>
      <c r="AV83">
        <v>0</v>
      </c>
      <c r="AW83">
        <v>85.533920905795995</v>
      </c>
      <c r="AX83">
        <v>66.713233491608193</v>
      </c>
      <c r="AY83">
        <v>361.43218250198697</v>
      </c>
      <c r="AZ83">
        <v>0.54833294000258304</v>
      </c>
      <c r="BA83">
        <v>0.85459446816387696</v>
      </c>
      <c r="BB83">
        <v>1.42299993651866E-2</v>
      </c>
      <c r="BC83">
        <v>1.1923908728515E-3</v>
      </c>
      <c r="BD83">
        <v>0.60211678433115301</v>
      </c>
      <c r="BE83">
        <v>9.3471494419247892E-3</v>
      </c>
      <c r="BF83">
        <v>7.6014794179586197E-4</v>
      </c>
      <c r="BG83">
        <v>766.29999847710098</v>
      </c>
      <c r="BH83">
        <v>-1626.59999865293</v>
      </c>
      <c r="BI83">
        <v>434.89924849137401</v>
      </c>
      <c r="BJ83">
        <v>213.28972841563501</v>
      </c>
      <c r="BK83">
        <v>3.6034973997460602</v>
      </c>
      <c r="BL83">
        <v>4.8459166410071601</v>
      </c>
      <c r="BM83">
        <v>194.98851626129201</v>
      </c>
      <c r="BN83">
        <v>22.524673199243299</v>
      </c>
      <c r="BO83">
        <v>217.51318946053499</v>
      </c>
      <c r="BP83">
        <v>3.5300117995438902</v>
      </c>
      <c r="BQ83">
        <v>0.29751953484712701</v>
      </c>
      <c r="BR83">
        <v>209.68623101588901</v>
      </c>
      <c r="BS83">
        <v>2.2042943448317001</v>
      </c>
      <c r="BT83">
        <v>0.29674406059288699</v>
      </c>
      <c r="BU83">
        <v>3.54066901056899</v>
      </c>
      <c r="BV83">
        <v>1.7386620426784301</v>
      </c>
      <c r="BW83">
        <v>0.49229976761835298</v>
      </c>
      <c r="BX83">
        <v>1.3097072002721999</v>
      </c>
      <c r="BY83">
        <v>0</v>
      </c>
      <c r="BZ83">
        <v>3.1117588584070299</v>
      </c>
      <c r="CA83">
        <v>0.41825294113685202</v>
      </c>
      <c r="CB83">
        <v>0.29854718366222499</v>
      </c>
      <c r="CC83">
        <v>0.25060037425202097</v>
      </c>
      <c r="CD83">
        <v>4.69191605951053E-2</v>
      </c>
      <c r="CE83">
        <v>22.255643113111699</v>
      </c>
      <c r="CF83">
        <v>167.22719386008399</v>
      </c>
      <c r="CG83">
        <v>42.2205944451471</v>
      </c>
      <c r="CH83">
        <v>0.41325741361982599</v>
      </c>
      <c r="CI83">
        <v>7.3718588421812097</v>
      </c>
      <c r="CJ83">
        <v>1.74971873132806</v>
      </c>
      <c r="CK83">
        <v>9.7987156474350599</v>
      </c>
      <c r="CL83">
        <v>1.51858002176733</v>
      </c>
      <c r="CM83">
        <v>0.103259518157</v>
      </c>
      <c r="CN83">
        <v>4.6358767744808398E-2</v>
      </c>
      <c r="CO83">
        <v>0.54195475630516898</v>
      </c>
      <c r="CP83">
        <v>0.68598318980746598</v>
      </c>
      <c r="CQ83">
        <v>0.15185800217673101</v>
      </c>
      <c r="CR83">
        <v>42.459037155805099</v>
      </c>
      <c r="CS83">
        <v>1.5271562709059201</v>
      </c>
      <c r="CT83">
        <v>0.152715627090591</v>
      </c>
      <c r="CU83">
        <v>1.46999999999995E-2</v>
      </c>
      <c r="CV83">
        <v>2.1609044762961899E-3</v>
      </c>
      <c r="CW83">
        <v>2.2278787221470302</v>
      </c>
      <c r="CX83">
        <v>2.0299999999999398E-2</v>
      </c>
      <c r="CY83">
        <v>6.1561821396733402E-3</v>
      </c>
      <c r="CZ83">
        <v>0</v>
      </c>
      <c r="DA83">
        <v>2.3999991000028999E-3</v>
      </c>
      <c r="DB83">
        <v>1.49224658118085E-3</v>
      </c>
      <c r="DC83">
        <v>1.9999999999999402E-3</v>
      </c>
      <c r="DD83">
        <v>3.23048935062619E-3</v>
      </c>
      <c r="DE83">
        <v>9.0857249811254195E-4</v>
      </c>
      <c r="DF83">
        <v>2.3999991000000602E-3</v>
      </c>
      <c r="DG83">
        <v>0</v>
      </c>
      <c r="DH83">
        <v>0</v>
      </c>
      <c r="DI83">
        <v>0.23180769399999299</v>
      </c>
      <c r="DJ83">
        <v>1.8846155199999399E-2</v>
      </c>
      <c r="DK83">
        <v>2.5419180378523301</v>
      </c>
      <c r="DL83">
        <v>0.16592154294075201</v>
      </c>
      <c r="DM83">
        <v>59.084334646949301</v>
      </c>
      <c r="DN83">
        <v>239.392821723537</v>
      </c>
      <c r="DO83">
        <v>327.66000000000003</v>
      </c>
      <c r="DP83">
        <v>29.164949248853699</v>
      </c>
      <c r="DQ83">
        <v>157.94999999999899</v>
      </c>
      <c r="DR83">
        <v>169.71</v>
      </c>
      <c r="DS83">
        <v>156.717344486245</v>
      </c>
      <c r="DT83">
        <v>0</v>
      </c>
      <c r="DU83">
        <v>0</v>
      </c>
      <c r="DV83">
        <v>0</v>
      </c>
      <c r="DW83">
        <v>0</v>
      </c>
      <c r="DX83">
        <v>0</v>
      </c>
      <c r="DY83">
        <v>0</v>
      </c>
      <c r="DZ83">
        <v>0</v>
      </c>
      <c r="EA83">
        <v>0</v>
      </c>
      <c r="EB83">
        <v>0</v>
      </c>
      <c r="EC83">
        <v>0</v>
      </c>
      <c r="ED83">
        <v>0</v>
      </c>
      <c r="EE83">
        <v>0</v>
      </c>
      <c r="EF83">
        <v>1.24907673860349</v>
      </c>
      <c r="EG83">
        <v>0</v>
      </c>
      <c r="EH83">
        <v>0</v>
      </c>
      <c r="EI83">
        <v>0</v>
      </c>
      <c r="EJ83">
        <v>0</v>
      </c>
      <c r="EK83">
        <v>0</v>
      </c>
      <c r="EL83">
        <v>0</v>
      </c>
      <c r="EM83">
        <v>0</v>
      </c>
      <c r="EN83">
        <v>0</v>
      </c>
      <c r="EO83">
        <v>0</v>
      </c>
      <c r="EP83">
        <v>0</v>
      </c>
      <c r="EQ83">
        <v>0</v>
      </c>
      <c r="ER83">
        <v>0</v>
      </c>
      <c r="ES83">
        <v>0</v>
      </c>
      <c r="ET83">
        <v>0</v>
      </c>
      <c r="EU83">
        <v>0</v>
      </c>
      <c r="EV83">
        <v>842.19243725986996</v>
      </c>
      <c r="EW83">
        <v>-28.649999999999899</v>
      </c>
      <c r="EX83">
        <v>1525.90170894376</v>
      </c>
      <c r="EY83">
        <v>850.91891775752799</v>
      </c>
      <c r="EZ83">
        <v>87.206585045459803</v>
      </c>
      <c r="FA83">
        <v>691.87943885070001</v>
      </c>
      <c r="FB83">
        <v>746.815673828125</v>
      </c>
      <c r="FC83">
        <v>0.37612200130106799</v>
      </c>
      <c r="FD83">
        <v>0.68593727252514902</v>
      </c>
      <c r="FE83">
        <v>0</v>
      </c>
      <c r="FF83">
        <v>1</v>
      </c>
      <c r="FG83" s="159">
        <v>5.9041998843994397E-13</v>
      </c>
      <c r="FH83">
        <v>0</v>
      </c>
      <c r="FI83">
        <v>5.4512674794765098E-5</v>
      </c>
      <c r="FJ83">
        <v>-4.9439192728104901E-3</v>
      </c>
      <c r="FK83" s="159">
        <v>6.57534000000779E-6</v>
      </c>
      <c r="FL83" s="159">
        <v>2.2384918892395798E-6</v>
      </c>
      <c r="FM83" s="159">
        <v>4.0881495894356003E-6</v>
      </c>
      <c r="FN83">
        <v>0</v>
      </c>
      <c r="FO83">
        <v>0</v>
      </c>
      <c r="FP83">
        <v>0</v>
      </c>
      <c r="FQ83">
        <v>0</v>
      </c>
      <c r="FR83">
        <v>0</v>
      </c>
      <c r="FS83">
        <v>0</v>
      </c>
      <c r="FT83">
        <v>0</v>
      </c>
      <c r="FU83">
        <v>0</v>
      </c>
      <c r="FV83">
        <v>-999</v>
      </c>
      <c r="FW83">
        <v>0.493295413762672</v>
      </c>
      <c r="FX83">
        <v>3.2469809123345001E-3</v>
      </c>
      <c r="FY83">
        <v>1.2398985875645001</v>
      </c>
      <c r="FZ83">
        <v>8.8002146568655001E-4</v>
      </c>
      <c r="GA83">
        <v>41.401648841269598</v>
      </c>
      <c r="GB83">
        <v>1.07503239511941E-2</v>
      </c>
      <c r="GC83">
        <v>2.9054929597821999E-3</v>
      </c>
      <c r="GD83">
        <v>0</v>
      </c>
      <c r="GE83">
        <v>7.0324953378032504E-3</v>
      </c>
      <c r="GF83">
        <v>0.36009906858421797</v>
      </c>
      <c r="GG83">
        <v>5.6157205396191803E-4</v>
      </c>
      <c r="GH83">
        <v>9.3797601428739202E-3</v>
      </c>
      <c r="GI83">
        <v>1.8426000184938701E-2</v>
      </c>
      <c r="GJ83">
        <v>9.0768517023879895E-4</v>
      </c>
      <c r="GK83">
        <v>1.76244853936362E-3</v>
      </c>
      <c r="GL83">
        <v>0.40980042195446797</v>
      </c>
      <c r="GM83">
        <v>6.8546203280579103E-3</v>
      </c>
      <c r="GN83">
        <v>5.67971864043713E-4</v>
      </c>
      <c r="GO83">
        <v>0</v>
      </c>
      <c r="GP83">
        <v>0</v>
      </c>
      <c r="GQ83">
        <v>0</v>
      </c>
      <c r="GR83">
        <v>6.2120486238258103E-2</v>
      </c>
      <c r="GS83">
        <v>1.1534940304872201E-3</v>
      </c>
      <c r="GT83">
        <v>1.2939770731753699E-4</v>
      </c>
      <c r="GU83">
        <v>3.93074128883436E-2</v>
      </c>
      <c r="GV83">
        <v>7.2988588573985103E-4</v>
      </c>
      <c r="GW83">
        <v>8.1877805798676796E-5</v>
      </c>
      <c r="GX83">
        <v>0.126199759322945</v>
      </c>
      <c r="GY83">
        <v>0.13676428328023299</v>
      </c>
      <c r="GZ83">
        <v>58.930340784801402</v>
      </c>
      <c r="HA83">
        <v>676.71565777030798</v>
      </c>
      <c r="HB83">
        <v>0</v>
      </c>
      <c r="HC83">
        <v>0.99981307549366805</v>
      </c>
      <c r="HD83">
        <v>0.43223910245267899</v>
      </c>
      <c r="HE83">
        <v>1.12240588613434E-2</v>
      </c>
      <c r="HF83">
        <v>9.7174786754442998E-4</v>
      </c>
      <c r="HG83">
        <v>1.3464418126394401E-2</v>
      </c>
      <c r="HH83" s="159">
        <v>4.7618781681078999E-7</v>
      </c>
      <c r="HI83" s="159">
        <v>3.3333254124594199E-7</v>
      </c>
      <c r="HJ83">
        <v>0</v>
      </c>
      <c r="HK83">
        <v>0</v>
      </c>
      <c r="HL83">
        <v>0</v>
      </c>
      <c r="HM83">
        <v>0</v>
      </c>
      <c r="HN83">
        <v>0</v>
      </c>
      <c r="HO83">
        <v>1.1909375759134E-2</v>
      </c>
      <c r="HP83">
        <v>0.56900338573291298</v>
      </c>
      <c r="HQ83">
        <v>1.12240588613434E-2</v>
      </c>
      <c r="HR83">
        <v>9.7174786754442998E-4</v>
      </c>
      <c r="HS83">
        <v>0.71415904541157305</v>
      </c>
      <c r="HT83">
        <v>-999</v>
      </c>
      <c r="HU83">
        <v>1</v>
      </c>
      <c r="HV83">
        <v>0.81309678796899498</v>
      </c>
      <c r="HW83">
        <v>0.18690321203100399</v>
      </c>
      <c r="HX83">
        <v>12544.837514737599</v>
      </c>
      <c r="HY83">
        <v>399.265461336432</v>
      </c>
      <c r="HZ83">
        <v>40.2664491636938</v>
      </c>
      <c r="IA83">
        <v>-0.13676428328023299</v>
      </c>
      <c r="IB83">
        <v>0</v>
      </c>
      <c r="IC83">
        <v>0</v>
      </c>
      <c r="ID83">
        <v>0</v>
      </c>
      <c r="IE83">
        <v>0</v>
      </c>
      <c r="IF83">
        <v>0</v>
      </c>
      <c r="IG83">
        <v>0</v>
      </c>
      <c r="IH83">
        <v>0</v>
      </c>
      <c r="II83">
        <v>46.337800049999601</v>
      </c>
      <c r="IJ83">
        <v>463.37800049999902</v>
      </c>
      <c r="IK83">
        <v>1.09608046623279E-2</v>
      </c>
      <c r="IL83">
        <v>2.4110242590901299E-3</v>
      </c>
      <c r="IM83">
        <v>1.3371828921418E-2</v>
      </c>
      <c r="IN83">
        <v>8.3849761624293603E-4</v>
      </c>
      <c r="IO83">
        <v>0.42631771643445798</v>
      </c>
      <c r="IP83">
        <v>1.92330661856309E-2</v>
      </c>
      <c r="IQ83">
        <v>1.5595471777180201E-3</v>
      </c>
      <c r="IR83">
        <v>0.29009574840945002</v>
      </c>
      <c r="IS83">
        <v>0.23128078734691701</v>
      </c>
      <c r="IT83">
        <v>0.28522629863733001</v>
      </c>
      <c r="IU83">
        <v>0.30264475942519597</v>
      </c>
      <c r="IV83">
        <v>1.4784827495122801E-2</v>
      </c>
      <c r="IW83">
        <v>1.11472330866721E-3</v>
      </c>
      <c r="IX83">
        <v>7.4951353320665506E-2</v>
      </c>
      <c r="IY83">
        <v>2.6958319571994799E-3</v>
      </c>
      <c r="IZ83">
        <v>2.6958319571994697E-4</v>
      </c>
      <c r="JA83">
        <v>7.5000822202623496E-2</v>
      </c>
      <c r="JB83">
        <v>2.6976112418549501E-3</v>
      </c>
      <c r="JC83">
        <v>2.6976112418549298E-4</v>
      </c>
      <c r="JD83">
        <v>1.8427848164176099E-4</v>
      </c>
      <c r="JE83">
        <v>3.2898005834114501E-3</v>
      </c>
      <c r="JF83" s="159">
        <v>-3.6253010142484002E-19</v>
      </c>
      <c r="JG83">
        <v>0</v>
      </c>
      <c r="JH83">
        <v>4.1106098155597398E-3</v>
      </c>
      <c r="JI83">
        <v>5.4598681660977398E-4</v>
      </c>
      <c r="JJ83">
        <v>-0.51440986490805296</v>
      </c>
      <c r="JK83">
        <v>1.8427848164176099E-4</v>
      </c>
      <c r="JL83" s="159">
        <v>6.5753399999999896E-6</v>
      </c>
      <c r="JM83">
        <v>-0.51440986490805296</v>
      </c>
      <c r="JN83">
        <v>0</v>
      </c>
      <c r="JO83">
        <v>1.2933870558935201</v>
      </c>
      <c r="JP83">
        <v>-1.7132956199722899E-2</v>
      </c>
      <c r="JQ83">
        <v>1.16950974937381E-3</v>
      </c>
      <c r="JR83">
        <v>1.7894380659072302E-2</v>
      </c>
      <c r="JS83">
        <v>1597.7346028044301</v>
      </c>
      <c r="JT83">
        <v>4.3505684211188403E-2</v>
      </c>
      <c r="JU83">
        <v>0</v>
      </c>
      <c r="JV83">
        <v>365</v>
      </c>
      <c r="JW83">
        <v>0</v>
      </c>
      <c r="JX83">
        <v>-0.40268092994350901</v>
      </c>
      <c r="JY83">
        <v>0</v>
      </c>
      <c r="JZ83">
        <v>1.33047959652446</v>
      </c>
      <c r="KA83">
        <v>1.40803193869635</v>
      </c>
      <c r="KB83">
        <v>1.44237477366093</v>
      </c>
      <c r="KC83">
        <v>0</v>
      </c>
      <c r="KD83">
        <v>0</v>
      </c>
      <c r="KE83">
        <v>0</v>
      </c>
      <c r="KF83">
        <v>3.60594962007252E-3</v>
      </c>
      <c r="KG83">
        <v>2.2835509346596901E-2</v>
      </c>
      <c r="KH83">
        <v>3.7567770616969497E-2</v>
      </c>
      <c r="KI83">
        <v>0</v>
      </c>
      <c r="KJ83">
        <v>0</v>
      </c>
      <c r="KK83">
        <v>0</v>
      </c>
      <c r="KL83">
        <v>0</v>
      </c>
      <c r="KM83">
        <v>0</v>
      </c>
      <c r="KN83">
        <v>0</v>
      </c>
      <c r="KO83">
        <v>0</v>
      </c>
      <c r="KP83">
        <v>0</v>
      </c>
      <c r="KQ83">
        <v>0</v>
      </c>
      <c r="KR83">
        <v>0</v>
      </c>
      <c r="KS83">
        <v>0</v>
      </c>
      <c r="KT83">
        <v>0</v>
      </c>
      <c r="KU83">
        <v>0.34999999999999898</v>
      </c>
      <c r="KV83">
        <v>-0.112997270927779</v>
      </c>
      <c r="KW83">
        <v>1.7945636698563801E-3</v>
      </c>
      <c r="KX83">
        <v>34593.971942534998</v>
      </c>
      <c r="KY83">
        <v>0</v>
      </c>
      <c r="KZ83">
        <v>0.21055172959055399</v>
      </c>
      <c r="LA83">
        <v>1.73602675993533E-5</v>
      </c>
      <c r="LB83">
        <v>0</v>
      </c>
      <c r="LC83">
        <v>-12.129483240203401</v>
      </c>
      <c r="LD83">
        <v>1.57218915888197E-2</v>
      </c>
      <c r="LE83">
        <v>3.4168788573771302E-3</v>
      </c>
      <c r="LF83">
        <v>1.57218915888197E-2</v>
      </c>
      <c r="LG83">
        <v>0.95482093367805598</v>
      </c>
      <c r="LH83">
        <v>1.2429783337250599</v>
      </c>
      <c r="LI83">
        <v>0</v>
      </c>
      <c r="LJ83">
        <v>0</v>
      </c>
      <c r="LK83">
        <v>0.244382631159417</v>
      </c>
      <c r="LL83">
        <v>0</v>
      </c>
      <c r="LM83">
        <v>0</v>
      </c>
      <c r="LN83">
        <v>0</v>
      </c>
      <c r="LO83">
        <v>0</v>
      </c>
      <c r="LP83">
        <v>0</v>
      </c>
      <c r="LQ83">
        <v>0</v>
      </c>
      <c r="LR83">
        <v>0</v>
      </c>
      <c r="LS83">
        <v>0</v>
      </c>
      <c r="LT83">
        <v>-999</v>
      </c>
      <c r="LU83">
        <v>0.42569838465534998</v>
      </c>
      <c r="LV83">
        <v>82</v>
      </c>
      <c r="LW83">
        <v>320.75999999999902</v>
      </c>
      <c r="LX83">
        <v>2.9969999999999901</v>
      </c>
      <c r="LY83">
        <v>0</v>
      </c>
      <c r="LZ83">
        <v>-999</v>
      </c>
      <c r="MA83">
        <v>0</v>
      </c>
      <c r="MB83">
        <v>0</v>
      </c>
      <c r="MC83">
        <v>720.75999999999897</v>
      </c>
      <c r="MD83">
        <v>-23.6999999999999</v>
      </c>
      <c r="ME83">
        <v>-33.6</v>
      </c>
      <c r="MF83">
        <v>0</v>
      </c>
      <c r="MG83">
        <v>8.0706896550000007</v>
      </c>
      <c r="MH83">
        <v>0</v>
      </c>
      <c r="MI83">
        <v>0</v>
      </c>
      <c r="MJ83">
        <v>0</v>
      </c>
      <c r="MK83">
        <v>0</v>
      </c>
      <c r="ML83">
        <v>0</v>
      </c>
      <c r="MM83">
        <v>0</v>
      </c>
      <c r="MN83">
        <v>0</v>
      </c>
      <c r="MO83">
        <v>0</v>
      </c>
      <c r="MP83">
        <v>0</v>
      </c>
      <c r="MQ83">
        <v>0</v>
      </c>
      <c r="MR83">
        <v>0</v>
      </c>
      <c r="MS83">
        <v>0</v>
      </c>
      <c r="MT83">
        <v>0</v>
      </c>
      <c r="MU83">
        <v>0</v>
      </c>
      <c r="MV83">
        <v>0</v>
      </c>
    </row>
    <row r="84" spans="1:360" x14ac:dyDescent="0.25">
      <c r="A84">
        <v>30295</v>
      </c>
      <c r="B84">
        <v>0</v>
      </c>
      <c r="C84">
        <v>-33.6</v>
      </c>
      <c r="D84">
        <v>-23.6999999999999</v>
      </c>
      <c r="E84">
        <v>400</v>
      </c>
      <c r="F84">
        <v>0</v>
      </c>
      <c r="G84">
        <v>0</v>
      </c>
      <c r="H84">
        <v>0</v>
      </c>
      <c r="I84">
        <v>0</v>
      </c>
      <c r="J84">
        <v>0</v>
      </c>
      <c r="K84">
        <v>0</v>
      </c>
      <c r="L84" s="159">
        <v>6.5753399999999896E-6</v>
      </c>
      <c r="M84">
        <v>0</v>
      </c>
      <c r="N84">
        <v>0</v>
      </c>
      <c r="O84">
        <v>0</v>
      </c>
      <c r="P84">
        <v>0</v>
      </c>
      <c r="Q84">
        <v>0</v>
      </c>
      <c r="R84">
        <v>0</v>
      </c>
      <c r="S84">
        <v>0</v>
      </c>
      <c r="T84">
        <v>0</v>
      </c>
      <c r="U84">
        <v>725.42001036607701</v>
      </c>
      <c r="V84">
        <v>14.3231918926685</v>
      </c>
      <c r="W84">
        <v>1.3860611995823999</v>
      </c>
      <c r="X84">
        <v>0.28628764273677898</v>
      </c>
      <c r="Y84">
        <v>0.26764641870859901</v>
      </c>
      <c r="Z84">
        <v>0.44606593855462101</v>
      </c>
      <c r="AA84">
        <v>0.11253199684995201</v>
      </c>
      <c r="AB84">
        <v>0.53911064726763203</v>
      </c>
      <c r="AC84">
        <v>0.34835735588241501</v>
      </c>
      <c r="AD84">
        <v>0.88449963225940298</v>
      </c>
      <c r="AE84">
        <v>3.8278963753021998E-2</v>
      </c>
      <c r="AF84">
        <v>7.7221403987574697E-2</v>
      </c>
      <c r="AG84">
        <v>0</v>
      </c>
      <c r="AH84">
        <v>3439.6066834153098</v>
      </c>
      <c r="AI84">
        <v>78.969619972282601</v>
      </c>
      <c r="AJ84">
        <v>8.1461886816570406</v>
      </c>
      <c r="AK84">
        <v>416.73570241886603</v>
      </c>
      <c r="AL84">
        <v>7.7382225114492798</v>
      </c>
      <c r="AM84">
        <v>0.86806539542431904</v>
      </c>
      <c r="AN84">
        <v>8689.1668373131397</v>
      </c>
      <c r="AO84">
        <v>312.529829064583</v>
      </c>
      <c r="AP84">
        <v>31.252982906458101</v>
      </c>
      <c r="AQ84">
        <v>3.06063235398467E-2</v>
      </c>
      <c r="AR84">
        <v>6.3867557940752596E-3</v>
      </c>
      <c r="AS84">
        <v>1.8575382474442698E-2</v>
      </c>
      <c r="AT84">
        <v>9.48</v>
      </c>
      <c r="AU84">
        <v>5.9680960685696398</v>
      </c>
      <c r="AV84">
        <v>0</v>
      </c>
      <c r="AW84">
        <v>85.546192992603494</v>
      </c>
      <c r="AX84">
        <v>66.718416819127597</v>
      </c>
      <c r="AY84">
        <v>361.43095005620199</v>
      </c>
      <c r="AZ84">
        <v>0.54833294000258304</v>
      </c>
      <c r="BA84">
        <v>0.85502357405779195</v>
      </c>
      <c r="BB84">
        <v>1.4235374916978899E-2</v>
      </c>
      <c r="BC84">
        <v>1.19289916723741E-3</v>
      </c>
      <c r="BD84">
        <v>0.60226508926651201</v>
      </c>
      <c r="BE84">
        <v>9.3496625269052103E-3</v>
      </c>
      <c r="BF84">
        <v>7.6029538909548199E-4</v>
      </c>
      <c r="BG84">
        <v>766.29999847710098</v>
      </c>
      <c r="BH84">
        <v>-1626.59999865293</v>
      </c>
      <c r="BI84">
        <v>435.09969374778399</v>
      </c>
      <c r="BJ84">
        <v>213.35283925961701</v>
      </c>
      <c r="BK84">
        <v>3.60156414753</v>
      </c>
      <c r="BL84">
        <v>4.85166279153455</v>
      </c>
      <c r="BM84">
        <v>195.05039173483101</v>
      </c>
      <c r="BN84">
        <v>22.537411698529599</v>
      </c>
      <c r="BO84">
        <v>217.58780343336099</v>
      </c>
      <c r="BP84">
        <v>3.5314034096906002</v>
      </c>
      <c r="BQ84">
        <v>0.297648039412923</v>
      </c>
      <c r="BR84">
        <v>209.75127511208601</v>
      </c>
      <c r="BS84">
        <v>2.2040817324455202</v>
      </c>
      <c r="BT84">
        <v>0.29686021956719399</v>
      </c>
      <c r="BU84">
        <v>3.54200327086527</v>
      </c>
      <c r="BV84">
        <v>1.7395180533641501</v>
      </c>
      <c r="BW84">
        <v>0.49122500357285798</v>
      </c>
      <c r="BX84">
        <v>1.3112602139282501</v>
      </c>
      <c r="BY84">
        <v>0</v>
      </c>
      <c r="BZ84">
        <v>3.1129139317238899</v>
      </c>
      <c r="CA84">
        <v>0.41848947796671099</v>
      </c>
      <c r="CB84">
        <v>0.29867088654503599</v>
      </c>
      <c r="CC84">
        <v>0.25070234437319</v>
      </c>
      <c r="CD84">
        <v>4.6945695039732602E-2</v>
      </c>
      <c r="CE84">
        <v>22.270327307612799</v>
      </c>
      <c r="CF84">
        <v>167.292731922527</v>
      </c>
      <c r="CG84">
        <v>42.222197236726302</v>
      </c>
      <c r="CH84">
        <v>0.41353007939765901</v>
      </c>
      <c r="CI84">
        <v>7.3762909808076804</v>
      </c>
      <c r="CJ84">
        <v>1.7505925858323801</v>
      </c>
      <c r="CK84">
        <v>9.8038267950368407</v>
      </c>
      <c r="CL84">
        <v>1.5186376705831099</v>
      </c>
      <c r="CM84">
        <v>0.10342301203957099</v>
      </c>
      <c r="CN84">
        <v>4.6389355095573202E-2</v>
      </c>
      <c r="CO84">
        <v>0.540505286252001</v>
      </c>
      <c r="CP84">
        <v>0.68465165541432305</v>
      </c>
      <c r="CQ84">
        <v>0.15186376705830901</v>
      </c>
      <c r="CR84">
        <v>42.458543189559101</v>
      </c>
      <c r="CS84">
        <v>1.52713850404872</v>
      </c>
      <c r="CT84">
        <v>0.15271385040487101</v>
      </c>
      <c r="CU84">
        <v>1.4700000000002E-2</v>
      </c>
      <c r="CV84">
        <v>2.16297053997815E-3</v>
      </c>
      <c r="CW84">
        <v>2.22768208806096</v>
      </c>
      <c r="CX84">
        <v>2.0300000000002701E-2</v>
      </c>
      <c r="CY84">
        <v>6.1605111897572503E-3</v>
      </c>
      <c r="CZ84">
        <v>0</v>
      </c>
      <c r="DA84">
        <v>2.3999991000029398E-3</v>
      </c>
      <c r="DB84">
        <v>1.4921003595758501E-3</v>
      </c>
      <c r="DC84">
        <v>2.0000000000002698E-3</v>
      </c>
      <c r="DD84">
        <v>3.2246028821466799E-3</v>
      </c>
      <c r="DE84">
        <v>9.0592238165894E-4</v>
      </c>
      <c r="DF84">
        <v>2.3999991000000901E-3</v>
      </c>
      <c r="DG84">
        <v>0</v>
      </c>
      <c r="DH84">
        <v>0</v>
      </c>
      <c r="DI84">
        <v>0.23180769400003101</v>
      </c>
      <c r="DJ84">
        <v>1.8846155200002501E-2</v>
      </c>
      <c r="DK84">
        <v>2.5449648140693699</v>
      </c>
      <c r="DL84">
        <v>0.16612041867293501</v>
      </c>
      <c r="DM84">
        <v>58.793134291914598</v>
      </c>
      <c r="DN84">
        <v>239.70519377099899</v>
      </c>
      <c r="DO84">
        <v>327.66000000000003</v>
      </c>
      <c r="DP84">
        <v>29.144220816001098</v>
      </c>
      <c r="DQ84">
        <v>157.94999999999899</v>
      </c>
      <c r="DR84">
        <v>169.71</v>
      </c>
      <c r="DS84">
        <v>156.731358764243</v>
      </c>
      <c r="DT84">
        <v>0</v>
      </c>
      <c r="DU84">
        <v>0</v>
      </c>
      <c r="DV84">
        <v>0</v>
      </c>
      <c r="DW84">
        <v>0</v>
      </c>
      <c r="DX84">
        <v>0</v>
      </c>
      <c r="DY84">
        <v>0</v>
      </c>
      <c r="DZ84">
        <v>0</v>
      </c>
      <c r="EA84">
        <v>0</v>
      </c>
      <c r="EB84">
        <v>0</v>
      </c>
      <c r="EC84">
        <v>0</v>
      </c>
      <c r="ED84">
        <v>0</v>
      </c>
      <c r="EE84">
        <v>0</v>
      </c>
      <c r="EF84">
        <v>1.24854018876448</v>
      </c>
      <c r="EG84">
        <v>0</v>
      </c>
      <c r="EH84">
        <v>0</v>
      </c>
      <c r="EI84">
        <v>0</v>
      </c>
      <c r="EJ84">
        <v>0</v>
      </c>
      <c r="EK84">
        <v>0</v>
      </c>
      <c r="EL84">
        <v>0</v>
      </c>
      <c r="EM84">
        <v>0</v>
      </c>
      <c r="EN84">
        <v>0</v>
      </c>
      <c r="EO84">
        <v>0</v>
      </c>
      <c r="EP84">
        <v>0</v>
      </c>
      <c r="EQ84">
        <v>0</v>
      </c>
      <c r="ER84">
        <v>0</v>
      </c>
      <c r="ES84">
        <v>0</v>
      </c>
      <c r="ET84">
        <v>0</v>
      </c>
      <c r="EU84">
        <v>0</v>
      </c>
      <c r="EV84">
        <v>842.84631377618496</v>
      </c>
      <c r="EW84">
        <v>-28.649999999999899</v>
      </c>
      <c r="EX84">
        <v>1527.20002182332</v>
      </c>
      <c r="EY84">
        <v>851.29816616155699</v>
      </c>
      <c r="EZ84">
        <v>87.083952797346598</v>
      </c>
      <c r="FA84">
        <v>692.48233285244305</v>
      </c>
      <c r="FB84">
        <v>747.63372802734295</v>
      </c>
      <c r="FC84">
        <v>0.37559308841495498</v>
      </c>
      <c r="FD84">
        <v>0.68497268906220798</v>
      </c>
      <c r="FE84">
        <v>0</v>
      </c>
      <c r="FF84">
        <v>1</v>
      </c>
      <c r="FG84" s="159">
        <v>5.9044536538434499E-13</v>
      </c>
      <c r="FH84">
        <v>0</v>
      </c>
      <c r="FI84">
        <v>5.4512674794765098E-5</v>
      </c>
      <c r="FJ84">
        <v>-4.9378766181076301E-3</v>
      </c>
      <c r="FK84" s="159">
        <v>6.57534000000779E-6</v>
      </c>
      <c r="FL84" s="159">
        <v>2.23256152425655E-6</v>
      </c>
      <c r="FM84" s="159">
        <v>4.0877480965832803E-6</v>
      </c>
      <c r="FN84">
        <v>0</v>
      </c>
      <c r="FO84">
        <v>0</v>
      </c>
      <c r="FP84">
        <v>0</v>
      </c>
      <c r="FQ84">
        <v>0</v>
      </c>
      <c r="FR84">
        <v>0</v>
      </c>
      <c r="FS84">
        <v>0</v>
      </c>
      <c r="FT84">
        <v>0</v>
      </c>
      <c r="FU84">
        <v>0</v>
      </c>
      <c r="FV84">
        <v>-999</v>
      </c>
      <c r="FW84">
        <v>0.49347484034272099</v>
      </c>
      <c r="FX84">
        <v>3.24771503225033E-3</v>
      </c>
      <c r="FY84">
        <v>1.2406340995990801</v>
      </c>
      <c r="FZ84">
        <v>8.7816560905500205E-4</v>
      </c>
      <c r="GA84">
        <v>41.375290791922602</v>
      </c>
      <c r="GB84">
        <v>1.0756364045040699E-2</v>
      </c>
      <c r="GC84">
        <v>2.9071254175785802E-3</v>
      </c>
      <c r="GD84">
        <v>0</v>
      </c>
      <c r="GE84">
        <v>7.0330060588839199E-3</v>
      </c>
      <c r="GF84">
        <v>0.35914506963652498</v>
      </c>
      <c r="GG84">
        <v>5.6164968182489798E-4</v>
      </c>
      <c r="GH84">
        <v>9.3787268779423703E-3</v>
      </c>
      <c r="GI84">
        <v>1.8424102812446601E-2</v>
      </c>
      <c r="GJ84">
        <v>9.0758327643787801E-4</v>
      </c>
      <c r="GK84">
        <v>1.76231677619091E-3</v>
      </c>
      <c r="GL84">
        <v>0.41012266527948699</v>
      </c>
      <c r="GM84">
        <v>6.8600017629179303E-3</v>
      </c>
      <c r="GN84">
        <v>5.6841338575719098E-4</v>
      </c>
      <c r="GO84">
        <v>0</v>
      </c>
      <c r="GP84">
        <v>0</v>
      </c>
      <c r="GQ84">
        <v>0</v>
      </c>
      <c r="GR84">
        <v>6.2154499996715497E-2</v>
      </c>
      <c r="GS84">
        <v>1.1541256203171E-3</v>
      </c>
      <c r="GT84">
        <v>1.29468558378566E-4</v>
      </c>
      <c r="GU84">
        <v>3.9332719585644903E-2</v>
      </c>
      <c r="GV84">
        <v>7.3035579713359603E-4</v>
      </c>
      <c r="GW84">
        <v>8.1930519948369702E-5</v>
      </c>
      <c r="GX84">
        <v>0.12630599218108199</v>
      </c>
      <c r="GY84">
        <v>0.136871516212833</v>
      </c>
      <c r="GZ84">
        <v>58.930578800652903</v>
      </c>
      <c r="HA84">
        <v>676.72930822284104</v>
      </c>
      <c r="HB84">
        <v>0</v>
      </c>
      <c r="HC84">
        <v>0.999813076047394</v>
      </c>
      <c r="HD84">
        <v>0.43256057102418599</v>
      </c>
      <c r="HE84">
        <v>1.12325269960871E-2</v>
      </c>
      <c r="HF84">
        <v>9.7248006535985605E-4</v>
      </c>
      <c r="HG84">
        <v>1.3476282463740099E-2</v>
      </c>
      <c r="HH84" s="159">
        <v>4.7618781969346E-7</v>
      </c>
      <c r="HI84" s="159">
        <v>3.3333254113432501E-7</v>
      </c>
      <c r="HJ84">
        <v>0</v>
      </c>
      <c r="HK84">
        <v>0</v>
      </c>
      <c r="HL84">
        <v>0</v>
      </c>
      <c r="HM84">
        <v>0</v>
      </c>
      <c r="HN84">
        <v>0</v>
      </c>
      <c r="HO84">
        <v>1.19198108517851E-2</v>
      </c>
      <c r="HP84">
        <v>0.56943208723701999</v>
      </c>
      <c r="HQ84">
        <v>1.12325269960871E-2</v>
      </c>
      <c r="HR84">
        <v>9.7248006535985605E-4</v>
      </c>
      <c r="HS84">
        <v>0.71398797832297101</v>
      </c>
      <c r="HT84">
        <v>-999</v>
      </c>
      <c r="HU84">
        <v>1</v>
      </c>
      <c r="HV84">
        <v>0.81344276350881395</v>
      </c>
      <c r="HW84">
        <v>0.186557236491185</v>
      </c>
      <c r="HX84">
        <v>12545.509223147301</v>
      </c>
      <c r="HY84">
        <v>399.23767154831501</v>
      </c>
      <c r="HZ84">
        <v>40.267236983539398</v>
      </c>
      <c r="IA84">
        <v>-0.136871516212833</v>
      </c>
      <c r="IB84">
        <v>0</v>
      </c>
      <c r="IC84">
        <v>0</v>
      </c>
      <c r="ID84">
        <v>0</v>
      </c>
      <c r="IE84">
        <v>0</v>
      </c>
      <c r="IF84">
        <v>0</v>
      </c>
      <c r="IG84">
        <v>0</v>
      </c>
      <c r="IH84">
        <v>0</v>
      </c>
      <c r="II84">
        <v>46.337800049999601</v>
      </c>
      <c r="IJ84">
        <v>463.37800049999902</v>
      </c>
      <c r="IK84">
        <v>1.0972235758653999E-2</v>
      </c>
      <c r="IL84">
        <v>2.41406629894746E-3</v>
      </c>
      <c r="IM84">
        <v>1.33863020576014E-2</v>
      </c>
      <c r="IN84">
        <v>8.3651819738991297E-4</v>
      </c>
      <c r="IO84">
        <v>0.42639824397022502</v>
      </c>
      <c r="IP84">
        <v>1.9246097432633901E-2</v>
      </c>
      <c r="IQ84">
        <v>1.55766531190204E-3</v>
      </c>
      <c r="IR84">
        <v>0.29001292265626399</v>
      </c>
      <c r="IS84">
        <v>0.23110184666965</v>
      </c>
      <c r="IT84">
        <v>0.28554328223657499</v>
      </c>
      <c r="IU84">
        <v>0.30273724302092098</v>
      </c>
      <c r="IV84">
        <v>1.4798288774768201E-2</v>
      </c>
      <c r="IW84">
        <v>1.1128844461154701E-3</v>
      </c>
      <c r="IX84">
        <v>7.4952450540132096E-2</v>
      </c>
      <c r="IY84">
        <v>2.6958714217210902E-3</v>
      </c>
      <c r="IZ84">
        <v>2.6958714217210699E-4</v>
      </c>
      <c r="JA84">
        <v>7.4998970170664397E-2</v>
      </c>
      <c r="JB84">
        <v>2.6975446284221E-3</v>
      </c>
      <c r="JC84">
        <v>2.6975446284220801E-4</v>
      </c>
      <c r="JD84">
        <v>1.8456499856203399E-4</v>
      </c>
      <c r="JE84">
        <v>3.2909970545422201E-3</v>
      </c>
      <c r="JF84" s="159">
        <v>-1.3806637040244999E-18</v>
      </c>
      <c r="JG84">
        <v>0</v>
      </c>
      <c r="JH84">
        <v>4.1095313455888896E-3</v>
      </c>
      <c r="JI84">
        <v>5.4612071156777203E-4</v>
      </c>
      <c r="JJ84">
        <v>-0.51460772940441901</v>
      </c>
      <c r="JK84">
        <v>1.8456499856203399E-4</v>
      </c>
      <c r="JL84" s="159">
        <v>6.5753399999999896E-6</v>
      </c>
      <c r="JM84">
        <v>-0.51460772940441901</v>
      </c>
      <c r="JN84">
        <v>0</v>
      </c>
      <c r="JO84">
        <v>1.28840702746073</v>
      </c>
      <c r="JP84">
        <v>-1.7174733163091802E-2</v>
      </c>
      <c r="JQ84">
        <v>1.17539621785367E-3</v>
      </c>
      <c r="JR84">
        <v>1.74511210851662E-2</v>
      </c>
      <c r="JS84">
        <v>1598.9319023344001</v>
      </c>
      <c r="JT84">
        <v>4.34445053465718E-2</v>
      </c>
      <c r="JU84">
        <v>0</v>
      </c>
      <c r="JV84">
        <v>365</v>
      </c>
      <c r="JW84">
        <v>0</v>
      </c>
      <c r="JX84">
        <v>-0.40268092994350901</v>
      </c>
      <c r="JY84">
        <v>0</v>
      </c>
      <c r="JZ84">
        <v>1.3307551664633199</v>
      </c>
      <c r="KA84">
        <v>1.40815552885617</v>
      </c>
      <c r="KB84">
        <v>1.44264427537828</v>
      </c>
      <c r="KC84">
        <v>0</v>
      </c>
      <c r="KD84">
        <v>0</v>
      </c>
      <c r="KE84">
        <v>0</v>
      </c>
      <c r="KF84">
        <v>3.6068787389255501E-3</v>
      </c>
      <c r="KG84">
        <v>2.28460483689963E-2</v>
      </c>
      <c r="KH84">
        <v>3.75390779085868E-2</v>
      </c>
      <c r="KI84">
        <v>0</v>
      </c>
      <c r="KJ84">
        <v>0</v>
      </c>
      <c r="KK84">
        <v>0</v>
      </c>
      <c r="KL84">
        <v>0</v>
      </c>
      <c r="KM84">
        <v>0</v>
      </c>
      <c r="KN84">
        <v>0</v>
      </c>
      <c r="KO84">
        <v>0</v>
      </c>
      <c r="KP84">
        <v>0</v>
      </c>
      <c r="KQ84">
        <v>0</v>
      </c>
      <c r="KR84">
        <v>0</v>
      </c>
      <c r="KS84">
        <v>0</v>
      </c>
      <c r="KT84">
        <v>0</v>
      </c>
      <c r="KU84">
        <v>0.34999999999999898</v>
      </c>
      <c r="KV84">
        <v>-0.112944529082771</v>
      </c>
      <c r="KW84">
        <v>1.79378230171647E-3</v>
      </c>
      <c r="KX84">
        <v>34624.116642622103</v>
      </c>
      <c r="KY84">
        <v>0</v>
      </c>
      <c r="KZ84">
        <v>0.21055875397179699</v>
      </c>
      <c r="LA84">
        <v>1.73602675993533E-5</v>
      </c>
      <c r="LB84">
        <v>0</v>
      </c>
      <c r="LC84">
        <v>-12.1291932269055</v>
      </c>
      <c r="LD84">
        <v>1.57220441025679E-2</v>
      </c>
      <c r="LE84">
        <v>3.4170227382716001E-3</v>
      </c>
      <c r="LF84">
        <v>1.57220441025679E-2</v>
      </c>
      <c r="LG84">
        <v>0.95494430285773602</v>
      </c>
      <c r="LH84">
        <v>1.2431185259747</v>
      </c>
      <c r="LI84">
        <v>0</v>
      </c>
      <c r="LJ84">
        <v>0</v>
      </c>
      <c r="LK84">
        <v>0.24441769426458099</v>
      </c>
      <c r="LL84">
        <v>0</v>
      </c>
      <c r="LM84">
        <v>0</v>
      </c>
      <c r="LN84">
        <v>0</v>
      </c>
      <c r="LO84">
        <v>0</v>
      </c>
      <c r="LP84">
        <v>0</v>
      </c>
      <c r="LQ84">
        <v>0</v>
      </c>
      <c r="LR84">
        <v>0</v>
      </c>
      <c r="LS84">
        <v>0</v>
      </c>
      <c r="LT84">
        <v>-999</v>
      </c>
      <c r="LU84">
        <v>0.425699451417339</v>
      </c>
      <c r="LV84">
        <v>83</v>
      </c>
      <c r="LW84">
        <v>324.719999999999</v>
      </c>
      <c r="LX84">
        <v>3.03399999999999</v>
      </c>
      <c r="LY84">
        <v>0</v>
      </c>
      <c r="LZ84">
        <v>-999</v>
      </c>
      <c r="MA84">
        <v>0</v>
      </c>
      <c r="MB84">
        <v>0</v>
      </c>
      <c r="MC84">
        <v>724.72</v>
      </c>
      <c r="MD84">
        <v>-23.6999999999999</v>
      </c>
      <c r="ME84">
        <v>-33.6</v>
      </c>
      <c r="MF84">
        <v>0</v>
      </c>
      <c r="MG84">
        <v>8.0706896550000007</v>
      </c>
      <c r="MH84">
        <v>0</v>
      </c>
      <c r="MI84">
        <v>0</v>
      </c>
      <c r="MJ84">
        <v>0</v>
      </c>
      <c r="MK84">
        <v>0</v>
      </c>
      <c r="ML84">
        <v>0</v>
      </c>
      <c r="MM84">
        <v>0</v>
      </c>
      <c r="MN84">
        <v>0</v>
      </c>
      <c r="MO84">
        <v>0</v>
      </c>
      <c r="MP84">
        <v>0</v>
      </c>
      <c r="MQ84">
        <v>0</v>
      </c>
      <c r="MR84">
        <v>0</v>
      </c>
      <c r="MS84">
        <v>0</v>
      </c>
      <c r="MT84">
        <v>0</v>
      </c>
      <c r="MU84">
        <v>0</v>
      </c>
      <c r="MV84">
        <v>0</v>
      </c>
    </row>
    <row r="85" spans="1:360" x14ac:dyDescent="0.25">
      <c r="A85">
        <v>30660</v>
      </c>
      <c r="B85">
        <v>0</v>
      </c>
      <c r="C85">
        <v>-33.6</v>
      </c>
      <c r="D85">
        <v>-23.6999999999999</v>
      </c>
      <c r="E85">
        <v>400</v>
      </c>
      <c r="F85">
        <v>0</v>
      </c>
      <c r="G85">
        <v>0</v>
      </c>
      <c r="H85">
        <v>0</v>
      </c>
      <c r="I85">
        <v>0</v>
      </c>
      <c r="J85">
        <v>0</v>
      </c>
      <c r="K85">
        <v>0</v>
      </c>
      <c r="L85" s="159">
        <v>6.5753399999999896E-6</v>
      </c>
      <c r="M85">
        <v>0</v>
      </c>
      <c r="N85">
        <v>0</v>
      </c>
      <c r="O85">
        <v>0</v>
      </c>
      <c r="P85">
        <v>0</v>
      </c>
      <c r="Q85">
        <v>0</v>
      </c>
      <c r="R85">
        <v>0</v>
      </c>
      <c r="S85">
        <v>0</v>
      </c>
      <c r="T85">
        <v>0</v>
      </c>
      <c r="U85">
        <v>726.03135030297199</v>
      </c>
      <c r="V85">
        <v>14.333723839306501</v>
      </c>
      <c r="W85">
        <v>1.3870785297016801</v>
      </c>
      <c r="X85">
        <v>0.28543798006219201</v>
      </c>
      <c r="Y85">
        <v>0.26748228758506698</v>
      </c>
      <c r="Z85">
        <v>0.44707973235274001</v>
      </c>
      <c r="AA85">
        <v>0.112537727359294</v>
      </c>
      <c r="AB85">
        <v>0.53984745685458002</v>
      </c>
      <c r="AC85">
        <v>0.34761481578612502</v>
      </c>
      <c r="AD85">
        <v>0.88449531654855296</v>
      </c>
      <c r="AE85">
        <v>3.8180976427087697E-2</v>
      </c>
      <c r="AF85">
        <v>7.7323707024359103E-2</v>
      </c>
      <c r="AG85">
        <v>0</v>
      </c>
      <c r="AH85">
        <v>3440.2480767028801</v>
      </c>
      <c r="AI85">
        <v>78.945360886016601</v>
      </c>
      <c r="AJ85">
        <v>8.1472796144834607</v>
      </c>
      <c r="AK85">
        <v>417.000831058747</v>
      </c>
      <c r="AL85">
        <v>7.7431455943472898</v>
      </c>
      <c r="AM85">
        <v>0.86861766151594899</v>
      </c>
      <c r="AN85">
        <v>8688.9326117135406</v>
      </c>
      <c r="AO85">
        <v>312.52140449546403</v>
      </c>
      <c r="AP85">
        <v>31.2521404495462</v>
      </c>
      <c r="AQ85">
        <v>3.0617270160525099E-2</v>
      </c>
      <c r="AR85">
        <v>6.3906726671105396E-3</v>
      </c>
      <c r="AS85">
        <v>1.85271342226896E-2</v>
      </c>
      <c r="AT85">
        <v>9.48</v>
      </c>
      <c r="AU85">
        <v>5.9675074319840604</v>
      </c>
      <c r="AV85">
        <v>0</v>
      </c>
      <c r="AW85">
        <v>85.558134053148095</v>
      </c>
      <c r="AX85">
        <v>66.723538696103503</v>
      </c>
      <c r="AY85">
        <v>361.42975571665397</v>
      </c>
      <c r="AZ85">
        <v>0.54833294000258304</v>
      </c>
      <c r="BA85">
        <v>0.85545005990022904</v>
      </c>
      <c r="BB85">
        <v>1.42407136215482E-2</v>
      </c>
      <c r="BC85">
        <v>1.1934040009720199E-3</v>
      </c>
      <c r="BD85">
        <v>0.60241260570029698</v>
      </c>
      <c r="BE85">
        <v>9.3521488916012505E-3</v>
      </c>
      <c r="BF85">
        <v>7.6044231440378898E-4</v>
      </c>
      <c r="BG85">
        <v>766.29999847710098</v>
      </c>
      <c r="BH85">
        <v>-1626.59999865293</v>
      </c>
      <c r="BI85">
        <v>435.29912126935199</v>
      </c>
      <c r="BJ85">
        <v>213.41571366319701</v>
      </c>
      <c r="BK85">
        <v>3.59980351667057</v>
      </c>
      <c r="BL85">
        <v>4.8574052844419997</v>
      </c>
      <c r="BM85">
        <v>195.11174233458601</v>
      </c>
      <c r="BN85">
        <v>22.5500366761576</v>
      </c>
      <c r="BO85">
        <v>217.661779010744</v>
      </c>
      <c r="BP85">
        <v>3.5327884380758201</v>
      </c>
      <c r="BQ85">
        <v>0.297775994603311</v>
      </c>
      <c r="BR85">
        <v>209.81591014652699</v>
      </c>
      <c r="BS85">
        <v>2.2038527891733701</v>
      </c>
      <c r="BT85">
        <v>0.296975252597107</v>
      </c>
      <c r="BU85">
        <v>3.5433203847138199</v>
      </c>
      <c r="BV85">
        <v>1.7403625692407001</v>
      </c>
      <c r="BW85">
        <v>0.49014557643474199</v>
      </c>
      <c r="BX85">
        <v>1.3128122390383701</v>
      </c>
      <c r="BY85">
        <v>0</v>
      </c>
      <c r="BZ85">
        <v>3.11406453122403</v>
      </c>
      <c r="CA85">
        <v>0.41872390685178201</v>
      </c>
      <c r="CB85">
        <v>0.29879332472258202</v>
      </c>
      <c r="CC85">
        <v>0.25080400158590699</v>
      </c>
      <c r="CD85">
        <v>4.6971993017403402E-2</v>
      </c>
      <c r="CE85">
        <v>22.284908036275802</v>
      </c>
      <c r="CF85">
        <v>167.35784969007199</v>
      </c>
      <c r="CG85">
        <v>42.223834856858801</v>
      </c>
      <c r="CH85">
        <v>0.41380082395378698</v>
      </c>
      <c r="CI85">
        <v>7.3807160205761999</v>
      </c>
      <c r="CJ85">
        <v>1.75146726967672</v>
      </c>
      <c r="CK85">
        <v>9.8089149382039196</v>
      </c>
      <c r="CL85">
        <v>1.51869657210377</v>
      </c>
      <c r="CM85">
        <v>0.103586764924031</v>
      </c>
      <c r="CN85">
        <v>4.6419726925774098E-2</v>
      </c>
      <c r="CO85">
        <v>0.53908101469587899</v>
      </c>
      <c r="CP85">
        <v>0.68334415317074904</v>
      </c>
      <c r="CQ85">
        <v>0.15186965721037601</v>
      </c>
      <c r="CR85">
        <v>42.458060456454298</v>
      </c>
      <c r="CS85">
        <v>1.52712114122239</v>
      </c>
      <c r="CT85">
        <v>0.15271211412223801</v>
      </c>
      <c r="CU85">
        <v>1.4700000000001E-2</v>
      </c>
      <c r="CV85">
        <v>2.16500769628286E-3</v>
      </c>
      <c r="CW85">
        <v>2.2274815352924402</v>
      </c>
      <c r="CX85">
        <v>2.03000000000013E-2</v>
      </c>
      <c r="CY85">
        <v>6.1647723079423598E-3</v>
      </c>
      <c r="CZ85">
        <v>0</v>
      </c>
      <c r="DA85">
        <v>2.3999991000028401E-3</v>
      </c>
      <c r="DB85">
        <v>1.49195351745026E-3</v>
      </c>
      <c r="DC85">
        <v>2.0000000000001301E-3</v>
      </c>
      <c r="DD85">
        <v>3.2188118118363501E-3</v>
      </c>
      <c r="DE85">
        <v>9.0331693189542805E-4</v>
      </c>
      <c r="DF85">
        <v>2.3999990999999899E-3</v>
      </c>
      <c r="DG85">
        <v>0</v>
      </c>
      <c r="DH85">
        <v>0</v>
      </c>
      <c r="DI85">
        <v>0.231807694000016</v>
      </c>
      <c r="DJ85">
        <v>1.8846155200001199E-2</v>
      </c>
      <c r="DK85">
        <v>2.5479749459118</v>
      </c>
      <c r="DL85">
        <v>0.16631690247465999</v>
      </c>
      <c r="DM85">
        <v>58.504929113761797</v>
      </c>
      <c r="DN85">
        <v>240.01426264410699</v>
      </c>
      <c r="DO85">
        <v>327.66000000000003</v>
      </c>
      <c r="DP85">
        <v>29.123749870142401</v>
      </c>
      <c r="DQ85">
        <v>157.94999999999899</v>
      </c>
      <c r="DR85">
        <v>169.71</v>
      </c>
      <c r="DS85">
        <v>156.74519748008399</v>
      </c>
      <c r="DT85">
        <v>0</v>
      </c>
      <c r="DU85">
        <v>0</v>
      </c>
      <c r="DV85">
        <v>0</v>
      </c>
      <c r="DW85">
        <v>0</v>
      </c>
      <c r="DX85">
        <v>0</v>
      </c>
      <c r="DY85">
        <v>0</v>
      </c>
      <c r="DZ85">
        <v>0</v>
      </c>
      <c r="EA85">
        <v>0</v>
      </c>
      <c r="EB85">
        <v>0</v>
      </c>
      <c r="EC85">
        <v>0</v>
      </c>
      <c r="ED85">
        <v>0</v>
      </c>
      <c r="EE85">
        <v>0</v>
      </c>
      <c r="EF85">
        <v>1.2480098740680601</v>
      </c>
      <c r="EG85">
        <v>0</v>
      </c>
      <c r="EH85">
        <v>0</v>
      </c>
      <c r="EI85">
        <v>0</v>
      </c>
      <c r="EJ85">
        <v>0</v>
      </c>
      <c r="EK85">
        <v>0</v>
      </c>
      <c r="EL85">
        <v>0</v>
      </c>
      <c r="EM85">
        <v>0</v>
      </c>
      <c r="EN85">
        <v>0</v>
      </c>
      <c r="EO85">
        <v>0</v>
      </c>
      <c r="EP85">
        <v>0</v>
      </c>
      <c r="EQ85">
        <v>0</v>
      </c>
      <c r="ER85">
        <v>0</v>
      </c>
      <c r="ES85">
        <v>0</v>
      </c>
      <c r="ET85">
        <v>0</v>
      </c>
      <c r="EU85">
        <v>0</v>
      </c>
      <c r="EV85">
        <v>843.49469052283803</v>
      </c>
      <c r="EW85">
        <v>-28.649999999999899</v>
      </c>
      <c r="EX85">
        <v>1528.4870532694099</v>
      </c>
      <c r="EY85">
        <v>851.674008970915</v>
      </c>
      <c r="EZ85">
        <v>86.962812862204899</v>
      </c>
      <c r="FA85">
        <v>693.07909971414995</v>
      </c>
      <c r="FB85">
        <v>748.44512939453102</v>
      </c>
      <c r="FC85">
        <v>0.37507061187468899</v>
      </c>
      <c r="FD85">
        <v>0.68401984362442803</v>
      </c>
      <c r="FE85">
        <v>0</v>
      </c>
      <c r="FF85">
        <v>1</v>
      </c>
      <c r="FG85" s="159">
        <v>5.9044536538434499E-13</v>
      </c>
      <c r="FH85">
        <v>0</v>
      </c>
      <c r="FI85">
        <v>5.4512674794765098E-5</v>
      </c>
      <c r="FJ85">
        <v>-4.9320048775276402E-3</v>
      </c>
      <c r="FK85" s="159">
        <v>6.57534000000779E-6</v>
      </c>
      <c r="FL85" s="159">
        <v>2.2267334929430299E-6</v>
      </c>
      <c r="FM85" s="159">
        <v>4.0873449197485499E-6</v>
      </c>
      <c r="FN85">
        <v>0</v>
      </c>
      <c r="FO85">
        <v>0</v>
      </c>
      <c r="FP85">
        <v>0</v>
      </c>
      <c r="FQ85">
        <v>0</v>
      </c>
      <c r="FR85">
        <v>0</v>
      </c>
      <c r="FS85">
        <v>0</v>
      </c>
      <c r="FT85">
        <v>0</v>
      </c>
      <c r="FU85">
        <v>0</v>
      </c>
      <c r="FV85">
        <v>-999</v>
      </c>
      <c r="FW85">
        <v>0.49365011325563202</v>
      </c>
      <c r="FX85">
        <v>3.2484372558131999E-3</v>
      </c>
      <c r="FY85">
        <v>1.2413569303380301</v>
      </c>
      <c r="FZ85">
        <v>8.7630257072630901E-4</v>
      </c>
      <c r="GA85">
        <v>41.349097181872501</v>
      </c>
      <c r="GB85">
        <v>1.0762475018258401E-2</v>
      </c>
      <c r="GC85">
        <v>2.9087770319617501E-3</v>
      </c>
      <c r="GD85">
        <v>0</v>
      </c>
      <c r="GE85">
        <v>7.0335168585012597E-3</v>
      </c>
      <c r="GF85">
        <v>0.35820753278067802</v>
      </c>
      <c r="GG85">
        <v>5.6172733596532103E-4</v>
      </c>
      <c r="GH85">
        <v>9.3777201505546894E-3</v>
      </c>
      <c r="GI85">
        <v>1.8422230518946901E-2</v>
      </c>
      <c r="GJ85">
        <v>9.0748464420077005E-4</v>
      </c>
      <c r="GK85">
        <v>1.76218705306244E-3</v>
      </c>
      <c r="GL85">
        <v>0.41044181327333701</v>
      </c>
      <c r="GM85">
        <v>6.8653412390615801E-3</v>
      </c>
      <c r="GN85">
        <v>5.6885186436698802E-4</v>
      </c>
      <c r="GO85">
        <v>0</v>
      </c>
      <c r="GP85">
        <v>0</v>
      </c>
      <c r="GQ85">
        <v>0</v>
      </c>
      <c r="GR85">
        <v>6.2188218760575502E-2</v>
      </c>
      <c r="GS85">
        <v>1.1547517324933399E-3</v>
      </c>
      <c r="GT85">
        <v>1.29538794962361E-4</v>
      </c>
      <c r="GU85">
        <v>3.9357844160851502E-2</v>
      </c>
      <c r="GV85">
        <v>7.3082232676454999E-4</v>
      </c>
      <c r="GW85">
        <v>8.1982854735586198E-5</v>
      </c>
      <c r="GX85">
        <v>0.12641139694666301</v>
      </c>
      <c r="GY85">
        <v>0.13697796344107299</v>
      </c>
      <c r="GZ85">
        <v>58.930742288175701</v>
      </c>
      <c r="HA85">
        <v>676.74162837138999</v>
      </c>
      <c r="HB85">
        <v>0</v>
      </c>
      <c r="HC85">
        <v>0.99981307659373497</v>
      </c>
      <c r="HD85">
        <v>0.43287934884421497</v>
      </c>
      <c r="HE85">
        <v>1.12409204598404E-2</v>
      </c>
      <c r="HF85">
        <v>9.7320601130594403E-4</v>
      </c>
      <c r="HG85">
        <v>1.3487969940360301E-2</v>
      </c>
      <c r="HH85" s="159">
        <v>4.7618782253245001E-7</v>
      </c>
      <c r="HI85" s="159">
        <v>3.33332541021651E-7</v>
      </c>
      <c r="HJ85">
        <v>0</v>
      </c>
      <c r="HK85">
        <v>0</v>
      </c>
      <c r="HL85">
        <v>0</v>
      </c>
      <c r="HM85">
        <v>0</v>
      </c>
      <c r="HN85">
        <v>0</v>
      </c>
      <c r="HO85">
        <v>1.19300901978202E-2</v>
      </c>
      <c r="HP85">
        <v>0.56985731228528802</v>
      </c>
      <c r="HQ85">
        <v>1.12409204598404E-2</v>
      </c>
      <c r="HR85">
        <v>9.7320601130594403E-4</v>
      </c>
      <c r="HS85">
        <v>0.71381847829988299</v>
      </c>
      <c r="HT85">
        <v>-999</v>
      </c>
      <c r="HU85">
        <v>1</v>
      </c>
      <c r="HV85">
        <v>0.81378449079548998</v>
      </c>
      <c r="HW85">
        <v>0.18621550920450899</v>
      </c>
      <c r="HX85">
        <v>12546.1815194751</v>
      </c>
      <c r="HY85">
        <v>399.209910975828</v>
      </c>
      <c r="HZ85">
        <v>40.268037725545597</v>
      </c>
      <c r="IA85">
        <v>-0.13697796344107299</v>
      </c>
      <c r="IB85">
        <v>0</v>
      </c>
      <c r="IC85">
        <v>0</v>
      </c>
      <c r="ID85">
        <v>0</v>
      </c>
      <c r="IE85">
        <v>0</v>
      </c>
      <c r="IF85">
        <v>0</v>
      </c>
      <c r="IG85">
        <v>0</v>
      </c>
      <c r="IH85">
        <v>0</v>
      </c>
      <c r="II85">
        <v>46.337800049999601</v>
      </c>
      <c r="IJ85">
        <v>463.37800049999902</v>
      </c>
      <c r="IK85">
        <v>1.09835909325406E-2</v>
      </c>
      <c r="IL85">
        <v>2.4170883612346802E-3</v>
      </c>
      <c r="IM85">
        <v>1.34006792937753E-2</v>
      </c>
      <c r="IN85">
        <v>8.34574496251791E-4</v>
      </c>
      <c r="IO85">
        <v>0.42647884975355799</v>
      </c>
      <c r="IP85">
        <v>1.9259032752979601E-2</v>
      </c>
      <c r="IQ85">
        <v>1.55582003663953E-3</v>
      </c>
      <c r="IR85">
        <v>0.28993140877500101</v>
      </c>
      <c r="IS85">
        <v>0.230925360681038</v>
      </c>
      <c r="IT85">
        <v>0.28585562469395898</v>
      </c>
      <c r="IU85">
        <v>0.30282923603176598</v>
      </c>
      <c r="IV85">
        <v>1.4811633668129799E-2</v>
      </c>
      <c r="IW85">
        <v>1.1110801281545501E-3</v>
      </c>
      <c r="IX85">
        <v>7.4953626474290894E-2</v>
      </c>
      <c r="IY85">
        <v>2.6959137174335001E-3</v>
      </c>
      <c r="IZ85">
        <v>2.6959137174334798E-4</v>
      </c>
      <c r="JA85">
        <v>7.4997140891674599E-2</v>
      </c>
      <c r="JB85">
        <v>2.6974788333624898E-3</v>
      </c>
      <c r="JC85">
        <v>2.6974788333624701E-4</v>
      </c>
      <c r="JD85">
        <v>1.8485193138528699E-4</v>
      </c>
      <c r="JE85">
        <v>3.2921662145012202E-3</v>
      </c>
      <c r="JF85" s="159">
        <v>6.6068569885835402E-20</v>
      </c>
      <c r="JG85">
        <v>0</v>
      </c>
      <c r="JH85">
        <v>4.1084332077170301E-3</v>
      </c>
      <c r="JI85">
        <v>5.4625351523901499E-4</v>
      </c>
      <c r="JJ85">
        <v>-0.51480434036451495</v>
      </c>
      <c r="JK85">
        <v>1.8485193138528699E-4</v>
      </c>
      <c r="JL85" s="159">
        <v>6.5753399999999896E-6</v>
      </c>
      <c r="JM85">
        <v>-0.51480434036451495</v>
      </c>
      <c r="JN85">
        <v>0</v>
      </c>
      <c r="JO85">
        <v>1.28363626475901</v>
      </c>
      <c r="JP85">
        <v>-1.7213762354851302E-2</v>
      </c>
      <c r="JQ85">
        <v>1.1811872881637799E-3</v>
      </c>
      <c r="JR85">
        <v>1.7058371988589699E-2</v>
      </c>
      <c r="JS85">
        <v>1600.1191496633</v>
      </c>
      <c r="JT85">
        <v>4.33840709681255E-2</v>
      </c>
      <c r="JU85">
        <v>0</v>
      </c>
      <c r="JV85">
        <v>365</v>
      </c>
      <c r="JW85">
        <v>0</v>
      </c>
      <c r="JX85">
        <v>-0.40268092994350901</v>
      </c>
      <c r="JY85">
        <v>0</v>
      </c>
      <c r="JZ85">
        <v>1.33102869262597</v>
      </c>
      <c r="KA85">
        <v>1.4082793552237101</v>
      </c>
      <c r="KB85">
        <v>1.44291108644073</v>
      </c>
      <c r="KC85">
        <v>0</v>
      </c>
      <c r="KD85">
        <v>0</v>
      </c>
      <c r="KE85">
        <v>0</v>
      </c>
      <c r="KF85">
        <v>3.6077930545262101E-3</v>
      </c>
      <c r="KG85">
        <v>2.2856465064762198E-2</v>
      </c>
      <c r="KH85">
        <v>3.7510722387427503E-2</v>
      </c>
      <c r="KI85">
        <v>0</v>
      </c>
      <c r="KJ85">
        <v>0</v>
      </c>
      <c r="KK85">
        <v>0</v>
      </c>
      <c r="KL85">
        <v>0</v>
      </c>
      <c r="KM85">
        <v>0</v>
      </c>
      <c r="KN85">
        <v>0</v>
      </c>
      <c r="KO85">
        <v>0</v>
      </c>
      <c r="KP85">
        <v>0</v>
      </c>
      <c r="KQ85">
        <v>0</v>
      </c>
      <c r="KR85">
        <v>0</v>
      </c>
      <c r="KS85">
        <v>0</v>
      </c>
      <c r="KT85">
        <v>0</v>
      </c>
      <c r="KU85">
        <v>0.34999999999999898</v>
      </c>
      <c r="KV85">
        <v>-0.11289237623145</v>
      </c>
      <c r="KW85">
        <v>1.7930098787974601E-3</v>
      </c>
      <c r="KX85">
        <v>34653.954985707504</v>
      </c>
      <c r="KY85">
        <v>0</v>
      </c>
      <c r="KZ85">
        <v>0.21056582251181799</v>
      </c>
      <c r="LA85">
        <v>1.73602675993533E-5</v>
      </c>
      <c r="LB85">
        <v>0</v>
      </c>
      <c r="LC85">
        <v>-12.128909066319601</v>
      </c>
      <c r="LD85">
        <v>1.5722191306126301E-2</v>
      </c>
      <c r="LE85">
        <v>3.41716160955311E-3</v>
      </c>
      <c r="LF85">
        <v>1.5722191306126301E-2</v>
      </c>
      <c r="LG85">
        <v>0.95506412082814196</v>
      </c>
      <c r="LH85">
        <v>1.2432546827592501</v>
      </c>
      <c r="LI85">
        <v>0</v>
      </c>
      <c r="LJ85">
        <v>0</v>
      </c>
      <c r="LK85">
        <v>0.24445181158042301</v>
      </c>
      <c r="LL85">
        <v>0</v>
      </c>
      <c r="LM85">
        <v>0</v>
      </c>
      <c r="LN85">
        <v>0</v>
      </c>
      <c r="LO85">
        <v>0</v>
      </c>
      <c r="LP85">
        <v>0</v>
      </c>
      <c r="LQ85">
        <v>0</v>
      </c>
      <c r="LR85">
        <v>0</v>
      </c>
      <c r="LS85">
        <v>0</v>
      </c>
      <c r="LT85">
        <v>-999</v>
      </c>
      <c r="LU85">
        <v>0.42570054350494702</v>
      </c>
      <c r="LV85">
        <v>84</v>
      </c>
      <c r="LW85">
        <v>328.68</v>
      </c>
      <c r="LX85">
        <v>3.07099999999999</v>
      </c>
      <c r="LY85">
        <v>0</v>
      </c>
      <c r="LZ85">
        <v>-999</v>
      </c>
      <c r="MA85">
        <v>0</v>
      </c>
      <c r="MB85">
        <v>0</v>
      </c>
      <c r="MC85">
        <v>728.68</v>
      </c>
      <c r="MD85">
        <v>-23.6999999999999</v>
      </c>
      <c r="ME85">
        <v>-33.6</v>
      </c>
      <c r="MF85">
        <v>0</v>
      </c>
      <c r="MG85">
        <v>8.0706896550000007</v>
      </c>
      <c r="MH85">
        <v>0</v>
      </c>
      <c r="MI85">
        <v>0</v>
      </c>
      <c r="MJ85">
        <v>0</v>
      </c>
      <c r="MK85">
        <v>0</v>
      </c>
      <c r="ML85">
        <v>0</v>
      </c>
      <c r="MM85">
        <v>0</v>
      </c>
      <c r="MN85">
        <v>0</v>
      </c>
      <c r="MO85">
        <v>0</v>
      </c>
      <c r="MP85">
        <v>0</v>
      </c>
      <c r="MQ85">
        <v>0</v>
      </c>
      <c r="MR85">
        <v>0</v>
      </c>
      <c r="MS85">
        <v>0</v>
      </c>
      <c r="MT85">
        <v>0</v>
      </c>
      <c r="MU85">
        <v>0</v>
      </c>
      <c r="MV85">
        <v>0</v>
      </c>
    </row>
    <row r="86" spans="1:360" x14ac:dyDescent="0.25">
      <c r="A86">
        <v>31025</v>
      </c>
      <c r="B86">
        <v>0</v>
      </c>
      <c r="C86">
        <v>-33.6</v>
      </c>
      <c r="D86">
        <v>-23.6999999999999</v>
      </c>
      <c r="E86">
        <v>400</v>
      </c>
      <c r="F86">
        <v>0</v>
      </c>
      <c r="G86">
        <v>0</v>
      </c>
      <c r="H86">
        <v>0</v>
      </c>
      <c r="I86">
        <v>0</v>
      </c>
      <c r="J86">
        <v>0</v>
      </c>
      <c r="K86">
        <v>0</v>
      </c>
      <c r="L86" s="159">
        <v>6.5753399999999896E-6</v>
      </c>
      <c r="M86">
        <v>0</v>
      </c>
      <c r="N86">
        <v>0</v>
      </c>
      <c r="O86">
        <v>0</v>
      </c>
      <c r="P86">
        <v>0</v>
      </c>
      <c r="Q86">
        <v>0</v>
      </c>
      <c r="R86">
        <v>0</v>
      </c>
      <c r="S86">
        <v>0</v>
      </c>
      <c r="T86">
        <v>0</v>
      </c>
      <c r="U86">
        <v>726.63608798109306</v>
      </c>
      <c r="V86">
        <v>14.3441802186553</v>
      </c>
      <c r="W86">
        <v>1.3880897314164</v>
      </c>
      <c r="X86">
        <v>0.28459914143009002</v>
      </c>
      <c r="Y86">
        <v>0.26732071567992</v>
      </c>
      <c r="Z86">
        <v>0.44808014288998799</v>
      </c>
      <c r="AA86">
        <v>0.112543298684112</v>
      </c>
      <c r="AB86">
        <v>0.54058098602508597</v>
      </c>
      <c r="AC86">
        <v>0.34687571529080102</v>
      </c>
      <c r="AD86">
        <v>0.88449103007024099</v>
      </c>
      <c r="AE86">
        <v>3.8082973221652501E-2</v>
      </c>
      <c r="AF86">
        <v>7.7425996708105793E-2</v>
      </c>
      <c r="AG86">
        <v>0</v>
      </c>
      <c r="AH86">
        <v>3440.8895868985901</v>
      </c>
      <c r="AI86">
        <v>78.921100478270006</v>
      </c>
      <c r="AJ86">
        <v>8.1483803006538604</v>
      </c>
      <c r="AK86">
        <v>417.26398568591497</v>
      </c>
      <c r="AL86">
        <v>7.7480320224793804</v>
      </c>
      <c r="AM86">
        <v>0.86916581571575502</v>
      </c>
      <c r="AN86">
        <v>8688.7005348201492</v>
      </c>
      <c r="AO86">
        <v>312.51305721048499</v>
      </c>
      <c r="AP86">
        <v>31.251305721048301</v>
      </c>
      <c r="AQ86">
        <v>3.06279843191135E-2</v>
      </c>
      <c r="AR86">
        <v>6.3945306902440501E-3</v>
      </c>
      <c r="AS86">
        <v>1.8479751654115001E-2</v>
      </c>
      <c r="AT86">
        <v>9.48</v>
      </c>
      <c r="AU86">
        <v>5.9669163816544399</v>
      </c>
      <c r="AV86">
        <v>0</v>
      </c>
      <c r="AW86">
        <v>85.569941601552401</v>
      </c>
      <c r="AX86">
        <v>66.728597126840995</v>
      </c>
      <c r="AY86">
        <v>361.42857579719299</v>
      </c>
      <c r="AZ86">
        <v>0.54833294000258304</v>
      </c>
      <c r="BA86">
        <v>0.85587342578303205</v>
      </c>
      <c r="BB86">
        <v>1.424600486625E-2</v>
      </c>
      <c r="BC86">
        <v>1.19390445499474E-3</v>
      </c>
      <c r="BD86">
        <v>0.60255631999523795</v>
      </c>
      <c r="BE86">
        <v>9.3546031177733392E-3</v>
      </c>
      <c r="BF86">
        <v>7.6058849342954503E-4</v>
      </c>
      <c r="BG86">
        <v>766.29999847710098</v>
      </c>
      <c r="BH86">
        <v>-1626.59999865293</v>
      </c>
      <c r="BI86">
        <v>435.49522492471903</v>
      </c>
      <c r="BJ86">
        <v>213.47661647559201</v>
      </c>
      <c r="BK86">
        <v>3.5964696556115401</v>
      </c>
      <c r="BL86">
        <v>4.8631485830561303</v>
      </c>
      <c r="BM86">
        <v>195.17248775039101</v>
      </c>
      <c r="BN86">
        <v>22.562539630138101</v>
      </c>
      <c r="BO86">
        <v>217.735027380529</v>
      </c>
      <c r="BP86">
        <v>3.5341662909463998</v>
      </c>
      <c r="BQ86">
        <v>0.297903380470733</v>
      </c>
      <c r="BR86">
        <v>209.88014681998101</v>
      </c>
      <c r="BS86">
        <v>2.20360873568753</v>
      </c>
      <c r="BT86">
        <v>0.297089268598423</v>
      </c>
      <c r="BU86">
        <v>3.5446226702950701</v>
      </c>
      <c r="BV86">
        <v>1.7411962117404101</v>
      </c>
      <c r="BW86">
        <v>0.48906197664759199</v>
      </c>
      <c r="BX86">
        <v>1.3143644819070499</v>
      </c>
      <c r="BY86">
        <v>0</v>
      </c>
      <c r="BZ86">
        <v>3.11521022102486</v>
      </c>
      <c r="CA86">
        <v>0.418956069921541</v>
      </c>
      <c r="CB86">
        <v>0.29891458218545602</v>
      </c>
      <c r="CC86">
        <v>0.250905343652359</v>
      </c>
      <c r="CD86">
        <v>4.6998036818373903E-2</v>
      </c>
      <c r="CE86">
        <v>22.299385002969998</v>
      </c>
      <c r="CF86">
        <v>167.42255731635501</v>
      </c>
      <c r="CG86">
        <v>42.225512610246398</v>
      </c>
      <c r="CH86">
        <v>0.41406964178945699</v>
      </c>
      <c r="CI86">
        <v>7.3851218776184204</v>
      </c>
      <c r="CJ86">
        <v>1.7523391749986901</v>
      </c>
      <c r="CK86">
        <v>9.8139655861984796</v>
      </c>
      <c r="CL86">
        <v>1.5187569171275499</v>
      </c>
      <c r="CM86">
        <v>0.103750717167216</v>
      </c>
      <c r="CN86">
        <v>4.64498826185668E-2</v>
      </c>
      <c r="CO86">
        <v>0.53768158038112501</v>
      </c>
      <c r="CP86">
        <v>0.68206042876893502</v>
      </c>
      <c r="CQ86">
        <v>0.151875691712754</v>
      </c>
      <c r="CR86">
        <v>42.457589503625897</v>
      </c>
      <c r="CS86">
        <v>1.52710420210616</v>
      </c>
      <c r="CT86">
        <v>0.15271042021061501</v>
      </c>
      <c r="CU86">
        <v>1.4700000000000799E-2</v>
      </c>
      <c r="CV86">
        <v>2.1670150066875702E-3</v>
      </c>
      <c r="CW86">
        <v>2.2272739697805299</v>
      </c>
      <c r="CX86">
        <v>2.0300000000001098E-2</v>
      </c>
      <c r="CY86">
        <v>6.1689601111178296E-3</v>
      </c>
      <c r="CZ86">
        <v>0</v>
      </c>
      <c r="DA86">
        <v>2.3999991000029702E-3</v>
      </c>
      <c r="DB86">
        <v>1.49180606604987E-3</v>
      </c>
      <c r="DC86">
        <v>2.0000000000001102E-3</v>
      </c>
      <c r="DD86">
        <v>3.2131184111478502E-3</v>
      </c>
      <c r="DE86">
        <v>9.0075573644690405E-4</v>
      </c>
      <c r="DF86">
        <v>2.39999910000013E-3</v>
      </c>
      <c r="DG86">
        <v>0</v>
      </c>
      <c r="DH86">
        <v>0</v>
      </c>
      <c r="DI86">
        <v>0.231807694000012</v>
      </c>
      <c r="DJ86">
        <v>1.8846155200001002E-2</v>
      </c>
      <c r="DK86">
        <v>2.5509517419836998</v>
      </c>
      <c r="DL86">
        <v>0.166511210312251</v>
      </c>
      <c r="DM86">
        <v>58.219320192551102</v>
      </c>
      <c r="DN86">
        <v>240.32031565929</v>
      </c>
      <c r="DO86">
        <v>327.66000000000003</v>
      </c>
      <c r="DP86">
        <v>29.103503702225002</v>
      </c>
      <c r="DQ86">
        <v>157.94999999999899</v>
      </c>
      <c r="DR86">
        <v>169.71</v>
      </c>
      <c r="DS86">
        <v>156.75887671122101</v>
      </c>
      <c r="DT86">
        <v>0</v>
      </c>
      <c r="DU86">
        <v>0</v>
      </c>
      <c r="DV86">
        <v>0</v>
      </c>
      <c r="DW86">
        <v>0</v>
      </c>
      <c r="DX86">
        <v>0</v>
      </c>
      <c r="DY86">
        <v>0</v>
      </c>
      <c r="DZ86">
        <v>0</v>
      </c>
      <c r="EA86">
        <v>0</v>
      </c>
      <c r="EB86">
        <v>0</v>
      </c>
      <c r="EC86">
        <v>0</v>
      </c>
      <c r="ED86">
        <v>0</v>
      </c>
      <c r="EE86">
        <v>0</v>
      </c>
      <c r="EF86">
        <v>1.2474845189046</v>
      </c>
      <c r="EG86">
        <v>0</v>
      </c>
      <c r="EH86">
        <v>0</v>
      </c>
      <c r="EI86">
        <v>0</v>
      </c>
      <c r="EJ86">
        <v>0</v>
      </c>
      <c r="EK86">
        <v>0</v>
      </c>
      <c r="EL86">
        <v>0</v>
      </c>
      <c r="EM86">
        <v>0</v>
      </c>
      <c r="EN86">
        <v>0</v>
      </c>
      <c r="EO86">
        <v>0</v>
      </c>
      <c r="EP86">
        <v>0</v>
      </c>
      <c r="EQ86">
        <v>0</v>
      </c>
      <c r="ER86">
        <v>0</v>
      </c>
      <c r="ES86">
        <v>0</v>
      </c>
      <c r="ET86">
        <v>0</v>
      </c>
      <c r="EU86">
        <v>0</v>
      </c>
      <c r="EV86">
        <v>844.13623825710704</v>
      </c>
      <c r="EW86">
        <v>-28.649999999999899</v>
      </c>
      <c r="EX86">
        <v>1529.7601852233499</v>
      </c>
      <c r="EY86">
        <v>852.045675293675</v>
      </c>
      <c r="EZ86">
        <v>86.843362423725395</v>
      </c>
      <c r="FA86">
        <v>693.668608938121</v>
      </c>
      <c r="FB86">
        <v>749.24822998046795</v>
      </c>
      <c r="FC86">
        <v>0.37455542213352799</v>
      </c>
      <c r="FD86">
        <v>0.68308028719150704</v>
      </c>
      <c r="FE86">
        <v>0</v>
      </c>
      <c r="FF86">
        <v>1</v>
      </c>
      <c r="FG86" s="159">
        <v>5.9047074232874602E-13</v>
      </c>
      <c r="FH86">
        <v>0</v>
      </c>
      <c r="FI86">
        <v>5.4512674794765098E-5</v>
      </c>
      <c r="FJ86">
        <v>-4.9262064583667099E-3</v>
      </c>
      <c r="FK86" s="159">
        <v>6.57534000000779E-6</v>
      </c>
      <c r="FL86" s="159">
        <v>2.2210100704965899E-6</v>
      </c>
      <c r="FM86" s="159">
        <v>4.0869400896600096E-6</v>
      </c>
      <c r="FN86">
        <v>0</v>
      </c>
      <c r="FO86">
        <v>0</v>
      </c>
      <c r="FP86">
        <v>0</v>
      </c>
      <c r="FQ86">
        <v>0</v>
      </c>
      <c r="FR86">
        <v>0</v>
      </c>
      <c r="FS86">
        <v>0</v>
      </c>
      <c r="FT86">
        <v>0</v>
      </c>
      <c r="FU86">
        <v>0</v>
      </c>
      <c r="FV86">
        <v>-999</v>
      </c>
      <c r="FW86">
        <v>0.49382164984520499</v>
      </c>
      <c r="FX86">
        <v>3.24914608183764E-3</v>
      </c>
      <c r="FY86">
        <v>1.24206870179314</v>
      </c>
      <c r="FZ86">
        <v>8.7443264021572296E-4</v>
      </c>
      <c r="GA86">
        <v>41.3229808725415</v>
      </c>
      <c r="GB86">
        <v>1.0768624625092101E-2</v>
      </c>
      <c r="GC86">
        <v>2.91043908786275E-3</v>
      </c>
      <c r="GD86">
        <v>0</v>
      </c>
      <c r="GE86">
        <v>7.0340178099161203E-3</v>
      </c>
      <c r="GF86">
        <v>0.35728682402046902</v>
      </c>
      <c r="GG86">
        <v>5.6180471995731301E-4</v>
      </c>
      <c r="GH86">
        <v>9.37675091639344E-3</v>
      </c>
      <c r="GI86">
        <v>1.8420386846706601E-2</v>
      </c>
      <c r="GJ86">
        <v>9.0739041637021695E-4</v>
      </c>
      <c r="GK86">
        <v>1.76205960409287E-3</v>
      </c>
      <c r="GL86">
        <v>0.41075724560211602</v>
      </c>
      <c r="GM86">
        <v>6.8706350234786703E-3</v>
      </c>
      <c r="GN86">
        <v>5.6928705169242402E-4</v>
      </c>
      <c r="GO86">
        <v>0</v>
      </c>
      <c r="GP86">
        <v>0</v>
      </c>
      <c r="GQ86">
        <v>0</v>
      </c>
      <c r="GR86">
        <v>6.2221574582208401E-2</v>
      </c>
      <c r="GS86">
        <v>1.1553711053196899E-3</v>
      </c>
      <c r="GT86">
        <v>1.29608275533206E-4</v>
      </c>
      <c r="GU86">
        <v>3.93827801666237E-2</v>
      </c>
      <c r="GV86">
        <v>7.3128535491426695E-4</v>
      </c>
      <c r="GW86">
        <v>8.2034796730441205E-5</v>
      </c>
      <c r="GX86">
        <v>0.12651590676636501</v>
      </c>
      <c r="GY86">
        <v>0.137083532574406</v>
      </c>
      <c r="GZ86">
        <v>58.930782333596099</v>
      </c>
      <c r="HA86">
        <v>676.75201387006598</v>
      </c>
      <c r="HB86">
        <v>0</v>
      </c>
      <c r="HC86">
        <v>0.99981307713643597</v>
      </c>
      <c r="HD86">
        <v>0.43319503442499502</v>
      </c>
      <c r="HE86">
        <v>1.1249226740090899E-2</v>
      </c>
      <c r="HF86">
        <v>9.7392461032530997E-4</v>
      </c>
      <c r="HG86">
        <v>1.34994810955578E-2</v>
      </c>
      <c r="HH86" s="159">
        <v>4.7618782532938499E-7</v>
      </c>
      <c r="HI86" s="159">
        <v>3.33332540905742E-7</v>
      </c>
      <c r="HJ86">
        <v>0</v>
      </c>
      <c r="HK86">
        <v>0</v>
      </c>
      <c r="HL86">
        <v>0</v>
      </c>
      <c r="HM86">
        <v>0</v>
      </c>
      <c r="HN86">
        <v>0</v>
      </c>
      <c r="HO86">
        <v>1.19402138828761E-2</v>
      </c>
      <c r="HP86">
        <v>0.57027856699940205</v>
      </c>
      <c r="HQ86">
        <v>1.1249226740090899E-2</v>
      </c>
      <c r="HR86">
        <v>9.7392461032530997E-4</v>
      </c>
      <c r="HS86">
        <v>0.71365000551494195</v>
      </c>
      <c r="HT86">
        <v>-999</v>
      </c>
      <c r="HU86">
        <v>1</v>
      </c>
      <c r="HV86">
        <v>0.81412138932461897</v>
      </c>
      <c r="HW86">
        <v>0.18587861067538</v>
      </c>
      <c r="HX86">
        <v>12546.854107404601</v>
      </c>
      <c r="HY86">
        <v>399.18218971123503</v>
      </c>
      <c r="HZ86">
        <v>40.268851837417898</v>
      </c>
      <c r="IA86">
        <v>-0.137083532574406</v>
      </c>
      <c r="IB86">
        <v>0</v>
      </c>
      <c r="IC86">
        <v>0</v>
      </c>
      <c r="ID86">
        <v>0</v>
      </c>
      <c r="IE86">
        <v>0</v>
      </c>
      <c r="IF86">
        <v>0</v>
      </c>
      <c r="IG86">
        <v>0</v>
      </c>
      <c r="IH86">
        <v>0</v>
      </c>
      <c r="II86">
        <v>46.337800049999601</v>
      </c>
      <c r="IJ86">
        <v>463.37800049999902</v>
      </c>
      <c r="IK86">
        <v>1.0994874636300301E-2</v>
      </c>
      <c r="IL86">
        <v>2.4200924793725299E-3</v>
      </c>
      <c r="IM86">
        <v>1.3414967115672799E-2</v>
      </c>
      <c r="IN86">
        <v>8.3266710608004399E-4</v>
      </c>
      <c r="IO86">
        <v>0.42655944461797601</v>
      </c>
      <c r="IP86">
        <v>1.92718784832502E-2</v>
      </c>
      <c r="IQ86">
        <v>1.5540118926018699E-3</v>
      </c>
      <c r="IR86">
        <v>0.28985130195710701</v>
      </c>
      <c r="IS86">
        <v>0.23075127403506099</v>
      </c>
      <c r="IT86">
        <v>0.28616322270309102</v>
      </c>
      <c r="IU86">
        <v>0.30292063423335502</v>
      </c>
      <c r="IV86">
        <v>1.4824867970191301E-2</v>
      </c>
      <c r="IW86">
        <v>1.10931084129599E-3</v>
      </c>
      <c r="IX86">
        <v>7.49548778724929E-2</v>
      </c>
      <c r="IY86">
        <v>2.69595872741817E-3</v>
      </c>
      <c r="IZ86">
        <v>2.6959587274181498E-4</v>
      </c>
      <c r="JA86">
        <v>7.4995325609095997E-2</v>
      </c>
      <c r="JB86">
        <v>2.6974135417223801E-3</v>
      </c>
      <c r="JC86">
        <v>2.6974135417223602E-4</v>
      </c>
      <c r="JD86">
        <v>1.8513913563826599E-4</v>
      </c>
      <c r="JE86">
        <v>3.2933104322062298E-3</v>
      </c>
      <c r="JF86" s="159">
        <v>-9.57147230397359E-19</v>
      </c>
      <c r="JG86">
        <v>0</v>
      </c>
      <c r="JH86">
        <v>4.1073143962408803E-3</v>
      </c>
      <c r="JI86">
        <v>5.4638508938818602E-4</v>
      </c>
      <c r="JJ86">
        <v>-0.51499949241685805</v>
      </c>
      <c r="JK86">
        <v>1.8513913563826599E-4</v>
      </c>
      <c r="JL86" s="159">
        <v>6.5753399999999896E-6</v>
      </c>
      <c r="JM86">
        <v>-0.51499949241685805</v>
      </c>
      <c r="JN86">
        <v>0</v>
      </c>
      <c r="JO86">
        <v>1.2773256076275099</v>
      </c>
      <c r="JP86">
        <v>-1.7250313062837499E-2</v>
      </c>
      <c r="JQ86">
        <v>1.1868806888523801E-3</v>
      </c>
      <c r="JR86">
        <v>1.6860445933552601E-2</v>
      </c>
      <c r="JS86">
        <v>1601.29388915452</v>
      </c>
      <c r="JT86">
        <v>4.3324479446999999E-2</v>
      </c>
      <c r="JU86">
        <v>0</v>
      </c>
      <c r="JV86">
        <v>365</v>
      </c>
      <c r="JW86">
        <v>0</v>
      </c>
      <c r="JX86">
        <v>-0.40268092994350901</v>
      </c>
      <c r="JY86">
        <v>0</v>
      </c>
      <c r="JZ86">
        <v>1.33130494053579</v>
      </c>
      <c r="KA86">
        <v>1.40840323044206</v>
      </c>
      <c r="KB86">
        <v>1.4431746581154701</v>
      </c>
      <c r="KC86">
        <v>0</v>
      </c>
      <c r="KD86">
        <v>0</v>
      </c>
      <c r="KE86">
        <v>0</v>
      </c>
      <c r="KF86">
        <v>3.6086909477720799E-3</v>
      </c>
      <c r="KG86">
        <v>2.28667602044389E-2</v>
      </c>
      <c r="KH86">
        <v>3.7482580726064703E-2</v>
      </c>
      <c r="KI86">
        <v>0</v>
      </c>
      <c r="KJ86">
        <v>0</v>
      </c>
      <c r="KK86">
        <v>0</v>
      </c>
      <c r="KL86">
        <v>0</v>
      </c>
      <c r="KM86">
        <v>0</v>
      </c>
      <c r="KN86">
        <v>0</v>
      </c>
      <c r="KO86">
        <v>0</v>
      </c>
      <c r="KP86">
        <v>0</v>
      </c>
      <c r="KQ86">
        <v>0</v>
      </c>
      <c r="KR86">
        <v>0</v>
      </c>
      <c r="KS86">
        <v>0</v>
      </c>
      <c r="KT86">
        <v>0</v>
      </c>
      <c r="KU86">
        <v>0.34999999999999898</v>
      </c>
      <c r="KV86">
        <v>-0.11284090930507901</v>
      </c>
      <c r="KW86">
        <v>1.79224782865267E-3</v>
      </c>
      <c r="KX86">
        <v>34683.430446906001</v>
      </c>
      <c r="KY86">
        <v>0</v>
      </c>
      <c r="KZ86">
        <v>0.21057293038350999</v>
      </c>
      <c r="LA86">
        <v>1.73602675993533E-5</v>
      </c>
      <c r="LB86">
        <v>0</v>
      </c>
      <c r="LC86">
        <v>-12.1286284099056</v>
      </c>
      <c r="LD86">
        <v>1.5722336289591798E-2</v>
      </c>
      <c r="LE86">
        <v>3.41729838640743E-3</v>
      </c>
      <c r="LF86">
        <v>1.5722336289591798E-2</v>
      </c>
      <c r="LG86">
        <v>0.95518249186238802</v>
      </c>
      <c r="LH86">
        <v>1.2433891952981599</v>
      </c>
      <c r="LI86">
        <v>0</v>
      </c>
      <c r="LJ86">
        <v>0</v>
      </c>
      <c r="LK86">
        <v>0.24448554743300599</v>
      </c>
      <c r="LL86">
        <v>0</v>
      </c>
      <c r="LM86">
        <v>0</v>
      </c>
      <c r="LN86">
        <v>0</v>
      </c>
      <c r="LO86">
        <v>0</v>
      </c>
      <c r="LP86">
        <v>0</v>
      </c>
      <c r="LQ86">
        <v>0</v>
      </c>
      <c r="LR86">
        <v>0</v>
      </c>
      <c r="LS86">
        <v>0</v>
      </c>
      <c r="LT86">
        <v>-999</v>
      </c>
      <c r="LU86">
        <v>0.42570160982476501</v>
      </c>
      <c r="LV86">
        <v>85</v>
      </c>
      <c r="LW86">
        <v>332.63999999999902</v>
      </c>
      <c r="LX86">
        <v>3.1079999999999899</v>
      </c>
      <c r="LY86">
        <v>0</v>
      </c>
      <c r="LZ86">
        <v>-999</v>
      </c>
      <c r="MA86">
        <v>0</v>
      </c>
      <c r="MB86">
        <v>0</v>
      </c>
      <c r="MC86">
        <v>732.63999999999896</v>
      </c>
      <c r="MD86">
        <v>-23.6999999999999</v>
      </c>
      <c r="ME86">
        <v>-33.6</v>
      </c>
      <c r="MF86">
        <v>0</v>
      </c>
      <c r="MG86">
        <v>8.0706896550000007</v>
      </c>
      <c r="MH86">
        <v>0</v>
      </c>
      <c r="MI86">
        <v>0</v>
      </c>
      <c r="MJ86">
        <v>0</v>
      </c>
      <c r="MK86">
        <v>0</v>
      </c>
      <c r="ML86">
        <v>0</v>
      </c>
      <c r="MM86">
        <v>0</v>
      </c>
      <c r="MN86">
        <v>0</v>
      </c>
      <c r="MO86">
        <v>0</v>
      </c>
      <c r="MP86">
        <v>0</v>
      </c>
      <c r="MQ86">
        <v>0</v>
      </c>
      <c r="MR86">
        <v>0</v>
      </c>
      <c r="MS86">
        <v>0</v>
      </c>
      <c r="MT86">
        <v>0</v>
      </c>
      <c r="MU86">
        <v>0</v>
      </c>
      <c r="MV86">
        <v>0</v>
      </c>
    </row>
    <row r="87" spans="1:360" x14ac:dyDescent="0.25">
      <c r="A87">
        <v>31390</v>
      </c>
      <c r="B87">
        <v>0</v>
      </c>
      <c r="C87">
        <v>-33.6</v>
      </c>
      <c r="D87">
        <v>-23.6999999999999</v>
      </c>
      <c r="E87">
        <v>400</v>
      </c>
      <c r="F87">
        <v>0</v>
      </c>
      <c r="G87">
        <v>0</v>
      </c>
      <c r="H87">
        <v>0</v>
      </c>
      <c r="I87">
        <v>0</v>
      </c>
      <c r="J87">
        <v>0</v>
      </c>
      <c r="K87">
        <v>0</v>
      </c>
      <c r="L87" s="159">
        <v>6.5753399999999896E-6</v>
      </c>
      <c r="M87">
        <v>0</v>
      </c>
      <c r="N87">
        <v>0</v>
      </c>
      <c r="O87">
        <v>0</v>
      </c>
      <c r="P87">
        <v>0</v>
      </c>
      <c r="Q87">
        <v>0</v>
      </c>
      <c r="R87">
        <v>0</v>
      </c>
      <c r="S87">
        <v>0</v>
      </c>
      <c r="T87">
        <v>0</v>
      </c>
      <c r="U87">
        <v>727.23564588579598</v>
      </c>
      <c r="V87">
        <v>14.3545533120628</v>
      </c>
      <c r="W87">
        <v>1.3890942413558001</v>
      </c>
      <c r="X87">
        <v>0.28377020320715801</v>
      </c>
      <c r="Y87">
        <v>0.26716239393785002</v>
      </c>
      <c r="Z87">
        <v>0.44906740285499103</v>
      </c>
      <c r="AA87">
        <v>0.112548700455636</v>
      </c>
      <c r="AB87">
        <v>0.54131173304609903</v>
      </c>
      <c r="AC87">
        <v>0.346139566498264</v>
      </c>
      <c r="AD87">
        <v>0.88448675325627801</v>
      </c>
      <c r="AE87">
        <v>3.7984992174897203E-2</v>
      </c>
      <c r="AF87">
        <v>7.7528254568824298E-2</v>
      </c>
      <c r="AG87">
        <v>0</v>
      </c>
      <c r="AH87">
        <v>3441.5311431533901</v>
      </c>
      <c r="AI87">
        <v>78.896847919766103</v>
      </c>
      <c r="AJ87">
        <v>8.1494910669169904</v>
      </c>
      <c r="AK87">
        <v>417.52516235474798</v>
      </c>
      <c r="AL87">
        <v>7.7528817225806703</v>
      </c>
      <c r="AM87">
        <v>0.86970984980496302</v>
      </c>
      <c r="AN87">
        <v>8688.4706392516091</v>
      </c>
      <c r="AO87">
        <v>312.504788382865</v>
      </c>
      <c r="AP87">
        <v>31.250478838286298</v>
      </c>
      <c r="AQ87">
        <v>3.0638381685384401E-2</v>
      </c>
      <c r="AR87">
        <v>6.39830471661688E-3</v>
      </c>
      <c r="AS87">
        <v>1.8433211912843701E-2</v>
      </c>
      <c r="AT87">
        <v>9.48</v>
      </c>
      <c r="AU87">
        <v>5.9663229636530799</v>
      </c>
      <c r="AV87">
        <v>0</v>
      </c>
      <c r="AW87">
        <v>85.581607730898</v>
      </c>
      <c r="AX87">
        <v>66.733586914841496</v>
      </c>
      <c r="AY87">
        <v>361.42741099735798</v>
      </c>
      <c r="AZ87">
        <v>0.54833294000258304</v>
      </c>
      <c r="BA87">
        <v>0.85629374279995696</v>
      </c>
      <c r="BB87">
        <v>1.42512582725761E-2</v>
      </c>
      <c r="BC87">
        <v>1.19440146234109E-3</v>
      </c>
      <c r="BD87">
        <v>0.602700215429394</v>
      </c>
      <c r="BE87">
        <v>9.3570340181850804E-3</v>
      </c>
      <c r="BF87">
        <v>7.60734275370238E-4</v>
      </c>
      <c r="BG87">
        <v>766.29999847710098</v>
      </c>
      <c r="BH87">
        <v>-1626.59999865293</v>
      </c>
      <c r="BI87">
        <v>435.69147270980199</v>
      </c>
      <c r="BJ87">
        <v>213.53833942889599</v>
      </c>
      <c r="BK87">
        <v>3.5944814474437101</v>
      </c>
      <c r="BL87">
        <v>4.8688869134322399</v>
      </c>
      <c r="BM87">
        <v>195.232744242026</v>
      </c>
      <c r="BN87">
        <v>22.574924195599799</v>
      </c>
      <c r="BO87">
        <v>217.80766843762601</v>
      </c>
      <c r="BP87">
        <v>3.5355344137497902</v>
      </c>
      <c r="BQ87">
        <v>0.29803001481709901</v>
      </c>
      <c r="BR87">
        <v>209.94385798145299</v>
      </c>
      <c r="BS87">
        <v>2.2033483710242598</v>
      </c>
      <c r="BT87">
        <v>0.29720209722670099</v>
      </c>
      <c r="BU87">
        <v>3.54590750715735</v>
      </c>
      <c r="BV87">
        <v>1.7420178177024599</v>
      </c>
      <c r="BW87">
        <v>0.48797430744616899</v>
      </c>
      <c r="BX87">
        <v>1.3159153820087099</v>
      </c>
      <c r="BY87">
        <v>0</v>
      </c>
      <c r="BZ87">
        <v>3.1163483790743398</v>
      </c>
      <c r="CA87">
        <v>0.41918603467544502</v>
      </c>
      <c r="CB87">
        <v>0.299034524756501</v>
      </c>
      <c r="CC87">
        <v>0.25100618080244003</v>
      </c>
      <c r="CD87">
        <v>4.7023834014659802E-2</v>
      </c>
      <c r="CE87">
        <v>22.3137475267661</v>
      </c>
      <c r="CF87">
        <v>167.486745935046</v>
      </c>
      <c r="CG87">
        <v>42.227216477877498</v>
      </c>
      <c r="CH87">
        <v>0.41433633457415397</v>
      </c>
      <c r="CI87">
        <v>7.3895060324559898</v>
      </c>
      <c r="CJ87">
        <v>1.7532081553078001</v>
      </c>
      <c r="CK87">
        <v>9.8189755297464796</v>
      </c>
      <c r="CL87">
        <v>1.5188182014220599</v>
      </c>
      <c r="CM87">
        <v>0.103914754043438</v>
      </c>
      <c r="CN87">
        <v>4.6479799925449997E-2</v>
      </c>
      <c r="CO87">
        <v>0.53630749322606497</v>
      </c>
      <c r="CP87">
        <v>0.68080088754860801</v>
      </c>
      <c r="CQ87">
        <v>0.151881820142205</v>
      </c>
      <c r="CR87">
        <v>42.4571120464066</v>
      </c>
      <c r="CS87">
        <v>1.5270870290416001</v>
      </c>
      <c r="CT87">
        <v>0.152708702904159</v>
      </c>
      <c r="CU87">
        <v>1.47000000000015E-2</v>
      </c>
      <c r="CV87">
        <v>2.1689935578430501E-3</v>
      </c>
      <c r="CW87">
        <v>2.2270593177054998</v>
      </c>
      <c r="CX87">
        <v>2.0300000000002101E-2</v>
      </c>
      <c r="CY87">
        <v>6.1730809251535302E-3</v>
      </c>
      <c r="CZ87">
        <v>0</v>
      </c>
      <c r="DA87">
        <v>2.3999991000028301E-3</v>
      </c>
      <c r="DB87">
        <v>1.4916580167930399E-3</v>
      </c>
      <c r="DC87">
        <v>2.0000000000002E-3</v>
      </c>
      <c r="DD87">
        <v>3.2075293128278398E-3</v>
      </c>
      <c r="DE87">
        <v>8.9824001543945995E-4</v>
      </c>
      <c r="DF87">
        <v>2.39999909999998E-3</v>
      </c>
      <c r="DG87">
        <v>0</v>
      </c>
      <c r="DH87">
        <v>0</v>
      </c>
      <c r="DI87">
        <v>0.23180769400002399</v>
      </c>
      <c r="DJ87">
        <v>1.88461552000019E-2</v>
      </c>
      <c r="DK87">
        <v>2.55389388165039</v>
      </c>
      <c r="DL87">
        <v>0.16670325598240099</v>
      </c>
      <c r="DM87">
        <v>57.936548505188398</v>
      </c>
      <c r="DN87">
        <v>240.62322447156299</v>
      </c>
      <c r="DO87">
        <v>327.66000000000003</v>
      </c>
      <c r="DP87">
        <v>29.083574563027302</v>
      </c>
      <c r="DQ87">
        <v>157.94999999999899</v>
      </c>
      <c r="DR87">
        <v>169.71</v>
      </c>
      <c r="DS87">
        <v>156.77236099089501</v>
      </c>
      <c r="DT87">
        <v>0</v>
      </c>
      <c r="DU87">
        <v>0</v>
      </c>
      <c r="DV87">
        <v>0</v>
      </c>
      <c r="DW87">
        <v>0</v>
      </c>
      <c r="DX87">
        <v>0</v>
      </c>
      <c r="DY87">
        <v>0</v>
      </c>
      <c r="DZ87">
        <v>0</v>
      </c>
      <c r="EA87">
        <v>0</v>
      </c>
      <c r="EB87">
        <v>0</v>
      </c>
      <c r="EC87">
        <v>0</v>
      </c>
      <c r="ED87">
        <v>0</v>
      </c>
      <c r="EE87">
        <v>0</v>
      </c>
      <c r="EF87">
        <v>1.24696826771167</v>
      </c>
      <c r="EG87">
        <v>0</v>
      </c>
      <c r="EH87">
        <v>0</v>
      </c>
      <c r="EI87">
        <v>0</v>
      </c>
      <c r="EJ87">
        <v>0</v>
      </c>
      <c r="EK87">
        <v>0</v>
      </c>
      <c r="EL87">
        <v>0</v>
      </c>
      <c r="EM87">
        <v>0</v>
      </c>
      <c r="EN87">
        <v>0</v>
      </c>
      <c r="EO87">
        <v>0</v>
      </c>
      <c r="EP87">
        <v>0</v>
      </c>
      <c r="EQ87">
        <v>0</v>
      </c>
      <c r="ER87">
        <v>0</v>
      </c>
      <c r="ES87">
        <v>0</v>
      </c>
      <c r="ET87">
        <v>0</v>
      </c>
      <c r="EU87">
        <v>0</v>
      </c>
      <c r="EV87">
        <v>844.77250285499304</v>
      </c>
      <c r="EW87">
        <v>-28.649999999999899</v>
      </c>
      <c r="EX87">
        <v>1531.0224123911501</v>
      </c>
      <c r="EY87">
        <v>852.41409211764505</v>
      </c>
      <c r="EZ87">
        <v>86.725498758764203</v>
      </c>
      <c r="FA87">
        <v>694.25197484933801</v>
      </c>
      <c r="FB87">
        <v>750.044921875</v>
      </c>
      <c r="FC87">
        <v>0.37404707614654997</v>
      </c>
      <c r="FD87">
        <v>0.68215321177820798</v>
      </c>
      <c r="FE87">
        <v>0</v>
      </c>
      <c r="FF87">
        <v>1</v>
      </c>
      <c r="FG87" s="159">
        <v>5.9049611927314705E-13</v>
      </c>
      <c r="FH87">
        <v>0</v>
      </c>
      <c r="FI87">
        <v>5.4512674794765098E-5</v>
      </c>
      <c r="FJ87">
        <v>-4.9204849663467597E-3</v>
      </c>
      <c r="FK87" s="159">
        <v>6.57534000000779E-6</v>
      </c>
      <c r="FL87" s="159">
        <v>2.2153885070766001E-6</v>
      </c>
      <c r="FM87" s="159">
        <v>4.0865336378740996E-6</v>
      </c>
      <c r="FN87">
        <v>0</v>
      </c>
      <c r="FO87">
        <v>0</v>
      </c>
      <c r="FP87">
        <v>0</v>
      </c>
      <c r="FQ87">
        <v>0</v>
      </c>
      <c r="FR87">
        <v>0</v>
      </c>
      <c r="FS87">
        <v>0</v>
      </c>
      <c r="FT87">
        <v>0</v>
      </c>
      <c r="FU87">
        <v>0</v>
      </c>
      <c r="FV87">
        <v>-999</v>
      </c>
      <c r="FW87">
        <v>0.49398809052496001</v>
      </c>
      <c r="FX87">
        <v>3.2498444301433198E-3</v>
      </c>
      <c r="FY87">
        <v>1.2427645426260301</v>
      </c>
      <c r="FZ87">
        <v>8.7255655338309003E-4</v>
      </c>
      <c r="GA87">
        <v>41.296951174530399</v>
      </c>
      <c r="GB87">
        <v>1.0774852316198E-2</v>
      </c>
      <c r="GC87">
        <v>2.9121222476210899E-3</v>
      </c>
      <c r="GD87">
        <v>0</v>
      </c>
      <c r="GE87">
        <v>7.03452323114751E-3</v>
      </c>
      <c r="GF87">
        <v>0.35638250099778901</v>
      </c>
      <c r="GG87">
        <v>5.6188234977464597E-4</v>
      </c>
      <c r="GH87">
        <v>9.3757956747634406E-3</v>
      </c>
      <c r="GI87">
        <v>1.8418568365034201E-2</v>
      </c>
      <c r="GJ87">
        <v>9.0729843672655299E-4</v>
      </c>
      <c r="GK87">
        <v>1.76193423940058E-3</v>
      </c>
      <c r="GL87">
        <v>0.41106961499101002</v>
      </c>
      <c r="GM87">
        <v>6.8758782485941403E-3</v>
      </c>
      <c r="GN87">
        <v>5.6971860705658901E-4</v>
      </c>
      <c r="GO87">
        <v>0</v>
      </c>
      <c r="GP87">
        <v>0</v>
      </c>
      <c r="GQ87">
        <v>0</v>
      </c>
      <c r="GR87">
        <v>6.2254646567940497E-2</v>
      </c>
      <c r="GS87">
        <v>1.15598520769442E-3</v>
      </c>
      <c r="GT87">
        <v>1.2967716487051299E-4</v>
      </c>
      <c r="GU87">
        <v>3.94075267323813E-2</v>
      </c>
      <c r="GV87">
        <v>7.3174486541724404E-4</v>
      </c>
      <c r="GW87">
        <v>8.2086344119505799E-5</v>
      </c>
      <c r="GX87">
        <v>0.126619446389894</v>
      </c>
      <c r="GY87">
        <v>0.13718818189486201</v>
      </c>
      <c r="GZ87">
        <v>58.9308152628466</v>
      </c>
      <c r="HA87">
        <v>676.76168566870297</v>
      </c>
      <c r="HB87">
        <v>0</v>
      </c>
      <c r="HC87">
        <v>0.99981307767800998</v>
      </c>
      <c r="HD87">
        <v>0.43350780242779802</v>
      </c>
      <c r="HE87">
        <v>1.1257454098218799E-2</v>
      </c>
      <c r="HF87">
        <v>9.7463671820388403E-4</v>
      </c>
      <c r="HG87">
        <v>1.3510792507621701E-2</v>
      </c>
      <c r="HH87" s="159">
        <v>4.7618782807697098E-7</v>
      </c>
      <c r="HI87" s="159">
        <v>3.3333254078761299E-7</v>
      </c>
      <c r="HJ87">
        <v>0</v>
      </c>
      <c r="HK87">
        <v>0</v>
      </c>
      <c r="HL87">
        <v>0</v>
      </c>
      <c r="HM87">
        <v>0</v>
      </c>
      <c r="HN87">
        <v>0</v>
      </c>
      <c r="HO87">
        <v>1.19501609296665E-2</v>
      </c>
      <c r="HP87">
        <v>0.57069598432266</v>
      </c>
      <c r="HQ87">
        <v>1.1257454098218799E-2</v>
      </c>
      <c r="HR87">
        <v>9.7463671820388403E-4</v>
      </c>
      <c r="HS87">
        <v>0.71348355315714895</v>
      </c>
      <c r="HT87">
        <v>-999</v>
      </c>
      <c r="HU87">
        <v>1</v>
      </c>
      <c r="HV87">
        <v>0.81445389191609097</v>
      </c>
      <c r="HW87">
        <v>0.18554610808390801</v>
      </c>
      <c r="HX87">
        <v>12547.5269447597</v>
      </c>
      <c r="HY87">
        <v>399.15451802521198</v>
      </c>
      <c r="HZ87">
        <v>40.269679755008298</v>
      </c>
      <c r="IA87">
        <v>-0.13718818189486201</v>
      </c>
      <c r="IB87">
        <v>0</v>
      </c>
      <c r="IC87">
        <v>0</v>
      </c>
      <c r="ID87">
        <v>0</v>
      </c>
      <c r="IE87">
        <v>0</v>
      </c>
      <c r="IF87">
        <v>0</v>
      </c>
      <c r="IG87">
        <v>0</v>
      </c>
      <c r="IH87">
        <v>0</v>
      </c>
      <c r="II87">
        <v>46.337800049999601</v>
      </c>
      <c r="IJ87">
        <v>463.37800049999902</v>
      </c>
      <c r="IK87">
        <v>1.10060548488215E-2</v>
      </c>
      <c r="IL87">
        <v>2.4230689360521798E-3</v>
      </c>
      <c r="IM87">
        <v>1.34291237848737E-2</v>
      </c>
      <c r="IN87">
        <v>8.3079498101595504E-4</v>
      </c>
      <c r="IO87">
        <v>0.426640014436657</v>
      </c>
      <c r="IP87">
        <v>1.928459339774E-2</v>
      </c>
      <c r="IQ87">
        <v>1.55223985383296E-3</v>
      </c>
      <c r="IR87">
        <v>0.28977242234052902</v>
      </c>
      <c r="IS87">
        <v>0.23057992231635199</v>
      </c>
      <c r="IT87">
        <v>0.28646604044943003</v>
      </c>
      <c r="IU87">
        <v>0.30301150398594801</v>
      </c>
      <c r="IV87">
        <v>1.4837953350186599E-2</v>
      </c>
      <c r="IW87">
        <v>1.10757584907763E-3</v>
      </c>
      <c r="IX87">
        <v>7.4956213935176305E-2</v>
      </c>
      <c r="IY87">
        <v>2.6960067825942198E-3</v>
      </c>
      <c r="IZ87">
        <v>2.6960067825941998E-4</v>
      </c>
      <c r="JA87">
        <v>7.4993523668177103E-2</v>
      </c>
      <c r="JB87">
        <v>2.6973487299518299E-3</v>
      </c>
      <c r="JC87">
        <v>2.6973487299518102E-4</v>
      </c>
      <c r="JD87">
        <v>1.8542653548004801E-4</v>
      </c>
      <c r="JE87">
        <v>3.29442066289036E-3</v>
      </c>
      <c r="JF87" s="159">
        <v>-9.7578195523695303E-19</v>
      </c>
      <c r="JG87">
        <v>0</v>
      </c>
      <c r="JH87">
        <v>4.1061782952647799E-3</v>
      </c>
      <c r="JI87">
        <v>5.4651574105685598E-4</v>
      </c>
      <c r="JJ87">
        <v>-0.51519320954898695</v>
      </c>
      <c r="JK87">
        <v>1.8542653548004801E-4</v>
      </c>
      <c r="JL87" s="159">
        <v>6.5753399999999896E-6</v>
      </c>
      <c r="JM87">
        <v>-0.51519320954898695</v>
      </c>
      <c r="JN87">
        <v>0</v>
      </c>
      <c r="JO87">
        <v>1.27239525979343</v>
      </c>
      <c r="JP87">
        <v>-1.7284421221954501E-2</v>
      </c>
      <c r="JQ87">
        <v>1.1924697871723399E-3</v>
      </c>
      <c r="JR87">
        <v>1.6652460220381402E-2</v>
      </c>
      <c r="JS87">
        <v>1602.45903090004</v>
      </c>
      <c r="JT87">
        <v>4.3265679536594603E-2</v>
      </c>
      <c r="JU87">
        <v>0</v>
      </c>
      <c r="JV87">
        <v>365</v>
      </c>
      <c r="JW87">
        <v>0</v>
      </c>
      <c r="JX87">
        <v>-0.40268092994350901</v>
      </c>
      <c r="JY87">
        <v>0</v>
      </c>
      <c r="JZ87">
        <v>1.3315768754469199</v>
      </c>
      <c r="KA87">
        <v>1.40852685288409</v>
      </c>
      <c r="KB87">
        <v>1.44343536768808</v>
      </c>
      <c r="KC87">
        <v>0</v>
      </c>
      <c r="KD87">
        <v>0</v>
      </c>
      <c r="KE87">
        <v>0</v>
      </c>
      <c r="KF87">
        <v>3.6095756703337801E-3</v>
      </c>
      <c r="KG87">
        <v>2.2876929068565501E-2</v>
      </c>
      <c r="KH87">
        <v>3.7454798021074001E-2</v>
      </c>
      <c r="KI87">
        <v>0</v>
      </c>
      <c r="KJ87">
        <v>0</v>
      </c>
      <c r="KK87">
        <v>0</v>
      </c>
      <c r="KL87">
        <v>0</v>
      </c>
      <c r="KM87">
        <v>0</v>
      </c>
      <c r="KN87">
        <v>0</v>
      </c>
      <c r="KO87">
        <v>0</v>
      </c>
      <c r="KP87">
        <v>0</v>
      </c>
      <c r="KQ87">
        <v>0</v>
      </c>
      <c r="KR87">
        <v>0</v>
      </c>
      <c r="KS87">
        <v>0</v>
      </c>
      <c r="KT87">
        <v>0</v>
      </c>
      <c r="KU87">
        <v>0.34999999999999898</v>
      </c>
      <c r="KV87">
        <v>-0.112790029175907</v>
      </c>
      <c r="KW87">
        <v>1.7914946755802599E-3</v>
      </c>
      <c r="KX87">
        <v>34712.5987424669</v>
      </c>
      <c r="KY87">
        <v>0</v>
      </c>
      <c r="KZ87">
        <v>0.21058007692318401</v>
      </c>
      <c r="LA87">
        <v>1.73602675993533E-5</v>
      </c>
      <c r="LB87">
        <v>0</v>
      </c>
      <c r="LC87">
        <v>-12.1283516062561</v>
      </c>
      <c r="LD87">
        <v>1.5722478933231299E-2</v>
      </c>
      <c r="LE87">
        <v>3.41743295587858E-3</v>
      </c>
      <c r="LF87">
        <v>1.5722478933231299E-2</v>
      </c>
      <c r="LG87">
        <v>0.95529933246341703</v>
      </c>
      <c r="LH87">
        <v>1.24352196870842</v>
      </c>
      <c r="LI87">
        <v>0</v>
      </c>
      <c r="LJ87">
        <v>0</v>
      </c>
      <c r="LK87">
        <v>0.24451887923113699</v>
      </c>
      <c r="LL87">
        <v>0</v>
      </c>
      <c r="LM87">
        <v>0</v>
      </c>
      <c r="LN87">
        <v>0</v>
      </c>
      <c r="LO87">
        <v>0</v>
      </c>
      <c r="LP87">
        <v>0</v>
      </c>
      <c r="LQ87">
        <v>0</v>
      </c>
      <c r="LR87">
        <v>0</v>
      </c>
      <c r="LS87">
        <v>0</v>
      </c>
      <c r="LT87">
        <v>-999</v>
      </c>
      <c r="LU87">
        <v>0.42570264505903199</v>
      </c>
      <c r="LV87">
        <v>86</v>
      </c>
      <c r="LW87">
        <v>336.6</v>
      </c>
      <c r="LX87">
        <v>3.145</v>
      </c>
      <c r="LY87">
        <v>0</v>
      </c>
      <c r="LZ87">
        <v>-999</v>
      </c>
      <c r="MA87">
        <v>0</v>
      </c>
      <c r="MB87">
        <v>0</v>
      </c>
      <c r="MC87">
        <v>736.6</v>
      </c>
      <c r="MD87">
        <v>-23.6999999999999</v>
      </c>
      <c r="ME87">
        <v>-33.6</v>
      </c>
      <c r="MF87">
        <v>0</v>
      </c>
      <c r="MG87">
        <v>8.0706896550000007</v>
      </c>
      <c r="MH87">
        <v>0</v>
      </c>
      <c r="MI87">
        <v>0</v>
      </c>
      <c r="MJ87">
        <v>0</v>
      </c>
      <c r="MK87">
        <v>0</v>
      </c>
      <c r="ML87">
        <v>0</v>
      </c>
      <c r="MM87">
        <v>0</v>
      </c>
      <c r="MN87">
        <v>0</v>
      </c>
      <c r="MO87">
        <v>0</v>
      </c>
      <c r="MP87">
        <v>0</v>
      </c>
      <c r="MQ87">
        <v>0</v>
      </c>
      <c r="MR87">
        <v>0</v>
      </c>
      <c r="MS87">
        <v>0</v>
      </c>
      <c r="MT87">
        <v>0</v>
      </c>
      <c r="MU87">
        <v>0</v>
      </c>
      <c r="MV87">
        <v>0</v>
      </c>
    </row>
    <row r="88" spans="1:360" x14ac:dyDescent="0.25">
      <c r="A88">
        <v>31755</v>
      </c>
      <c r="B88">
        <v>0</v>
      </c>
      <c r="C88">
        <v>-33.6</v>
      </c>
      <c r="D88">
        <v>-23.6999999999999</v>
      </c>
      <c r="E88">
        <v>400</v>
      </c>
      <c r="F88">
        <v>0</v>
      </c>
      <c r="G88">
        <v>0</v>
      </c>
      <c r="H88">
        <v>0</v>
      </c>
      <c r="I88">
        <v>0</v>
      </c>
      <c r="J88">
        <v>0</v>
      </c>
      <c r="K88">
        <v>0</v>
      </c>
      <c r="L88" s="159">
        <v>6.5753399999999896E-6</v>
      </c>
      <c r="M88">
        <v>0</v>
      </c>
      <c r="N88">
        <v>0</v>
      </c>
      <c r="O88">
        <v>0</v>
      </c>
      <c r="P88">
        <v>0</v>
      </c>
      <c r="Q88">
        <v>0</v>
      </c>
      <c r="R88">
        <v>0</v>
      </c>
      <c r="S88">
        <v>0</v>
      </c>
      <c r="T88">
        <v>0</v>
      </c>
      <c r="U88">
        <v>727.83029844727798</v>
      </c>
      <c r="V88">
        <v>14.3648457171494</v>
      </c>
      <c r="W88">
        <v>1.39009195427875</v>
      </c>
      <c r="X88">
        <v>0.282950505233107</v>
      </c>
      <c r="Y88">
        <v>0.26700729576808002</v>
      </c>
      <c r="Z88">
        <v>0.45004219899881098</v>
      </c>
      <c r="AA88">
        <v>0.112553815912839</v>
      </c>
      <c r="AB88">
        <v>0.54203964249290504</v>
      </c>
      <c r="AC88">
        <v>0.34540654159425399</v>
      </c>
      <c r="AD88">
        <v>0.88448243536376803</v>
      </c>
      <c r="AE88">
        <v>3.7887003436391897E-2</v>
      </c>
      <c r="AF88">
        <v>7.7630561199840006E-2</v>
      </c>
      <c r="AG88">
        <v>0</v>
      </c>
      <c r="AH88">
        <v>3442.1725535345599</v>
      </c>
      <c r="AI88">
        <v>78.872601838637706</v>
      </c>
      <c r="AJ88">
        <v>8.1506117915127199</v>
      </c>
      <c r="AK88">
        <v>417.78436615572002</v>
      </c>
      <c r="AL88">
        <v>7.7576947891743897</v>
      </c>
      <c r="AM88">
        <v>0.87024977438708895</v>
      </c>
      <c r="AN88">
        <v>8688.2429591462005</v>
      </c>
      <c r="AO88">
        <v>312.496599240482</v>
      </c>
      <c r="AP88">
        <v>31.249659924048</v>
      </c>
      <c r="AQ88">
        <v>3.06484692950851E-2</v>
      </c>
      <c r="AR88">
        <v>6.4019978971105902E-3</v>
      </c>
      <c r="AS88">
        <v>1.8387474852858202E-2</v>
      </c>
      <c r="AT88">
        <v>9.48</v>
      </c>
      <c r="AU88">
        <v>5.9657272213723802</v>
      </c>
      <c r="AV88">
        <v>0</v>
      </c>
      <c r="AW88">
        <v>85.593145310203695</v>
      </c>
      <c r="AX88">
        <v>66.738520216793106</v>
      </c>
      <c r="AY88">
        <v>361.42626014881898</v>
      </c>
      <c r="AZ88">
        <v>0.54833294000258304</v>
      </c>
      <c r="BA88">
        <v>0.85671086107556305</v>
      </c>
      <c r="BB88">
        <v>1.42564696096712E-2</v>
      </c>
      <c r="BC88">
        <v>1.1948947158731699E-3</v>
      </c>
      <c r="BD88">
        <v>0.60284331408552305</v>
      </c>
      <c r="BE88">
        <v>9.3594558581020296E-3</v>
      </c>
      <c r="BF88">
        <v>7.60879969182088E-4</v>
      </c>
      <c r="BG88">
        <v>766.29999847710098</v>
      </c>
      <c r="BH88">
        <v>-1626.59999865293</v>
      </c>
      <c r="BI88">
        <v>435.886391638612</v>
      </c>
      <c r="BJ88">
        <v>213.59973259482999</v>
      </c>
      <c r="BK88">
        <v>3.5925792115522102</v>
      </c>
      <c r="BL88">
        <v>4.8746419050954497</v>
      </c>
      <c r="BM88">
        <v>195.29251702168401</v>
      </c>
      <c r="BN88">
        <v>22.587204916759902</v>
      </c>
      <c r="BO88">
        <v>217.879721938443</v>
      </c>
      <c r="BP88">
        <v>3.53689124747781</v>
      </c>
      <c r="BQ88">
        <v>0.29815578305114998</v>
      </c>
      <c r="BR88">
        <v>210.00715338327799</v>
      </c>
      <c r="BS88">
        <v>2.2030746850671998</v>
      </c>
      <c r="BT88">
        <v>0.297314048111601</v>
      </c>
      <c r="BU88">
        <v>3.54718365256445</v>
      </c>
      <c r="BV88">
        <v>1.7428298422692901</v>
      </c>
      <c r="BW88">
        <v>0.48688302513422099</v>
      </c>
      <c r="BX88">
        <v>1.31747078516093</v>
      </c>
      <c r="BY88">
        <v>0</v>
      </c>
      <c r="BZ88">
        <v>3.1174771762977298</v>
      </c>
      <c r="CA88">
        <v>0.419414071180085</v>
      </c>
      <c r="CB88">
        <v>0.29915349597410101</v>
      </c>
      <c r="CC88">
        <v>0.25110636814911302</v>
      </c>
      <c r="CD88">
        <v>4.7049414902037803E-2</v>
      </c>
      <c r="CE88">
        <v>22.328001115789199</v>
      </c>
      <c r="CF88">
        <v>167.550515089736</v>
      </c>
      <c r="CG88">
        <v>42.228958188143601</v>
      </c>
      <c r="CH88">
        <v>0.41460100458636101</v>
      </c>
      <c r="CI88">
        <v>7.3938491200256999</v>
      </c>
      <c r="CJ88">
        <v>1.7540681045520401</v>
      </c>
      <c r="CK88">
        <v>9.8239219204305908</v>
      </c>
      <c r="CL88">
        <v>1.51888084683122</v>
      </c>
      <c r="CM88">
        <v>0.10407887847370401</v>
      </c>
      <c r="CN88">
        <v>4.6509490319912403E-2</v>
      </c>
      <c r="CO88">
        <v>0.53495721000648</v>
      </c>
      <c r="CP88">
        <v>0.67956425919664698</v>
      </c>
      <c r="CQ88">
        <v>0.15188808468312101</v>
      </c>
      <c r="CR88">
        <v>42.456638293541801</v>
      </c>
      <c r="CS88">
        <v>1.52706998921435</v>
      </c>
      <c r="CT88">
        <v>0.152706998921434</v>
      </c>
      <c r="CU88">
        <v>1.47000000000027E-2</v>
      </c>
      <c r="CV88">
        <v>2.1709343396342801E-3</v>
      </c>
      <c r="CW88">
        <v>2.2268319254006101</v>
      </c>
      <c r="CX88">
        <v>2.0300000000003701E-2</v>
      </c>
      <c r="CY88">
        <v>6.1771025338635301E-3</v>
      </c>
      <c r="CZ88">
        <v>0</v>
      </c>
      <c r="DA88">
        <v>2.3999991000030001E-3</v>
      </c>
      <c r="DB88">
        <v>1.4915093808793799E-3</v>
      </c>
      <c r="DC88">
        <v>2.00000000000036E-3</v>
      </c>
      <c r="DD88">
        <v>3.20203057816432E-3</v>
      </c>
      <c r="DE88">
        <v>8.95767100203353E-4</v>
      </c>
      <c r="DF88">
        <v>2.39999910000015E-3</v>
      </c>
      <c r="DG88">
        <v>0</v>
      </c>
      <c r="DH88">
        <v>0</v>
      </c>
      <c r="DI88">
        <v>0.231807694000042</v>
      </c>
      <c r="DJ88">
        <v>1.8846155200003399E-2</v>
      </c>
      <c r="DK88">
        <v>2.5568002673277501</v>
      </c>
      <c r="DL88">
        <v>0.166892967841237</v>
      </c>
      <c r="DM88">
        <v>57.656795559012103</v>
      </c>
      <c r="DN88">
        <v>240.92286430065801</v>
      </c>
      <c r="DO88">
        <v>327.66000000000003</v>
      </c>
      <c r="DP88">
        <v>29.0638738084157</v>
      </c>
      <c r="DQ88">
        <v>157.94999999999899</v>
      </c>
      <c r="DR88">
        <v>169.71</v>
      </c>
      <c r="DS88">
        <v>156.78567496480699</v>
      </c>
      <c r="DT88">
        <v>0</v>
      </c>
      <c r="DU88">
        <v>0</v>
      </c>
      <c r="DV88">
        <v>0</v>
      </c>
      <c r="DW88">
        <v>0</v>
      </c>
      <c r="DX88">
        <v>0</v>
      </c>
      <c r="DY88">
        <v>0</v>
      </c>
      <c r="DZ88">
        <v>0</v>
      </c>
      <c r="EA88">
        <v>0</v>
      </c>
      <c r="EB88">
        <v>0</v>
      </c>
      <c r="EC88">
        <v>0</v>
      </c>
      <c r="ED88">
        <v>0</v>
      </c>
      <c r="EE88">
        <v>0</v>
      </c>
      <c r="EF88">
        <v>1.2464575863533101</v>
      </c>
      <c r="EG88">
        <v>0</v>
      </c>
      <c r="EH88">
        <v>0</v>
      </c>
      <c r="EI88">
        <v>0</v>
      </c>
      <c r="EJ88">
        <v>0</v>
      </c>
      <c r="EK88">
        <v>0</v>
      </c>
      <c r="EL88">
        <v>0</v>
      </c>
      <c r="EM88">
        <v>0</v>
      </c>
      <c r="EN88">
        <v>0</v>
      </c>
      <c r="EO88">
        <v>0</v>
      </c>
      <c r="EP88">
        <v>0</v>
      </c>
      <c r="EQ88">
        <v>0</v>
      </c>
      <c r="ER88">
        <v>0</v>
      </c>
      <c r="ES88">
        <v>0</v>
      </c>
      <c r="ET88">
        <v>0</v>
      </c>
      <c r="EU88">
        <v>0</v>
      </c>
      <c r="EV88">
        <v>845.40375316132997</v>
      </c>
      <c r="EW88">
        <v>-28.649999999999899</v>
      </c>
      <c r="EX88">
        <v>1532.27431252058</v>
      </c>
      <c r="EY88">
        <v>852.779397234572</v>
      </c>
      <c r="EZ88">
        <v>86.609029107504895</v>
      </c>
      <c r="FA88">
        <v>694.82968677746101</v>
      </c>
      <c r="FB88">
        <v>750.83557128906205</v>
      </c>
      <c r="FC88">
        <v>0.373544742540668</v>
      </c>
      <c r="FD88">
        <v>0.68123710120152303</v>
      </c>
      <c r="FE88">
        <v>0</v>
      </c>
      <c r="FF88">
        <v>1</v>
      </c>
      <c r="FG88" s="159">
        <v>5.9049611927314705E-13</v>
      </c>
      <c r="FH88">
        <v>0</v>
      </c>
      <c r="FI88">
        <v>5.4512674794765098E-5</v>
      </c>
      <c r="FJ88">
        <v>-4.91483382139128E-3</v>
      </c>
      <c r="FK88" s="159">
        <v>6.57534000000779E-6</v>
      </c>
      <c r="FL88" s="159">
        <v>2.2098639428205099E-6</v>
      </c>
      <c r="FM88" s="159">
        <v>4.0861255941117296E-6</v>
      </c>
      <c r="FN88">
        <v>0</v>
      </c>
      <c r="FO88">
        <v>0</v>
      </c>
      <c r="FP88">
        <v>0</v>
      </c>
      <c r="FQ88">
        <v>0</v>
      </c>
      <c r="FR88">
        <v>0</v>
      </c>
      <c r="FS88">
        <v>0</v>
      </c>
      <c r="FT88">
        <v>0</v>
      </c>
      <c r="FU88">
        <v>0</v>
      </c>
      <c r="FV88">
        <v>-999</v>
      </c>
      <c r="FW88">
        <v>0.494149547416737</v>
      </c>
      <c r="FX88">
        <v>3.2505334049148099E-3</v>
      </c>
      <c r="FY88">
        <v>1.24344502527587</v>
      </c>
      <c r="FZ88">
        <v>8.7067420185841702E-4</v>
      </c>
      <c r="GA88">
        <v>41.271003296233303</v>
      </c>
      <c r="GB88">
        <v>1.07811698661632E-2</v>
      </c>
      <c r="GC88">
        <v>2.9138296935576299E-3</v>
      </c>
      <c r="GD88">
        <v>0</v>
      </c>
      <c r="GE88">
        <v>7.0350373003308601E-3</v>
      </c>
      <c r="GF88">
        <v>0.35549378192200498</v>
      </c>
      <c r="GG88">
        <v>5.6196028169391604E-4</v>
      </c>
      <c r="GH88">
        <v>9.3748525311498198E-3</v>
      </c>
      <c r="GI88">
        <v>1.84167735072873E-2</v>
      </c>
      <c r="GJ88">
        <v>9.0720828700186201E-4</v>
      </c>
      <c r="GK88">
        <v>1.76181081582317E-3</v>
      </c>
      <c r="GL88">
        <v>0.41137913914872698</v>
      </c>
      <c r="GM88">
        <v>6.8810737480742203E-3</v>
      </c>
      <c r="GN88">
        <v>5.7014662192455602E-4</v>
      </c>
      <c r="GO88">
        <v>0</v>
      </c>
      <c r="GP88">
        <v>0</v>
      </c>
      <c r="GQ88">
        <v>0</v>
      </c>
      <c r="GR88">
        <v>6.2287450359862002E-2</v>
      </c>
      <c r="GS88">
        <v>1.15659433007015E-3</v>
      </c>
      <c r="GT88">
        <v>1.2974549555694201E-4</v>
      </c>
      <c r="GU88">
        <v>3.9432085775006599E-2</v>
      </c>
      <c r="GV88">
        <v>7.3220089386740698E-4</v>
      </c>
      <c r="GW88">
        <v>8.2137500895668696E-5</v>
      </c>
      <c r="GX88">
        <v>0.12672207185979401</v>
      </c>
      <c r="GY88">
        <v>0.13729197676436999</v>
      </c>
      <c r="GZ88">
        <v>58.930847218804601</v>
      </c>
      <c r="HA88">
        <v>676.77085893328399</v>
      </c>
      <c r="HB88">
        <v>0</v>
      </c>
      <c r="HC88">
        <v>0.99981307822494003</v>
      </c>
      <c r="HD88">
        <v>0.43381781315890799</v>
      </c>
      <c r="HE88">
        <v>1.12656075699491E-2</v>
      </c>
      <c r="HF88">
        <v>9.7534269113553002E-4</v>
      </c>
      <c r="HG88">
        <v>1.3521910383661099E-2</v>
      </c>
      <c r="HH88" s="159">
        <v>4.76187830777245E-7</v>
      </c>
      <c r="HI88" s="159">
        <v>3.33332540667353E-7</v>
      </c>
      <c r="HJ88">
        <v>0</v>
      </c>
      <c r="HK88">
        <v>0</v>
      </c>
      <c r="HL88">
        <v>0</v>
      </c>
      <c r="HM88">
        <v>0</v>
      </c>
      <c r="HN88">
        <v>0</v>
      </c>
      <c r="HO88">
        <v>1.1959936145033399E-2</v>
      </c>
      <c r="HP88">
        <v>0.57110978992327899</v>
      </c>
      <c r="HQ88">
        <v>1.12656075699491E-2</v>
      </c>
      <c r="HR88">
        <v>9.7534269113553002E-4</v>
      </c>
      <c r="HS88">
        <v>0.71331929215982903</v>
      </c>
      <c r="HT88">
        <v>-999</v>
      </c>
      <c r="HU88">
        <v>1</v>
      </c>
      <c r="HV88">
        <v>0.81478245022180695</v>
      </c>
      <c r="HW88">
        <v>0.18521754977819199</v>
      </c>
      <c r="HX88">
        <v>12548.1998788364</v>
      </c>
      <c r="HY88">
        <v>399.12689586829401</v>
      </c>
      <c r="HZ88">
        <v>40.270521489947797</v>
      </c>
      <c r="IA88">
        <v>-0.13729197676436999</v>
      </c>
      <c r="IB88">
        <v>0</v>
      </c>
      <c r="IC88">
        <v>0</v>
      </c>
      <c r="ID88">
        <v>0</v>
      </c>
      <c r="IE88">
        <v>0</v>
      </c>
      <c r="IF88">
        <v>0</v>
      </c>
      <c r="IG88">
        <v>0</v>
      </c>
      <c r="IH88">
        <v>0</v>
      </c>
      <c r="II88">
        <v>46.337800049999601</v>
      </c>
      <c r="IJ88">
        <v>463.37800049999902</v>
      </c>
      <c r="IK88">
        <v>1.1017133187991201E-2</v>
      </c>
      <c r="IL88">
        <v>2.4260186233071202E-3</v>
      </c>
      <c r="IM88">
        <v>1.34431518112983E-2</v>
      </c>
      <c r="IN88">
        <v>8.2895632448560304E-4</v>
      </c>
      <c r="IO88">
        <v>0.42672055101629902</v>
      </c>
      <c r="IP88">
        <v>1.9297180092468301E-2</v>
      </c>
      <c r="IQ88">
        <v>1.55050213937288E-3</v>
      </c>
      <c r="IR88">
        <v>0.28969469944523402</v>
      </c>
      <c r="IS88">
        <v>0.23041120572009799</v>
      </c>
      <c r="IT88">
        <v>0.28676429520451002</v>
      </c>
      <c r="IU88">
        <v>0.30310186924252802</v>
      </c>
      <c r="IV88">
        <v>1.48508935603648E-2</v>
      </c>
      <c r="IW88">
        <v>1.10587348616253E-3</v>
      </c>
      <c r="IX88">
        <v>7.4957630772576694E-2</v>
      </c>
      <c r="IY88">
        <v>2.6960577430555398E-3</v>
      </c>
      <c r="IZ88">
        <v>2.6960577430555199E-4</v>
      </c>
      <c r="JA88">
        <v>7.4991738108795503E-2</v>
      </c>
      <c r="JB88">
        <v>2.6972845073883998E-3</v>
      </c>
      <c r="JC88">
        <v>2.6972845073883802E-4</v>
      </c>
      <c r="JD88">
        <v>1.8571410775900399E-4</v>
      </c>
      <c r="JE88">
        <v>3.2954977696591599E-3</v>
      </c>
      <c r="JF88" s="159">
        <v>-1.4789195259059999E-18</v>
      </c>
      <c r="JG88">
        <v>0</v>
      </c>
      <c r="JH88">
        <v>4.1050262564548698E-3</v>
      </c>
      <c r="JI88">
        <v>5.46645612415766E-4</v>
      </c>
      <c r="JJ88">
        <v>-0.51538558411569302</v>
      </c>
      <c r="JK88">
        <v>1.8571410775900399E-4</v>
      </c>
      <c r="JL88" s="159">
        <v>6.5753399999999896E-6</v>
      </c>
      <c r="JM88">
        <v>-0.51538558411569302</v>
      </c>
      <c r="JN88">
        <v>0</v>
      </c>
      <c r="JO88">
        <v>1.2675866382243399</v>
      </c>
      <c r="JP88">
        <v>-1.7315971041020901E-2</v>
      </c>
      <c r="JQ88">
        <v>1.1979685218361999E-3</v>
      </c>
      <c r="JR88">
        <v>1.64663319130866E-2</v>
      </c>
      <c r="JS88">
        <v>1603.6149938695501</v>
      </c>
      <c r="JT88">
        <v>4.3207575072748999E-2</v>
      </c>
      <c r="JU88">
        <v>0</v>
      </c>
      <c r="JV88">
        <v>365</v>
      </c>
      <c r="JW88">
        <v>0</v>
      </c>
      <c r="JX88">
        <v>-0.40268092994350901</v>
      </c>
      <c r="JY88">
        <v>0</v>
      </c>
      <c r="JZ88">
        <v>1.33184606193706</v>
      </c>
      <c r="KA88">
        <v>1.40864815573382</v>
      </c>
      <c r="KB88">
        <v>1.44369244766219</v>
      </c>
      <c r="KC88">
        <v>0</v>
      </c>
      <c r="KD88">
        <v>0</v>
      </c>
      <c r="KE88">
        <v>0</v>
      </c>
      <c r="KF88">
        <v>3.6104487251597001E-3</v>
      </c>
      <c r="KG88">
        <v>2.28869860451127E-2</v>
      </c>
      <c r="KH88">
        <v>3.7427374829437698E-2</v>
      </c>
      <c r="KI88">
        <v>0</v>
      </c>
      <c r="KJ88">
        <v>0</v>
      </c>
      <c r="KK88">
        <v>0</v>
      </c>
      <c r="KL88">
        <v>0</v>
      </c>
      <c r="KM88">
        <v>0</v>
      </c>
      <c r="KN88">
        <v>0</v>
      </c>
      <c r="KO88">
        <v>0</v>
      </c>
      <c r="KP88">
        <v>0</v>
      </c>
      <c r="KQ88">
        <v>0</v>
      </c>
      <c r="KR88">
        <v>0</v>
      </c>
      <c r="KS88">
        <v>0</v>
      </c>
      <c r="KT88">
        <v>0</v>
      </c>
      <c r="KU88">
        <v>0.34999999999999898</v>
      </c>
      <c r="KV88">
        <v>-0.112739691555457</v>
      </c>
      <c r="KW88">
        <v>1.79074975701829E-3</v>
      </c>
      <c r="KX88">
        <v>34741.484338873001</v>
      </c>
      <c r="KY88">
        <v>0</v>
      </c>
      <c r="KZ88">
        <v>0.21058725939148501</v>
      </c>
      <c r="LA88">
        <v>1.73602675993533E-5</v>
      </c>
      <c r="LB88">
        <v>0</v>
      </c>
      <c r="LC88">
        <v>-12.1280778652061</v>
      </c>
      <c r="LD88">
        <v>1.5722619531087001E-2</v>
      </c>
      <c r="LE88">
        <v>3.41756559536514E-3</v>
      </c>
      <c r="LF88">
        <v>1.5722619531087001E-2</v>
      </c>
      <c r="LG88">
        <v>0.95541479705204502</v>
      </c>
      <c r="LH88">
        <v>1.2436531784682301</v>
      </c>
      <c r="LI88">
        <v>0</v>
      </c>
      <c r="LJ88">
        <v>0</v>
      </c>
      <c r="LK88">
        <v>0.244551843743439</v>
      </c>
      <c r="LL88">
        <v>0</v>
      </c>
      <c r="LM88">
        <v>0</v>
      </c>
      <c r="LN88">
        <v>0</v>
      </c>
      <c r="LO88">
        <v>0</v>
      </c>
      <c r="LP88">
        <v>0</v>
      </c>
      <c r="LQ88">
        <v>0</v>
      </c>
      <c r="LR88">
        <v>0</v>
      </c>
      <c r="LS88">
        <v>0</v>
      </c>
      <c r="LT88">
        <v>-999</v>
      </c>
      <c r="LU88">
        <v>0.42570366478819799</v>
      </c>
      <c r="LV88">
        <v>87</v>
      </c>
      <c r="LW88">
        <v>340.56</v>
      </c>
      <c r="LX88">
        <v>3.1819999999999902</v>
      </c>
      <c r="LY88">
        <v>0</v>
      </c>
      <c r="LZ88">
        <v>-999</v>
      </c>
      <c r="MA88">
        <v>0</v>
      </c>
      <c r="MB88">
        <v>0</v>
      </c>
      <c r="MC88">
        <v>740.55999999999904</v>
      </c>
      <c r="MD88">
        <v>-23.6999999999999</v>
      </c>
      <c r="ME88">
        <v>-33.6</v>
      </c>
      <c r="MF88">
        <v>0</v>
      </c>
      <c r="MG88">
        <v>8.0706896550000007</v>
      </c>
      <c r="MH88">
        <v>0</v>
      </c>
      <c r="MI88">
        <v>0</v>
      </c>
      <c r="MJ88">
        <v>0</v>
      </c>
      <c r="MK88">
        <v>0</v>
      </c>
      <c r="ML88">
        <v>0</v>
      </c>
      <c r="MM88">
        <v>0</v>
      </c>
      <c r="MN88">
        <v>0</v>
      </c>
      <c r="MO88">
        <v>0</v>
      </c>
      <c r="MP88">
        <v>0</v>
      </c>
      <c r="MQ88">
        <v>0</v>
      </c>
      <c r="MR88">
        <v>0</v>
      </c>
      <c r="MS88">
        <v>0</v>
      </c>
      <c r="MT88">
        <v>0</v>
      </c>
      <c r="MU88">
        <v>0</v>
      </c>
      <c r="MV88">
        <v>0</v>
      </c>
    </row>
    <row r="89" spans="1:360" x14ac:dyDescent="0.25">
      <c r="A89">
        <v>32120</v>
      </c>
      <c r="B89">
        <v>0</v>
      </c>
      <c r="C89">
        <v>-33.6</v>
      </c>
      <c r="D89">
        <v>-23.6999999999999</v>
      </c>
      <c r="E89">
        <v>400</v>
      </c>
      <c r="F89">
        <v>0</v>
      </c>
      <c r="G89">
        <v>0</v>
      </c>
      <c r="H89">
        <v>0</v>
      </c>
      <c r="I89">
        <v>0</v>
      </c>
      <c r="J89">
        <v>0</v>
      </c>
      <c r="K89">
        <v>0</v>
      </c>
      <c r="L89" s="159">
        <v>6.5753399999999896E-6</v>
      </c>
      <c r="M89">
        <v>0</v>
      </c>
      <c r="N89">
        <v>0</v>
      </c>
      <c r="O89">
        <v>0</v>
      </c>
      <c r="P89">
        <v>0</v>
      </c>
      <c r="Q89">
        <v>0</v>
      </c>
      <c r="R89">
        <v>0</v>
      </c>
      <c r="S89">
        <v>0</v>
      </c>
      <c r="T89">
        <v>0</v>
      </c>
      <c r="U89">
        <v>728.42009426400102</v>
      </c>
      <c r="V89">
        <v>14.3750591506692</v>
      </c>
      <c r="W89">
        <v>1.3910827955443801</v>
      </c>
      <c r="X89">
        <v>0.28214003828800499</v>
      </c>
      <c r="Y89">
        <v>0.26685510954209002</v>
      </c>
      <c r="Z89">
        <v>0.45100485216990399</v>
      </c>
      <c r="AA89">
        <v>0.112558715604253</v>
      </c>
      <c r="AB89">
        <v>0.54276469775746705</v>
      </c>
      <c r="AC89">
        <v>0.34467658663827899</v>
      </c>
      <c r="AD89">
        <v>0.88447805708636096</v>
      </c>
      <c r="AE89">
        <v>3.7789000792483401E-2</v>
      </c>
      <c r="AF89">
        <v>7.7732942121154905E-2</v>
      </c>
      <c r="AG89">
        <v>0</v>
      </c>
      <c r="AH89">
        <v>3442.81365958161</v>
      </c>
      <c r="AI89">
        <v>78.848361539082603</v>
      </c>
      <c r="AJ89">
        <v>8.1517423158194795</v>
      </c>
      <c r="AK89">
        <v>418.04160601605201</v>
      </c>
      <c r="AL89">
        <v>7.7624713880271203</v>
      </c>
      <c r="AM89">
        <v>0.87078560805764504</v>
      </c>
      <c r="AN89">
        <v>8688.0175251348101</v>
      </c>
      <c r="AO89">
        <v>312.48849088505898</v>
      </c>
      <c r="AP89">
        <v>31.2488490885057</v>
      </c>
      <c r="AQ89">
        <v>3.06582791977008E-2</v>
      </c>
      <c r="AR89">
        <v>6.4056195830568098E-3</v>
      </c>
      <c r="AS89">
        <v>1.8342514685990401E-2</v>
      </c>
      <c r="AT89">
        <v>9.48</v>
      </c>
      <c r="AU89">
        <v>5.9651291964550701</v>
      </c>
      <c r="AV89">
        <v>0</v>
      </c>
      <c r="AW89">
        <v>85.604556105197702</v>
      </c>
      <c r="AX89">
        <v>66.743397142963502</v>
      </c>
      <c r="AY89">
        <v>361.42512308575402</v>
      </c>
      <c r="AZ89">
        <v>0.54833294000258304</v>
      </c>
      <c r="BA89">
        <v>0.85712481234655302</v>
      </c>
      <c r="BB89">
        <v>1.4261639448944E-2</v>
      </c>
      <c r="BC89">
        <v>1.19538419665727E-3</v>
      </c>
      <c r="BD89">
        <v>0.60298495104571703</v>
      </c>
      <c r="BE89">
        <v>9.3618662239641302E-3</v>
      </c>
      <c r="BF89">
        <v>7.6102551518558996E-4</v>
      </c>
      <c r="BG89">
        <v>766.29999847710098</v>
      </c>
      <c r="BH89">
        <v>-1626.59999865293</v>
      </c>
      <c r="BI89">
        <v>436.07976587614797</v>
      </c>
      <c r="BJ89">
        <v>213.66060590697899</v>
      </c>
      <c r="BK89">
        <v>3.5905739125512701</v>
      </c>
      <c r="BL89">
        <v>4.8804111590536703</v>
      </c>
      <c r="BM89">
        <v>195.35183537423299</v>
      </c>
      <c r="BN89">
        <v>22.599385875077001</v>
      </c>
      <c r="BO89">
        <v>217.95122124931001</v>
      </c>
      <c r="BP89">
        <v>3.5382373278313599</v>
      </c>
      <c r="BQ89">
        <v>0.29828067786634399</v>
      </c>
      <c r="BR89">
        <v>210.07003199442701</v>
      </c>
      <c r="BS89">
        <v>2.2027880300337301</v>
      </c>
      <c r="BT89">
        <v>0.29742515543126802</v>
      </c>
      <c r="BU89">
        <v>3.5484507613510199</v>
      </c>
      <c r="BV89">
        <v>1.7436325880179</v>
      </c>
      <c r="BW89">
        <v>0.485788130345645</v>
      </c>
      <c r="BX89">
        <v>1.3190300429874799</v>
      </c>
      <c r="BY89">
        <v>0</v>
      </c>
      <c r="BZ89">
        <v>3.11859707260869</v>
      </c>
      <c r="CA89">
        <v>0.41964025522266502</v>
      </c>
      <c r="CB89">
        <v>0.29927151913197703</v>
      </c>
      <c r="CC89">
        <v>0.25120588988411002</v>
      </c>
      <c r="CD89">
        <v>4.7074787982234301E-2</v>
      </c>
      <c r="CE89">
        <v>22.342146014744799</v>
      </c>
      <c r="CF89">
        <v>167.61386387960599</v>
      </c>
      <c r="CG89">
        <v>42.230734103445997</v>
      </c>
      <c r="CH89">
        <v>0.41486365636993899</v>
      </c>
      <c r="CI89">
        <v>7.3981566340063498</v>
      </c>
      <c r="CJ89">
        <v>1.7549208662395599</v>
      </c>
      <c r="CK89">
        <v>9.82881245233858</v>
      </c>
      <c r="CL89">
        <v>1.51894472251876</v>
      </c>
      <c r="CM89">
        <v>0.104243075236458</v>
      </c>
      <c r="CN89">
        <v>4.6538954311679599E-2</v>
      </c>
      <c r="CO89">
        <v>0.53362968099283303</v>
      </c>
      <c r="CP89">
        <v>0.67834952862999398</v>
      </c>
      <c r="CQ89">
        <v>0.151894472251875</v>
      </c>
      <c r="CR89">
        <v>42.456168114821899</v>
      </c>
      <c r="CS89">
        <v>1.52705307794107</v>
      </c>
      <c r="CT89">
        <v>0.15270530779410599</v>
      </c>
      <c r="CU89">
        <v>1.4700000000000201E-2</v>
      </c>
      <c r="CV89">
        <v>2.1728415926161198E-3</v>
      </c>
      <c r="CW89">
        <v>2.2265936567601599</v>
      </c>
      <c r="CX89">
        <v>2.03000000000002E-2</v>
      </c>
      <c r="CY89">
        <v>6.1810384890100198E-3</v>
      </c>
      <c r="CZ89">
        <v>0</v>
      </c>
      <c r="DA89">
        <v>2.39999910000289E-3</v>
      </c>
      <c r="DB89">
        <v>1.4913601689331901E-3</v>
      </c>
      <c r="DC89">
        <v>2.00000000000002E-3</v>
      </c>
      <c r="DD89">
        <v>3.1966204834596701E-3</v>
      </c>
      <c r="DE89">
        <v>8.9333525163460799E-4</v>
      </c>
      <c r="DF89">
        <v>2.3999991000000498E-3</v>
      </c>
      <c r="DG89">
        <v>0</v>
      </c>
      <c r="DH89">
        <v>0</v>
      </c>
      <c r="DI89">
        <v>0.23180769400000301</v>
      </c>
      <c r="DJ89">
        <v>1.88461552000002E-2</v>
      </c>
      <c r="DK89">
        <v>2.55967389381013</v>
      </c>
      <c r="DL89">
        <v>0.16708054137141801</v>
      </c>
      <c r="DM89">
        <v>57.379788368360003</v>
      </c>
      <c r="DN89">
        <v>241.21953610397699</v>
      </c>
      <c r="DO89">
        <v>327.66000000000003</v>
      </c>
      <c r="DP89">
        <v>29.044392742694701</v>
      </c>
      <c r="DQ89">
        <v>157.94999999999899</v>
      </c>
      <c r="DR89">
        <v>169.71</v>
      </c>
      <c r="DS89">
        <v>156.79883710033701</v>
      </c>
      <c r="DT89">
        <v>0</v>
      </c>
      <c r="DU89">
        <v>0</v>
      </c>
      <c r="DV89">
        <v>0</v>
      </c>
      <c r="DW89">
        <v>0</v>
      </c>
      <c r="DX89">
        <v>0</v>
      </c>
      <c r="DY89">
        <v>0</v>
      </c>
      <c r="DZ89">
        <v>0</v>
      </c>
      <c r="EA89">
        <v>0</v>
      </c>
      <c r="EB89">
        <v>0</v>
      </c>
      <c r="EC89">
        <v>0</v>
      </c>
      <c r="ED89">
        <v>0</v>
      </c>
      <c r="EE89">
        <v>0</v>
      </c>
      <c r="EF89">
        <v>1.2459519439259099</v>
      </c>
      <c r="EG89">
        <v>0</v>
      </c>
      <c r="EH89">
        <v>0</v>
      </c>
      <c r="EI89">
        <v>0</v>
      </c>
      <c r="EJ89">
        <v>0</v>
      </c>
      <c r="EK89">
        <v>0</v>
      </c>
      <c r="EL89">
        <v>0</v>
      </c>
      <c r="EM89">
        <v>0</v>
      </c>
      <c r="EN89">
        <v>0</v>
      </c>
      <c r="EO89">
        <v>0</v>
      </c>
      <c r="EP89">
        <v>0</v>
      </c>
      <c r="EQ89">
        <v>0</v>
      </c>
      <c r="ER89">
        <v>0</v>
      </c>
      <c r="ES89">
        <v>0</v>
      </c>
      <c r="ET89">
        <v>0</v>
      </c>
      <c r="EU89">
        <v>0</v>
      </c>
      <c r="EV89">
        <v>846.03002407554402</v>
      </c>
      <c r="EW89">
        <v>-28.649999999999899</v>
      </c>
      <c r="EX89">
        <v>1533.5159879242101</v>
      </c>
      <c r="EY89">
        <v>853.14163484269397</v>
      </c>
      <c r="EZ89">
        <v>86.493979395318803</v>
      </c>
      <c r="FA89">
        <v>695.40174164037899</v>
      </c>
      <c r="FB89">
        <v>751.62023925781205</v>
      </c>
      <c r="FC89">
        <v>0.37304853313200997</v>
      </c>
      <c r="FD89">
        <v>0.68033215938158298</v>
      </c>
      <c r="FE89">
        <v>0</v>
      </c>
      <c r="FF89">
        <v>1</v>
      </c>
      <c r="FG89" s="159">
        <v>5.9049611927314705E-13</v>
      </c>
      <c r="FH89">
        <v>0</v>
      </c>
      <c r="FI89">
        <v>5.4512674794765098E-5</v>
      </c>
      <c r="FJ89">
        <v>-4.9092519074655601E-3</v>
      </c>
      <c r="FK89" s="159">
        <v>6.57534000000779E-6</v>
      </c>
      <c r="FL89" s="159">
        <v>2.2044332626174499E-6</v>
      </c>
      <c r="FM89" s="159">
        <v>4.0857159868954001E-6</v>
      </c>
      <c r="FN89">
        <v>0</v>
      </c>
      <c r="FO89">
        <v>0</v>
      </c>
      <c r="FP89">
        <v>0</v>
      </c>
      <c r="FQ89">
        <v>0</v>
      </c>
      <c r="FR89">
        <v>0</v>
      </c>
      <c r="FS89">
        <v>0</v>
      </c>
      <c r="FT89">
        <v>0</v>
      </c>
      <c r="FU89">
        <v>0</v>
      </c>
      <c r="FV89">
        <v>-999</v>
      </c>
      <c r="FW89">
        <v>0.49430653742619401</v>
      </c>
      <c r="FX89">
        <v>3.25121282424901E-3</v>
      </c>
      <c r="FY89">
        <v>1.2441119677638901</v>
      </c>
      <c r="FZ89">
        <v>8.6878578704521097E-4</v>
      </c>
      <c r="GA89">
        <v>41.2451377616133</v>
      </c>
      <c r="GB89">
        <v>1.0787569265572E-2</v>
      </c>
      <c r="GC89">
        <v>2.9155592609654301E-3</v>
      </c>
      <c r="GD89">
        <v>0</v>
      </c>
      <c r="GE89">
        <v>7.0355578722596504E-3</v>
      </c>
      <c r="GF89">
        <v>0.35462016567514698</v>
      </c>
      <c r="GG89">
        <v>5.6203843108971997E-4</v>
      </c>
      <c r="GH89">
        <v>9.3739219309525706E-3</v>
      </c>
      <c r="GI89">
        <v>1.8415002224787501E-2</v>
      </c>
      <c r="GJ89">
        <v>9.0711985169934502E-4</v>
      </c>
      <c r="GK89">
        <v>1.76168933733125E-3</v>
      </c>
      <c r="GL89">
        <v>0.41168582718532398</v>
      </c>
      <c r="GM89">
        <v>6.8862220281844496E-3</v>
      </c>
      <c r="GN89">
        <v>5.7057103843886198E-4</v>
      </c>
      <c r="GO89">
        <v>0</v>
      </c>
      <c r="GP89">
        <v>0</v>
      </c>
      <c r="GQ89">
        <v>0</v>
      </c>
      <c r="GR89">
        <v>6.2319988911826399E-2</v>
      </c>
      <c r="GS89">
        <v>1.15719852729597E-3</v>
      </c>
      <c r="GT89">
        <v>1.29813273745405E-4</v>
      </c>
      <c r="GU89">
        <v>3.94564574826499E-2</v>
      </c>
      <c r="GV89">
        <v>7.3265344375846204E-4</v>
      </c>
      <c r="GW89">
        <v>8.2188267450849397E-5</v>
      </c>
      <c r="GX89">
        <v>0.12682379223229001</v>
      </c>
      <c r="GY89">
        <v>0.13739492016798099</v>
      </c>
      <c r="GZ89">
        <v>58.930875592994397</v>
      </c>
      <c r="HA89">
        <v>676.77960207144395</v>
      </c>
      <c r="HB89">
        <v>0</v>
      </c>
      <c r="HC89">
        <v>0.99981307877968795</v>
      </c>
      <c r="HD89">
        <v>0.43412506937214801</v>
      </c>
      <c r="HE89">
        <v>1.12736876584924E-2</v>
      </c>
      <c r="HF89">
        <v>9.7604251890748902E-4</v>
      </c>
      <c r="HG89">
        <v>1.35328496150279E-2</v>
      </c>
      <c r="HH89" s="159">
        <v>4.7618783343436099E-7</v>
      </c>
      <c r="HI89" s="159">
        <v>3.3333254054500899E-7</v>
      </c>
      <c r="HJ89">
        <v>0</v>
      </c>
      <c r="HK89">
        <v>0</v>
      </c>
      <c r="HL89">
        <v>0</v>
      </c>
      <c r="HM89">
        <v>0</v>
      </c>
      <c r="HN89">
        <v>0</v>
      </c>
      <c r="HO89">
        <v>1.1969552439923301E-2</v>
      </c>
      <c r="HP89">
        <v>0.57151998954012895</v>
      </c>
      <c r="HQ89">
        <v>1.12736876584924E-2</v>
      </c>
      <c r="HR89">
        <v>9.7604251890748902E-4</v>
      </c>
      <c r="HS89">
        <v>0.71315696639012305</v>
      </c>
      <c r="HT89">
        <v>-999</v>
      </c>
      <c r="HU89">
        <v>1</v>
      </c>
      <c r="HV89">
        <v>0.81510702706309701</v>
      </c>
      <c r="HW89">
        <v>0.18489297293690199</v>
      </c>
      <c r="HX89">
        <v>12548.872790732399</v>
      </c>
      <c r="HY89">
        <v>399.09932381216902</v>
      </c>
      <c r="HZ89">
        <v>40.2713770123828</v>
      </c>
      <c r="IA89">
        <v>-0.13739492016798099</v>
      </c>
      <c r="IB89">
        <v>0</v>
      </c>
      <c r="IC89">
        <v>0</v>
      </c>
      <c r="ID89">
        <v>0</v>
      </c>
      <c r="IE89">
        <v>0</v>
      </c>
      <c r="IF89">
        <v>0</v>
      </c>
      <c r="IG89">
        <v>0</v>
      </c>
      <c r="IH89">
        <v>0</v>
      </c>
      <c r="II89">
        <v>46.337800049999601</v>
      </c>
      <c r="IJ89">
        <v>463.37800049999902</v>
      </c>
      <c r="IK89">
        <v>1.1028119753621999E-2</v>
      </c>
      <c r="IL89">
        <v>2.4289447057414099E-3</v>
      </c>
      <c r="IM89">
        <v>1.3457064459363399E-2</v>
      </c>
      <c r="IN89">
        <v>8.2714995683611404E-4</v>
      </c>
      <c r="IO89">
        <v>0.42680102766828498</v>
      </c>
      <c r="IP89">
        <v>1.9309651657963899E-2</v>
      </c>
      <c r="IQ89">
        <v>1.54879754362588E-3</v>
      </c>
      <c r="IR89">
        <v>0.28961813544027498</v>
      </c>
      <c r="IS89">
        <v>0.23024494750483299</v>
      </c>
      <c r="IT89">
        <v>0.28705816009470703</v>
      </c>
      <c r="IU89">
        <v>0.30319170983100302</v>
      </c>
      <c r="IV89">
        <v>1.48637019256394E-2</v>
      </c>
      <c r="IW89">
        <v>1.1042025703934301E-3</v>
      </c>
      <c r="IX89">
        <v>7.4959121550108795E-2</v>
      </c>
      <c r="IY89">
        <v>2.6961113629774499E-3</v>
      </c>
      <c r="IZ89">
        <v>2.6961113629774301E-4</v>
      </c>
      <c r="JA89">
        <v>7.4989967959508103E-2</v>
      </c>
      <c r="JB89">
        <v>2.6972208390914801E-3</v>
      </c>
      <c r="JC89">
        <v>2.6972208390914598E-4</v>
      </c>
      <c r="JD89">
        <v>1.86001821810207E-4</v>
      </c>
      <c r="JE89">
        <v>3.2965451213570001E-3</v>
      </c>
      <c r="JF89" s="159">
        <v>5.9292306307801E-20</v>
      </c>
      <c r="JG89">
        <v>0</v>
      </c>
      <c r="JH89">
        <v>4.1038583053674502E-3</v>
      </c>
      <c r="JI89">
        <v>5.4677469746647095E-4</v>
      </c>
      <c r="JJ89">
        <v>-0.51557659795849198</v>
      </c>
      <c r="JK89">
        <v>1.86001821810207E-4</v>
      </c>
      <c r="JL89" s="159">
        <v>6.5753399999999896E-6</v>
      </c>
      <c r="JM89">
        <v>-0.51557659795849198</v>
      </c>
      <c r="JN89">
        <v>0</v>
      </c>
      <c r="JO89">
        <v>1.2627077127411199</v>
      </c>
      <c r="JP89">
        <v>-1.73451910165855E-2</v>
      </c>
      <c r="JQ89">
        <v>1.2033786165403901E-3</v>
      </c>
      <c r="JR89">
        <v>1.6282784968204501E-2</v>
      </c>
      <c r="JS89">
        <v>1604.7619017305799</v>
      </c>
      <c r="JT89">
        <v>4.3150178989135E-2</v>
      </c>
      <c r="JU89">
        <v>0</v>
      </c>
      <c r="JV89">
        <v>365</v>
      </c>
      <c r="JW89">
        <v>0</v>
      </c>
      <c r="JX89">
        <v>-0.40268092994350901</v>
      </c>
      <c r="JY89">
        <v>0</v>
      </c>
      <c r="JZ89">
        <v>1.33211373304153</v>
      </c>
      <c r="KA89">
        <v>1.4087674796471601</v>
      </c>
      <c r="KB89">
        <v>1.4439459735430999</v>
      </c>
      <c r="KC89">
        <v>0</v>
      </c>
      <c r="KD89">
        <v>0</v>
      </c>
      <c r="KE89">
        <v>0</v>
      </c>
      <c r="KF89">
        <v>3.61131006643491E-3</v>
      </c>
      <c r="KG89">
        <v>2.2896939501608E-2</v>
      </c>
      <c r="KH89">
        <v>3.7400269818538598E-2</v>
      </c>
      <c r="KI89">
        <v>0</v>
      </c>
      <c r="KJ89">
        <v>0</v>
      </c>
      <c r="KK89">
        <v>0</v>
      </c>
      <c r="KL89">
        <v>0</v>
      </c>
      <c r="KM89">
        <v>0</v>
      </c>
      <c r="KN89">
        <v>0</v>
      </c>
      <c r="KO89">
        <v>0</v>
      </c>
      <c r="KP89">
        <v>0</v>
      </c>
      <c r="KQ89">
        <v>0</v>
      </c>
      <c r="KR89">
        <v>0</v>
      </c>
      <c r="KS89">
        <v>0</v>
      </c>
      <c r="KT89">
        <v>0</v>
      </c>
      <c r="KU89">
        <v>0.34999999999999898</v>
      </c>
      <c r="KV89">
        <v>-0.112689895184895</v>
      </c>
      <c r="KW89">
        <v>1.7900130477121201E-3</v>
      </c>
      <c r="KX89">
        <v>34770.087082018901</v>
      </c>
      <c r="KY89">
        <v>0</v>
      </c>
      <c r="KZ89">
        <v>0.21059447556925701</v>
      </c>
      <c r="LA89">
        <v>1.73602675993533E-5</v>
      </c>
      <c r="LB89">
        <v>0</v>
      </c>
      <c r="LC89">
        <v>-12.1278073921802</v>
      </c>
      <c r="LD89">
        <v>1.5722758010728501E-2</v>
      </c>
      <c r="LE89">
        <v>3.41769623653635E-3</v>
      </c>
      <c r="LF89">
        <v>1.5722758010728501E-2</v>
      </c>
      <c r="LG89">
        <v>0.95552888575038297</v>
      </c>
      <c r="LH89">
        <v>1.2437828247163401</v>
      </c>
      <c r="LI89">
        <v>0</v>
      </c>
      <c r="LJ89">
        <v>0</v>
      </c>
      <c r="LK89">
        <v>0.24458444601484999</v>
      </c>
      <c r="LL89">
        <v>0</v>
      </c>
      <c r="LM89">
        <v>0</v>
      </c>
      <c r="LN89">
        <v>0</v>
      </c>
      <c r="LO89">
        <v>0</v>
      </c>
      <c r="LP89">
        <v>0</v>
      </c>
      <c r="LQ89">
        <v>0</v>
      </c>
      <c r="LR89">
        <v>0</v>
      </c>
      <c r="LS89">
        <v>0</v>
      </c>
      <c r="LT89">
        <v>-999</v>
      </c>
      <c r="LU89">
        <v>0.425704661994671</v>
      </c>
      <c r="LV89">
        <v>88</v>
      </c>
      <c r="LW89">
        <v>344.51999999999902</v>
      </c>
      <c r="LX89">
        <v>3.2189999999999901</v>
      </c>
      <c r="LY89">
        <v>0</v>
      </c>
      <c r="LZ89">
        <v>-999</v>
      </c>
      <c r="MA89">
        <v>0</v>
      </c>
      <c r="MB89">
        <v>0</v>
      </c>
      <c r="MC89">
        <v>744.51999999999896</v>
      </c>
      <c r="MD89">
        <v>-23.6999999999999</v>
      </c>
      <c r="ME89">
        <v>-33.6</v>
      </c>
      <c r="MF89">
        <v>0</v>
      </c>
      <c r="MG89">
        <v>8.0706896550000007</v>
      </c>
      <c r="MH89">
        <v>0</v>
      </c>
      <c r="MI89">
        <v>0</v>
      </c>
      <c r="MJ89">
        <v>0</v>
      </c>
      <c r="MK89">
        <v>0</v>
      </c>
      <c r="ML89">
        <v>0</v>
      </c>
      <c r="MM89">
        <v>0</v>
      </c>
      <c r="MN89">
        <v>0</v>
      </c>
      <c r="MO89">
        <v>0</v>
      </c>
      <c r="MP89">
        <v>0</v>
      </c>
      <c r="MQ89">
        <v>0</v>
      </c>
      <c r="MR89">
        <v>0</v>
      </c>
      <c r="MS89">
        <v>0</v>
      </c>
      <c r="MT89">
        <v>0</v>
      </c>
      <c r="MU89">
        <v>0</v>
      </c>
      <c r="MV89">
        <v>0</v>
      </c>
    </row>
    <row r="90" spans="1:360" x14ac:dyDescent="0.25">
      <c r="A90">
        <v>32485</v>
      </c>
      <c r="B90">
        <v>0</v>
      </c>
      <c r="C90">
        <v>-33.6</v>
      </c>
      <c r="D90">
        <v>-23.6999999999999</v>
      </c>
      <c r="E90">
        <v>400</v>
      </c>
      <c r="F90">
        <v>0</v>
      </c>
      <c r="G90">
        <v>0</v>
      </c>
      <c r="H90">
        <v>0</v>
      </c>
      <c r="I90">
        <v>0</v>
      </c>
      <c r="J90">
        <v>0</v>
      </c>
      <c r="K90">
        <v>0</v>
      </c>
      <c r="L90" s="159">
        <v>6.5753399999999896E-6</v>
      </c>
      <c r="M90">
        <v>0</v>
      </c>
      <c r="N90">
        <v>0</v>
      </c>
      <c r="O90">
        <v>0</v>
      </c>
      <c r="P90">
        <v>0</v>
      </c>
      <c r="Q90">
        <v>0</v>
      </c>
      <c r="R90">
        <v>0</v>
      </c>
      <c r="S90">
        <v>0</v>
      </c>
      <c r="T90">
        <v>0</v>
      </c>
      <c r="U90">
        <v>729.00476794246197</v>
      </c>
      <c r="V90">
        <v>14.385193350616801</v>
      </c>
      <c r="W90">
        <v>1.3920666402778099</v>
      </c>
      <c r="X90">
        <v>0.28133912536832201</v>
      </c>
      <c r="Y90">
        <v>0.26670554192629697</v>
      </c>
      <c r="Z90">
        <v>0.45195533270537902</v>
      </c>
      <c r="AA90">
        <v>0.11256345538052701</v>
      </c>
      <c r="AB90">
        <v>0.54348666573947702</v>
      </c>
      <c r="AC90">
        <v>0.34394987887999401</v>
      </c>
      <c r="AD90">
        <v>0.88447360962251997</v>
      </c>
      <c r="AE90">
        <v>3.7690990372966901E-2</v>
      </c>
      <c r="AF90">
        <v>7.7835400004512001E-2</v>
      </c>
      <c r="AG90">
        <v>0</v>
      </c>
      <c r="AH90">
        <v>3443.4543276720901</v>
      </c>
      <c r="AI90">
        <v>78.824128347119895</v>
      </c>
      <c r="AJ90">
        <v>8.1528825262568603</v>
      </c>
      <c r="AK90">
        <v>418.29688989831101</v>
      </c>
      <c r="AL90">
        <v>7.7672116669930098</v>
      </c>
      <c r="AM90">
        <v>0.87131736740274401</v>
      </c>
      <c r="AN90">
        <v>8687.7943651604492</v>
      </c>
      <c r="AO90">
        <v>312.48046432164398</v>
      </c>
      <c r="AP90">
        <v>31.248046432164202</v>
      </c>
      <c r="AQ90">
        <v>3.0667843142093101E-2</v>
      </c>
      <c r="AR90">
        <v>6.40917883443876E-3</v>
      </c>
      <c r="AS90">
        <v>1.8298323569358801E-2</v>
      </c>
      <c r="AT90">
        <v>9.48</v>
      </c>
      <c r="AU90">
        <v>5.9645289297772299</v>
      </c>
      <c r="AV90">
        <v>0</v>
      </c>
      <c r="AW90">
        <v>85.6158398996985</v>
      </c>
      <c r="AX90">
        <v>66.748215120614105</v>
      </c>
      <c r="AY90">
        <v>361.42399964702099</v>
      </c>
      <c r="AZ90">
        <v>0.54833294000258304</v>
      </c>
      <c r="BA90">
        <v>0.85753557313680895</v>
      </c>
      <c r="BB90">
        <v>1.42667672317281E-2</v>
      </c>
      <c r="BC90">
        <v>1.19586978265442E-3</v>
      </c>
      <c r="BD90">
        <v>0.60312459124725704</v>
      </c>
      <c r="BE90">
        <v>9.3642601037463406E-3</v>
      </c>
      <c r="BF90">
        <v>7.6117076320573302E-4</v>
      </c>
      <c r="BG90">
        <v>766.29999847710098</v>
      </c>
      <c r="BH90">
        <v>-1626.59999865293</v>
      </c>
      <c r="BI90">
        <v>436.27119603088198</v>
      </c>
      <c r="BJ90">
        <v>213.72064422716599</v>
      </c>
      <c r="BK90">
        <v>3.5881732964081299</v>
      </c>
      <c r="BL90">
        <v>4.8861899756394704</v>
      </c>
      <c r="BM90">
        <v>195.410694784686</v>
      </c>
      <c r="BN90">
        <v>22.611465739659302</v>
      </c>
      <c r="BO90">
        <v>218.022160524345</v>
      </c>
      <c r="BP90">
        <v>3.5395730839840902</v>
      </c>
      <c r="BQ90">
        <v>0.29840469714606999</v>
      </c>
      <c r="BR90">
        <v>210.13247093075799</v>
      </c>
      <c r="BS90">
        <v>2.2024881411267598</v>
      </c>
      <c r="BT90">
        <v>0.29753538370500798</v>
      </c>
      <c r="BU90">
        <v>3.54970728393176</v>
      </c>
      <c r="BV90">
        <v>1.7444256913329901</v>
      </c>
      <c r="BW90">
        <v>0.48468970729080202</v>
      </c>
      <c r="BX90">
        <v>1.3205918853079599</v>
      </c>
      <c r="BY90">
        <v>0</v>
      </c>
      <c r="BZ90">
        <v>3.1197085218937701</v>
      </c>
      <c r="CA90">
        <v>0.41986456209030998</v>
      </c>
      <c r="CB90">
        <v>0.29938854187949698</v>
      </c>
      <c r="CC90">
        <v>0.251304746663085</v>
      </c>
      <c r="CD90">
        <v>4.7099950482985597E-2</v>
      </c>
      <c r="CE90">
        <v>22.356181857400401</v>
      </c>
      <c r="CF90">
        <v>167.67677090729799</v>
      </c>
      <c r="CG90">
        <v>42.232540049108501</v>
      </c>
      <c r="CH90">
        <v>0.415124283124435</v>
      </c>
      <c r="CI90">
        <v>7.4024358871024596</v>
      </c>
      <c r="CJ90">
        <v>1.7557687645667199</v>
      </c>
      <c r="CK90">
        <v>9.83365655105057</v>
      </c>
      <c r="CL90">
        <v>1.5190096783309499</v>
      </c>
      <c r="CM90">
        <v>0.104407323474001</v>
      </c>
      <c r="CN90">
        <v>4.6568191137884199E-2</v>
      </c>
      <c r="CO90">
        <v>0.53232445469153999</v>
      </c>
      <c r="CP90">
        <v>0.677156214222012</v>
      </c>
      <c r="CQ90">
        <v>0.15190096783309401</v>
      </c>
      <c r="CR90">
        <v>42.455700023460501</v>
      </c>
      <c r="CS90">
        <v>1.52703624174538</v>
      </c>
      <c r="CT90">
        <v>0.15270362417453701</v>
      </c>
      <c r="CU90">
        <v>1.4699999999999901E-2</v>
      </c>
      <c r="CV90">
        <v>2.1747186446120599E-3</v>
      </c>
      <c r="CW90">
        <v>2.2263469317714901</v>
      </c>
      <c r="CX90">
        <v>2.0299999999999901E-2</v>
      </c>
      <c r="CY90">
        <v>6.1849006625921601E-3</v>
      </c>
      <c r="CZ90">
        <v>0</v>
      </c>
      <c r="DA90">
        <v>2.3999991000027898E-3</v>
      </c>
      <c r="DB90">
        <v>1.4912103912547599E-3</v>
      </c>
      <c r="DC90">
        <v>1.9999999999999901E-3</v>
      </c>
      <c r="DD90">
        <v>3.1912987199903902E-3</v>
      </c>
      <c r="DE90">
        <v>8.9094371341003E-4</v>
      </c>
      <c r="DF90">
        <v>2.39999909999995E-3</v>
      </c>
      <c r="DG90">
        <v>0</v>
      </c>
      <c r="DH90">
        <v>0</v>
      </c>
      <c r="DI90">
        <v>0.23180769399999901</v>
      </c>
      <c r="DJ90">
        <v>1.8846155199999898E-2</v>
      </c>
      <c r="DK90">
        <v>2.56251531356141</v>
      </c>
      <c r="DL90">
        <v>0.16726601263455701</v>
      </c>
      <c r="DM90">
        <v>57.1054506485739</v>
      </c>
      <c r="DN90">
        <v>241.51330591366801</v>
      </c>
      <c r="DO90">
        <v>327.66000000000003</v>
      </c>
      <c r="DP90">
        <v>29.025146403165799</v>
      </c>
      <c r="DQ90">
        <v>157.94999999999899</v>
      </c>
      <c r="DR90">
        <v>169.71</v>
      </c>
      <c r="DS90">
        <v>156.81184194862999</v>
      </c>
      <c r="DT90">
        <v>0</v>
      </c>
      <c r="DU90">
        <v>0</v>
      </c>
      <c r="DV90">
        <v>0</v>
      </c>
      <c r="DW90">
        <v>0</v>
      </c>
      <c r="DX90">
        <v>0</v>
      </c>
      <c r="DY90">
        <v>0</v>
      </c>
      <c r="DZ90">
        <v>0</v>
      </c>
      <c r="EA90">
        <v>0</v>
      </c>
      <c r="EB90">
        <v>0</v>
      </c>
      <c r="EC90">
        <v>0</v>
      </c>
      <c r="ED90">
        <v>0</v>
      </c>
      <c r="EE90">
        <v>0</v>
      </c>
      <c r="EF90">
        <v>1.24545228435806</v>
      </c>
      <c r="EG90">
        <v>0</v>
      </c>
      <c r="EH90">
        <v>0</v>
      </c>
      <c r="EI90">
        <v>0</v>
      </c>
      <c r="EJ90">
        <v>0</v>
      </c>
      <c r="EK90">
        <v>0</v>
      </c>
      <c r="EL90">
        <v>0</v>
      </c>
      <c r="EM90">
        <v>0</v>
      </c>
      <c r="EN90">
        <v>0</v>
      </c>
      <c r="EO90">
        <v>0</v>
      </c>
      <c r="EP90">
        <v>0</v>
      </c>
      <c r="EQ90">
        <v>0</v>
      </c>
      <c r="ER90">
        <v>0</v>
      </c>
      <c r="ES90">
        <v>0</v>
      </c>
      <c r="ET90">
        <v>0</v>
      </c>
      <c r="EU90">
        <v>0</v>
      </c>
      <c r="EV90">
        <v>846.65101378318298</v>
      </c>
      <c r="EW90">
        <v>-28.649999999999899</v>
      </c>
      <c r="EX90">
        <v>1534.74687987886</v>
      </c>
      <c r="EY90">
        <v>853.500653806434</v>
      </c>
      <c r="EZ90">
        <v>86.380427122983505</v>
      </c>
      <c r="FA90">
        <v>695.96784696361203</v>
      </c>
      <c r="FB90">
        <v>752.39862060546795</v>
      </c>
      <c r="FC90">
        <v>0.37255878218142802</v>
      </c>
      <c r="FD90">
        <v>0.67943899591308998</v>
      </c>
      <c r="FE90">
        <v>0</v>
      </c>
      <c r="FF90">
        <v>1</v>
      </c>
      <c r="FG90" s="159">
        <v>5.9052149621754797E-13</v>
      </c>
      <c r="FH90">
        <v>0</v>
      </c>
      <c r="FI90">
        <v>5.4512674794765098E-5</v>
      </c>
      <c r="FJ90">
        <v>-4.9037390839389702E-3</v>
      </c>
      <c r="FK90" s="159">
        <v>6.57534000000779E-6</v>
      </c>
      <c r="FL90" s="159">
        <v>2.1990955158108E-6</v>
      </c>
      <c r="FM90" s="159">
        <v>4.08530484422249E-6</v>
      </c>
      <c r="FN90">
        <v>0</v>
      </c>
      <c r="FO90">
        <v>0</v>
      </c>
      <c r="FP90">
        <v>0</v>
      </c>
      <c r="FQ90">
        <v>0</v>
      </c>
      <c r="FR90">
        <v>0</v>
      </c>
      <c r="FS90">
        <v>0</v>
      </c>
      <c r="FT90">
        <v>0</v>
      </c>
      <c r="FU90">
        <v>0</v>
      </c>
      <c r="FV90">
        <v>-999</v>
      </c>
      <c r="FW90">
        <v>0.49445957282493902</v>
      </c>
      <c r="FX90">
        <v>3.2518820105361598E-3</v>
      </c>
      <c r="FY90">
        <v>1.24476713783502</v>
      </c>
      <c r="FZ90">
        <v>8.6689162566338195E-4</v>
      </c>
      <c r="GA90">
        <v>41.219356806473101</v>
      </c>
      <c r="GB90">
        <v>1.0794038164173901E-2</v>
      </c>
      <c r="GC90">
        <v>2.9173076119388898E-3</v>
      </c>
      <c r="GD90">
        <v>0</v>
      </c>
      <c r="GE90">
        <v>7.0360812481384399E-3</v>
      </c>
      <c r="GF90">
        <v>0.35376149932810602</v>
      </c>
      <c r="GG90">
        <v>5.6211669272471796E-4</v>
      </c>
      <c r="GH90">
        <v>9.3730070666455494E-3</v>
      </c>
      <c r="GI90">
        <v>1.8413255990098201E-2</v>
      </c>
      <c r="GJ90">
        <v>9.0703337372979897E-4</v>
      </c>
      <c r="GK90">
        <v>1.76156993471894E-3</v>
      </c>
      <c r="GL90">
        <v>0.41198953373733199</v>
      </c>
      <c r="GM90">
        <v>6.8913224480551902E-3</v>
      </c>
      <c r="GN90">
        <v>5.7099176265542804E-4</v>
      </c>
      <c r="GO90">
        <v>0</v>
      </c>
      <c r="GP90">
        <v>0</v>
      </c>
      <c r="GQ90">
        <v>0</v>
      </c>
      <c r="GR90">
        <v>6.2352249993925399E-2</v>
      </c>
      <c r="GS90">
        <v>1.1577975722789E-3</v>
      </c>
      <c r="GT90">
        <v>1.2988047396085699E-4</v>
      </c>
      <c r="GU90">
        <v>3.94806428156343E-2</v>
      </c>
      <c r="GV90">
        <v>7.3310253292231404E-4</v>
      </c>
      <c r="GW90">
        <v>8.2238645785411604E-5</v>
      </c>
      <c r="GX90">
        <v>0.12692459512537899</v>
      </c>
      <c r="GY90">
        <v>0.137496990375089</v>
      </c>
      <c r="GZ90">
        <v>58.930887169398801</v>
      </c>
      <c r="HA90">
        <v>676.78780660696998</v>
      </c>
      <c r="HB90">
        <v>0</v>
      </c>
      <c r="HC90">
        <v>0.99981307934337205</v>
      </c>
      <c r="HD90">
        <v>0.43442947636157703</v>
      </c>
      <c r="HE90">
        <v>1.12816916759377E-2</v>
      </c>
      <c r="HF90">
        <v>9.7673593934428211E-4</v>
      </c>
      <c r="HG90">
        <v>1.3543621914487601E-2</v>
      </c>
      <c r="HH90" s="159">
        <v>4.7618783605176802E-7</v>
      </c>
      <c r="HI90" s="159">
        <v>3.3333254042049599E-7</v>
      </c>
      <c r="HJ90">
        <v>0</v>
      </c>
      <c r="HK90">
        <v>0</v>
      </c>
      <c r="HL90">
        <v>0</v>
      </c>
      <c r="HM90">
        <v>0</v>
      </c>
      <c r="HN90">
        <v>0</v>
      </c>
      <c r="HO90">
        <v>1.1979020055132201E-2</v>
      </c>
      <c r="HP90">
        <v>0.57192646673666603</v>
      </c>
      <c r="HQ90">
        <v>1.12816916759377E-2</v>
      </c>
      <c r="HR90">
        <v>9.7673593934428211E-4</v>
      </c>
      <c r="HS90">
        <v>0.71299634818123003</v>
      </c>
      <c r="HT90">
        <v>-999</v>
      </c>
      <c r="HU90">
        <v>1</v>
      </c>
      <c r="HV90">
        <v>0.81542743272631502</v>
      </c>
      <c r="HW90">
        <v>0.18457256727368401</v>
      </c>
      <c r="HX90">
        <v>12549.5455827308</v>
      </c>
      <c r="HY90">
        <v>399.07180433575701</v>
      </c>
      <c r="HZ90">
        <v>40.272246325823801</v>
      </c>
      <c r="IA90">
        <v>-0.137496990375089</v>
      </c>
      <c r="IB90">
        <v>0</v>
      </c>
      <c r="IC90">
        <v>0</v>
      </c>
      <c r="ID90">
        <v>0</v>
      </c>
      <c r="IE90">
        <v>0</v>
      </c>
      <c r="IF90">
        <v>0</v>
      </c>
      <c r="IG90">
        <v>0</v>
      </c>
      <c r="IH90">
        <v>0</v>
      </c>
      <c r="II90">
        <v>46.337800049999601</v>
      </c>
      <c r="IJ90">
        <v>463.37800049999902</v>
      </c>
      <c r="IK90">
        <v>1.10390246881475E-2</v>
      </c>
      <c r="IL90">
        <v>2.4318502861307698E-3</v>
      </c>
      <c r="IM90">
        <v>1.3470874974278201E-2</v>
      </c>
      <c r="IN90">
        <v>8.2537552088130005E-4</v>
      </c>
      <c r="IO90">
        <v>0.42688143012789098</v>
      </c>
      <c r="IP90">
        <v>1.9322021430927299E-2</v>
      </c>
      <c r="IQ90">
        <v>1.5471257032521101E-3</v>
      </c>
      <c r="IR90">
        <v>0.28954277332342898</v>
      </c>
      <c r="IS90">
        <v>0.23008100815424201</v>
      </c>
      <c r="IT90">
        <v>0.28734770297337398</v>
      </c>
      <c r="IU90">
        <v>0.30328099696838901</v>
      </c>
      <c r="IV90">
        <v>1.48763912605216E-2</v>
      </c>
      <c r="IW90">
        <v>1.1025626862115499E-3</v>
      </c>
      <c r="IX90">
        <v>7.4960683954588894E-2</v>
      </c>
      <c r="IY90">
        <v>2.6961675591599199E-3</v>
      </c>
      <c r="IZ90">
        <v>2.6961675591598999E-4</v>
      </c>
      <c r="JA90">
        <v>7.4988213868296197E-2</v>
      </c>
      <c r="JB90">
        <v>2.6971577483674899E-3</v>
      </c>
      <c r="JC90">
        <v>2.6971577483674703E-4</v>
      </c>
      <c r="JD90">
        <v>1.8628964285155001E-4</v>
      </c>
      <c r="JE90">
        <v>3.2975661282674401E-3</v>
      </c>
      <c r="JF90" s="159">
        <v>-7.0981360979910301E-19</v>
      </c>
      <c r="JG90">
        <v>0</v>
      </c>
      <c r="JH90">
        <v>4.1026740346108799E-3</v>
      </c>
      <c r="JI90">
        <v>5.4690294016699898E-4</v>
      </c>
      <c r="JJ90">
        <v>-0.51576620121177497</v>
      </c>
      <c r="JK90">
        <v>1.8628964285155001E-4</v>
      </c>
      <c r="JL90" s="159">
        <v>6.5753399999999896E-6</v>
      </c>
      <c r="JM90">
        <v>-0.51576620121177497</v>
      </c>
      <c r="JN90">
        <v>0</v>
      </c>
      <c r="JO90">
        <v>1.25746567684654</v>
      </c>
      <c r="JP90">
        <v>-1.7372153267759999E-2</v>
      </c>
      <c r="JQ90">
        <v>1.2087003800095499E-3</v>
      </c>
      <c r="JR90">
        <v>1.6097034591446398E-2</v>
      </c>
      <c r="JS90">
        <v>1605.8992595980901</v>
      </c>
      <c r="JT90">
        <v>4.3093529949400702E-2</v>
      </c>
      <c r="JU90">
        <v>0</v>
      </c>
      <c r="JV90">
        <v>365</v>
      </c>
      <c r="JW90">
        <v>0</v>
      </c>
      <c r="JX90">
        <v>-0.40268092994350901</v>
      </c>
      <c r="JY90">
        <v>0</v>
      </c>
      <c r="JZ90">
        <v>1.3323808197123299</v>
      </c>
      <c r="KA90">
        <v>1.4088853902078899</v>
      </c>
      <c r="KB90">
        <v>1.4441960587826601</v>
      </c>
      <c r="KC90">
        <v>0</v>
      </c>
      <c r="KD90">
        <v>0</v>
      </c>
      <c r="KE90">
        <v>0</v>
      </c>
      <c r="KF90">
        <v>3.6121590223483001E-3</v>
      </c>
      <c r="KG90">
        <v>2.2906793365856201E-2</v>
      </c>
      <c r="KH90">
        <v>3.73734378267888E-2</v>
      </c>
      <c r="KI90">
        <v>0</v>
      </c>
      <c r="KJ90">
        <v>0</v>
      </c>
      <c r="KK90">
        <v>0</v>
      </c>
      <c r="KL90">
        <v>0</v>
      </c>
      <c r="KM90">
        <v>0</v>
      </c>
      <c r="KN90">
        <v>0</v>
      </c>
      <c r="KO90">
        <v>0</v>
      </c>
      <c r="KP90">
        <v>0</v>
      </c>
      <c r="KQ90">
        <v>0</v>
      </c>
      <c r="KR90">
        <v>0</v>
      </c>
      <c r="KS90">
        <v>0</v>
      </c>
      <c r="KT90">
        <v>0</v>
      </c>
      <c r="KU90">
        <v>0.34999999999999898</v>
      </c>
      <c r="KV90">
        <v>-0.11264066397856</v>
      </c>
      <c r="KW90">
        <v>1.7892848947759299E-3</v>
      </c>
      <c r="KX90">
        <v>34798.392348180598</v>
      </c>
      <c r="KY90">
        <v>0</v>
      </c>
      <c r="KZ90">
        <v>0.21060172362187801</v>
      </c>
      <c r="LA90">
        <v>1.73602675993533E-5</v>
      </c>
      <c r="LB90">
        <v>0</v>
      </c>
      <c r="LC90">
        <v>-12.127540117616499</v>
      </c>
      <c r="LD90">
        <v>1.5722894468050901E-2</v>
      </c>
      <c r="LE90">
        <v>3.4178249698593398E-3</v>
      </c>
      <c r="LF90">
        <v>1.5722894468050901E-2</v>
      </c>
      <c r="LG90">
        <v>0.95564161479953402</v>
      </c>
      <c r="LH90">
        <v>1.2439109259085599</v>
      </c>
      <c r="LI90">
        <v>0</v>
      </c>
      <c r="LJ90">
        <v>0</v>
      </c>
      <c r="LK90">
        <v>0.24461668542771001</v>
      </c>
      <c r="LL90">
        <v>0</v>
      </c>
      <c r="LM90">
        <v>0</v>
      </c>
      <c r="LN90">
        <v>0</v>
      </c>
      <c r="LO90">
        <v>0</v>
      </c>
      <c r="LP90">
        <v>0</v>
      </c>
      <c r="LQ90">
        <v>0</v>
      </c>
      <c r="LR90">
        <v>0</v>
      </c>
      <c r="LS90">
        <v>0</v>
      </c>
      <c r="LT90">
        <v>-999</v>
      </c>
      <c r="LU90">
        <v>0.42570563898527403</v>
      </c>
      <c r="LV90">
        <v>89</v>
      </c>
      <c r="LW90">
        <v>348.48</v>
      </c>
      <c r="LX90">
        <v>3.25599999999999</v>
      </c>
      <c r="LY90">
        <v>0</v>
      </c>
      <c r="LZ90">
        <v>-999</v>
      </c>
      <c r="MA90">
        <v>0</v>
      </c>
      <c r="MB90">
        <v>0</v>
      </c>
      <c r="MC90">
        <v>748.48</v>
      </c>
      <c r="MD90">
        <v>-23.6999999999999</v>
      </c>
      <c r="ME90">
        <v>-33.6</v>
      </c>
      <c r="MF90">
        <v>0</v>
      </c>
      <c r="MG90">
        <v>8.0706896550000007</v>
      </c>
      <c r="MH90">
        <v>0</v>
      </c>
      <c r="MI90">
        <v>0</v>
      </c>
      <c r="MJ90">
        <v>0</v>
      </c>
      <c r="MK90">
        <v>0</v>
      </c>
      <c r="ML90">
        <v>0</v>
      </c>
      <c r="MM90">
        <v>0</v>
      </c>
      <c r="MN90">
        <v>0</v>
      </c>
      <c r="MO90">
        <v>0</v>
      </c>
      <c r="MP90">
        <v>0</v>
      </c>
      <c r="MQ90">
        <v>0</v>
      </c>
      <c r="MR90">
        <v>0</v>
      </c>
      <c r="MS90">
        <v>0</v>
      </c>
      <c r="MT90">
        <v>0</v>
      </c>
      <c r="MU90">
        <v>0</v>
      </c>
      <c r="MV90">
        <v>0</v>
      </c>
    </row>
    <row r="91" spans="1:360" x14ac:dyDescent="0.25">
      <c r="A91">
        <v>32850</v>
      </c>
      <c r="B91">
        <v>0</v>
      </c>
      <c r="C91">
        <v>-33.6</v>
      </c>
      <c r="D91">
        <v>-23.6999999999999</v>
      </c>
      <c r="E91">
        <v>400</v>
      </c>
      <c r="F91">
        <v>0</v>
      </c>
      <c r="G91">
        <v>0</v>
      </c>
      <c r="H91">
        <v>0</v>
      </c>
      <c r="I91">
        <v>0</v>
      </c>
      <c r="J91">
        <v>0</v>
      </c>
      <c r="K91">
        <v>0</v>
      </c>
      <c r="L91" s="159">
        <v>6.5753399999999896E-6</v>
      </c>
      <c r="M91">
        <v>0</v>
      </c>
      <c r="N91">
        <v>0</v>
      </c>
      <c r="O91">
        <v>0</v>
      </c>
      <c r="P91">
        <v>0</v>
      </c>
      <c r="Q91">
        <v>0</v>
      </c>
      <c r="R91">
        <v>0</v>
      </c>
      <c r="S91">
        <v>0</v>
      </c>
      <c r="T91">
        <v>0</v>
      </c>
      <c r="U91">
        <v>729.58166397077196</v>
      </c>
      <c r="V91">
        <v>14.395236401458799</v>
      </c>
      <c r="W91">
        <v>1.39304278134909</v>
      </c>
      <c r="X91">
        <v>0.28054990485277698</v>
      </c>
      <c r="Y91">
        <v>0.26655810696772603</v>
      </c>
      <c r="Z91">
        <v>0.452891988179496</v>
      </c>
      <c r="AA91">
        <v>0.112568171845752</v>
      </c>
      <c r="AB91">
        <v>0.54420551454722499</v>
      </c>
      <c r="AC91">
        <v>0.34322631360702199</v>
      </c>
      <c r="AD91">
        <v>0.88446911782063597</v>
      </c>
      <c r="AE91">
        <v>3.7593035683747E-2</v>
      </c>
      <c r="AF91">
        <v>7.7937846495616303E-2</v>
      </c>
      <c r="AG91">
        <v>0</v>
      </c>
      <c r="AH91">
        <v>3444.0944539746502</v>
      </c>
      <c r="AI91">
        <v>78.799915155926698</v>
      </c>
      <c r="AJ91">
        <v>8.1540328489160903</v>
      </c>
      <c r="AK91">
        <v>418.55019357229003</v>
      </c>
      <c r="AL91">
        <v>7.7719151761495997</v>
      </c>
      <c r="AM91">
        <v>0.87184500195058101</v>
      </c>
      <c r="AN91">
        <v>8687.5735083062791</v>
      </c>
      <c r="AO91">
        <v>312.47252059629398</v>
      </c>
      <c r="AP91">
        <v>31.247252059629101</v>
      </c>
      <c r="AQ91">
        <v>3.0677233780500801E-2</v>
      </c>
      <c r="AR91">
        <v>6.4126955491771798E-3</v>
      </c>
      <c r="AS91">
        <v>1.8254979539058601E-2</v>
      </c>
      <c r="AT91">
        <v>9.48</v>
      </c>
      <c r="AU91">
        <v>5.9639264640209504</v>
      </c>
      <c r="AV91">
        <v>0</v>
      </c>
      <c r="AW91">
        <v>85.626985076171195</v>
      </c>
      <c r="AX91">
        <v>66.752952486693005</v>
      </c>
      <c r="AY91">
        <v>361.42289055631301</v>
      </c>
      <c r="AZ91">
        <v>0.54833294000258304</v>
      </c>
      <c r="BA91">
        <v>0.85794280216547403</v>
      </c>
      <c r="BB91">
        <v>1.4271845103169801E-2</v>
      </c>
      <c r="BC91">
        <v>1.1963505368138101E-3</v>
      </c>
      <c r="BD91">
        <v>0.60326064867709295</v>
      </c>
      <c r="BE91">
        <v>9.3666106835737992E-3</v>
      </c>
      <c r="BF91">
        <v>7.6131493402143498E-4</v>
      </c>
      <c r="BG91">
        <v>766.29999847710098</v>
      </c>
      <c r="BH91">
        <v>-1626.59999865293</v>
      </c>
      <c r="BI91">
        <v>436.45744915642001</v>
      </c>
      <c r="BJ91">
        <v>213.77738103882001</v>
      </c>
      <c r="BK91">
        <v>3.5829934669454202</v>
      </c>
      <c r="BL91">
        <v>4.8919562585735799</v>
      </c>
      <c r="BM91">
        <v>195.469030663718</v>
      </c>
      <c r="BN91">
        <v>22.623410605366999</v>
      </c>
      <c r="BO91">
        <v>218.09244126908499</v>
      </c>
      <c r="BP91">
        <v>3.5409019841953899</v>
      </c>
      <c r="BQ91">
        <v>0.29852808798925201</v>
      </c>
      <c r="BR91">
        <v>210.19438757187501</v>
      </c>
      <c r="BS91">
        <v>2.2021729196117499</v>
      </c>
      <c r="BT91">
        <v>0.29764450331735098</v>
      </c>
      <c r="BU91">
        <v>3.5509450350374001</v>
      </c>
      <c r="BV91">
        <v>1.7452068018015301</v>
      </c>
      <c r="BW91">
        <v>0.48358789308084299</v>
      </c>
      <c r="BX91">
        <v>1.3221503401550201</v>
      </c>
      <c r="BY91">
        <v>0</v>
      </c>
      <c r="BZ91">
        <v>3.1208156219853</v>
      </c>
      <c r="CA91">
        <v>0.42008636221009599</v>
      </c>
      <c r="CB91">
        <v>0.29950422906052998</v>
      </c>
      <c r="CC91">
        <v>0.251403256209767</v>
      </c>
      <c r="CD91">
        <v>4.7124831779485399E-2</v>
      </c>
      <c r="CE91">
        <v>22.3701069313895</v>
      </c>
      <c r="CF91">
        <v>167.73915645128099</v>
      </c>
      <c r="CG91">
        <v>42.234374266405801</v>
      </c>
      <c r="CH91">
        <v>0.41538285305350697</v>
      </c>
      <c r="CI91">
        <v>7.4067057425851104</v>
      </c>
      <c r="CJ91">
        <v>1.7566176297120799</v>
      </c>
      <c r="CK91">
        <v>9.8384769155472291</v>
      </c>
      <c r="CL91">
        <v>1.5190756510104</v>
      </c>
      <c r="CM91">
        <v>0.10457158310695799</v>
      </c>
      <c r="CN91">
        <v>4.6597197231647E-2</v>
      </c>
      <c r="CO91">
        <v>0.53104268104597097</v>
      </c>
      <c r="CP91">
        <v>0.67598524672715099</v>
      </c>
      <c r="CQ91">
        <v>0.151907565101039</v>
      </c>
      <c r="CR91">
        <v>42.455231120594597</v>
      </c>
      <c r="CS91">
        <v>1.5270193763617199</v>
      </c>
      <c r="CT91">
        <v>0.15270193763616999</v>
      </c>
      <c r="CU91">
        <v>1.4700000000001099E-2</v>
      </c>
      <c r="CV91">
        <v>2.1765799980511201E-3</v>
      </c>
      <c r="CW91">
        <v>2.2260977768858501</v>
      </c>
      <c r="CX91">
        <v>2.0300000000001501E-2</v>
      </c>
      <c r="CY91">
        <v>6.1887373781783503E-3</v>
      </c>
      <c r="CZ91">
        <v>0</v>
      </c>
      <c r="DA91">
        <v>2.3999991000029099E-3</v>
      </c>
      <c r="DB91">
        <v>1.49106005816779E-3</v>
      </c>
      <c r="DC91">
        <v>2.0000000000001401E-3</v>
      </c>
      <c r="DD91">
        <v>3.1860831433935199E-3</v>
      </c>
      <c r="DE91">
        <v>8.88594301896828E-4</v>
      </c>
      <c r="DF91">
        <v>2.3999991000000602E-3</v>
      </c>
      <c r="DG91">
        <v>0</v>
      </c>
      <c r="DH91">
        <v>0</v>
      </c>
      <c r="DI91">
        <v>0.23180769400001699</v>
      </c>
      <c r="DJ91">
        <v>1.88461552000013E-2</v>
      </c>
      <c r="DK91">
        <v>2.5653320102902999</v>
      </c>
      <c r="DL91">
        <v>0.167449870123387</v>
      </c>
      <c r="DM91">
        <v>56.8330649166979</v>
      </c>
      <c r="DN91">
        <v>241.80486986491201</v>
      </c>
      <c r="DO91">
        <v>327.66000000000003</v>
      </c>
      <c r="DP91">
        <v>29.006188308687701</v>
      </c>
      <c r="DQ91">
        <v>157.94999999999899</v>
      </c>
      <c r="DR91">
        <v>169.71</v>
      </c>
      <c r="DS91">
        <v>156.82466954049701</v>
      </c>
      <c r="DT91">
        <v>0</v>
      </c>
      <c r="DU91">
        <v>0</v>
      </c>
      <c r="DV91">
        <v>0</v>
      </c>
      <c r="DW91">
        <v>0</v>
      </c>
      <c r="DX91">
        <v>0</v>
      </c>
      <c r="DY91">
        <v>0</v>
      </c>
      <c r="DZ91">
        <v>0</v>
      </c>
      <c r="EA91">
        <v>0</v>
      </c>
      <c r="EB91">
        <v>0</v>
      </c>
      <c r="EC91">
        <v>0</v>
      </c>
      <c r="ED91">
        <v>0</v>
      </c>
      <c r="EE91">
        <v>0</v>
      </c>
      <c r="EF91">
        <v>1.2449577322421499</v>
      </c>
      <c r="EG91">
        <v>0</v>
      </c>
      <c r="EH91">
        <v>0</v>
      </c>
      <c r="EI91">
        <v>0</v>
      </c>
      <c r="EJ91">
        <v>0</v>
      </c>
      <c r="EK91">
        <v>0</v>
      </c>
      <c r="EL91">
        <v>0</v>
      </c>
      <c r="EM91">
        <v>0</v>
      </c>
      <c r="EN91">
        <v>0</v>
      </c>
      <c r="EO91">
        <v>0</v>
      </c>
      <c r="EP91">
        <v>0</v>
      </c>
      <c r="EQ91">
        <v>0</v>
      </c>
      <c r="ER91">
        <v>0</v>
      </c>
      <c r="ES91">
        <v>0</v>
      </c>
      <c r="ET91">
        <v>0</v>
      </c>
      <c r="EU91">
        <v>0</v>
      </c>
      <c r="EV91">
        <v>847.26389023785896</v>
      </c>
      <c r="EW91">
        <v>-28.649999999999899</v>
      </c>
      <c r="EX91">
        <v>1535.9613978332</v>
      </c>
      <c r="EY91">
        <v>853.85483253454402</v>
      </c>
      <c r="EZ91">
        <v>86.268897323899097</v>
      </c>
      <c r="FA91">
        <v>696.525423647504</v>
      </c>
      <c r="FB91">
        <v>753.16705322265602</v>
      </c>
      <c r="FC91">
        <v>0.372077754157977</v>
      </c>
      <c r="FD91">
        <v>0.678561740529803</v>
      </c>
      <c r="FE91">
        <v>0</v>
      </c>
      <c r="FF91">
        <v>1</v>
      </c>
      <c r="FG91" s="159">
        <v>5.9052149621754797E-13</v>
      </c>
      <c r="FH91">
        <v>0</v>
      </c>
      <c r="FI91">
        <v>5.4512674794765098E-5</v>
      </c>
      <c r="FJ91">
        <v>-4.89830077281186E-3</v>
      </c>
      <c r="FK91" s="159">
        <v>6.57534000000779E-6</v>
      </c>
      <c r="FL91" s="159">
        <v>2.1938601107871501E-6</v>
      </c>
      <c r="FM91" s="159">
        <v>4.0848921953273996E-6</v>
      </c>
      <c r="FN91">
        <v>0</v>
      </c>
      <c r="FO91">
        <v>0</v>
      </c>
      <c r="FP91">
        <v>0</v>
      </c>
      <c r="FQ91">
        <v>0</v>
      </c>
      <c r="FR91">
        <v>0</v>
      </c>
      <c r="FS91">
        <v>0</v>
      </c>
      <c r="FT91">
        <v>0</v>
      </c>
      <c r="FU91">
        <v>0</v>
      </c>
      <c r="FV91">
        <v>-999</v>
      </c>
      <c r="FW91">
        <v>0.49460982704645401</v>
      </c>
      <c r="FX91">
        <v>3.2525363708850899E-3</v>
      </c>
      <c r="FY91">
        <v>1.2454144532898399</v>
      </c>
      <c r="FZ91">
        <v>8.6499262731234603E-4</v>
      </c>
      <c r="GA91">
        <v>41.193673836633501</v>
      </c>
      <c r="GB91">
        <v>1.0800527042112901E-2</v>
      </c>
      <c r="GC91">
        <v>2.9190613627332199E-3</v>
      </c>
      <c r="GD91">
        <v>0</v>
      </c>
      <c r="GE91">
        <v>7.03659036093066E-3</v>
      </c>
      <c r="GF91">
        <v>0.35291929637810299</v>
      </c>
      <c r="GG91">
        <v>5.6219455460618099E-4</v>
      </c>
      <c r="GH91">
        <v>9.3721342357733495E-3</v>
      </c>
      <c r="GI91">
        <v>1.8411541191473799E-2</v>
      </c>
      <c r="GJ91">
        <v>9.0695168727174399E-4</v>
      </c>
      <c r="GK91">
        <v>1.7614529854358099E-3</v>
      </c>
      <c r="GL91">
        <v>0.41228886852005803</v>
      </c>
      <c r="GM91">
        <v>6.8963685185745296E-3</v>
      </c>
      <c r="GN91">
        <v>5.7140845649256101E-4</v>
      </c>
      <c r="GO91">
        <v>0</v>
      </c>
      <c r="GP91">
        <v>0</v>
      </c>
      <c r="GQ91">
        <v>0</v>
      </c>
      <c r="GR91">
        <v>6.2384082372362003E-2</v>
      </c>
      <c r="GS91">
        <v>1.15838865681037E-3</v>
      </c>
      <c r="GT91">
        <v>1.29946781181511E-4</v>
      </c>
      <c r="GU91">
        <v>3.9504637244214401E-2</v>
      </c>
      <c r="GV91">
        <v>7.3354807724767201E-4</v>
      </c>
      <c r="GW91">
        <v>8.2288626463842304E-5</v>
      </c>
      <c r="GX91">
        <v>0.127024328151358</v>
      </c>
      <c r="GY91">
        <v>0.137597996756913</v>
      </c>
      <c r="GZ91">
        <v>58.930758625847403</v>
      </c>
      <c r="HA91">
        <v>676.793906133208</v>
      </c>
      <c r="HB91">
        <v>0</v>
      </c>
      <c r="HC91">
        <v>0.99981307991281498</v>
      </c>
      <c r="HD91">
        <v>0.434730206326713</v>
      </c>
      <c r="HE91">
        <v>1.1289592706024001E-2</v>
      </c>
      <c r="HF91">
        <v>9.7742061834871306E-4</v>
      </c>
      <c r="HG91">
        <v>1.35542314365563E-2</v>
      </c>
      <c r="HH91" s="159">
        <v>4.7618783863255502E-7</v>
      </c>
      <c r="HI91" s="159">
        <v>3.3333254029249602E-7</v>
      </c>
      <c r="HJ91">
        <v>0</v>
      </c>
      <c r="HK91">
        <v>0</v>
      </c>
      <c r="HL91">
        <v>0</v>
      </c>
      <c r="HM91">
        <v>0</v>
      </c>
      <c r="HN91">
        <v>0</v>
      </c>
      <c r="HO91">
        <v>1.19883430019945E-2</v>
      </c>
      <c r="HP91">
        <v>0.57232820308362597</v>
      </c>
      <c r="HQ91">
        <v>1.1289592706024001E-2</v>
      </c>
      <c r="HR91">
        <v>9.7742061834871306E-4</v>
      </c>
      <c r="HS91">
        <v>0.712836774466031</v>
      </c>
      <c r="HT91">
        <v>-999</v>
      </c>
      <c r="HU91">
        <v>1</v>
      </c>
      <c r="HV91">
        <v>0.81574220477264203</v>
      </c>
      <c r="HW91">
        <v>0.184257795227357</v>
      </c>
      <c r="HX91">
        <v>12550.218155853199</v>
      </c>
      <c r="HY91">
        <v>399.04435092837002</v>
      </c>
      <c r="HZ91">
        <v>40.273129910495797</v>
      </c>
      <c r="IA91">
        <v>-0.137597996756913</v>
      </c>
      <c r="IB91">
        <v>0</v>
      </c>
      <c r="IC91">
        <v>0</v>
      </c>
      <c r="ID91">
        <v>0</v>
      </c>
      <c r="IE91">
        <v>0</v>
      </c>
      <c r="IF91">
        <v>0</v>
      </c>
      <c r="IG91">
        <v>0</v>
      </c>
      <c r="IH91">
        <v>0</v>
      </c>
      <c r="II91">
        <v>46.337800049999601</v>
      </c>
      <c r="IJ91">
        <v>463.37800049999902</v>
      </c>
      <c r="IK91">
        <v>1.10498706703092E-2</v>
      </c>
      <c r="IL91">
        <v>2.43474210982276E-3</v>
      </c>
      <c r="IM91">
        <v>1.3484612780132001E-2</v>
      </c>
      <c r="IN91">
        <v>8.2363638926254005E-4</v>
      </c>
      <c r="IO91">
        <v>0.42696172132254701</v>
      </c>
      <c r="IP91">
        <v>1.93343193257711E-2</v>
      </c>
      <c r="IQ91">
        <v>1.5454899877093899E-3</v>
      </c>
      <c r="IR91">
        <v>0.28946892165677701</v>
      </c>
      <c r="IS91">
        <v>0.22991925058425799</v>
      </c>
      <c r="IT91">
        <v>0.28763254665444599</v>
      </c>
      <c r="IU91">
        <v>0.30336957226258798</v>
      </c>
      <c r="IV91">
        <v>1.4888987115833001E-2</v>
      </c>
      <c r="IW91">
        <v>1.10095676671559E-3</v>
      </c>
      <c r="IX91">
        <v>7.4962327637340301E-2</v>
      </c>
      <c r="IY91">
        <v>2.6962266787393802E-3</v>
      </c>
      <c r="IZ91">
        <v>2.69622667873937E-4</v>
      </c>
      <c r="JA91">
        <v>7.4986471838333804E-2</v>
      </c>
      <c r="JB91">
        <v>2.69709509145958E-3</v>
      </c>
      <c r="JC91">
        <v>2.69709509145956E-4</v>
      </c>
      <c r="JD91">
        <v>1.86577455195885E-4</v>
      </c>
      <c r="JE91">
        <v>3.29856837428864E-3</v>
      </c>
      <c r="JF91" s="159">
        <v>5.5904174518783798E-20</v>
      </c>
      <c r="JG91">
        <v>0</v>
      </c>
      <c r="JH91">
        <v>4.1014694271605803E-3</v>
      </c>
      <c r="JI91">
        <v>5.47029886599006E-4</v>
      </c>
      <c r="JJ91">
        <v>-0.51595404085783603</v>
      </c>
      <c r="JK91">
        <v>1.86577455195885E-4</v>
      </c>
      <c r="JL91" s="159">
        <v>6.5753399999999896E-6</v>
      </c>
      <c r="JM91">
        <v>-0.51595404085783603</v>
      </c>
      <c r="JN91">
        <v>0</v>
      </c>
      <c r="JO91">
        <v>1.24946915065494</v>
      </c>
      <c r="JP91">
        <v>-1.7397449192654499E-2</v>
      </c>
      <c r="JQ91">
        <v>1.21391595660669E-3</v>
      </c>
      <c r="JR91">
        <v>1.5876909702157601E-2</v>
      </c>
      <c r="JS91">
        <v>1607.0219093957401</v>
      </c>
      <c r="JT91">
        <v>4.30378898825804E-2</v>
      </c>
      <c r="JU91">
        <v>0</v>
      </c>
      <c r="JV91">
        <v>365</v>
      </c>
      <c r="JW91">
        <v>0</v>
      </c>
      <c r="JX91">
        <v>-0.40268092994350901</v>
      </c>
      <c r="JY91">
        <v>0</v>
      </c>
      <c r="JZ91">
        <v>1.3326497330300899</v>
      </c>
      <c r="KA91">
        <v>1.4090045158662201</v>
      </c>
      <c r="KB91">
        <v>1.4444429853891101</v>
      </c>
      <c r="KC91">
        <v>0</v>
      </c>
      <c r="KD91">
        <v>0</v>
      </c>
      <c r="KE91">
        <v>0</v>
      </c>
      <c r="KF91">
        <v>3.6129902731309102E-3</v>
      </c>
      <c r="KG91">
        <v>2.2916531963496599E-2</v>
      </c>
      <c r="KH91">
        <v>3.7346748880067497E-2</v>
      </c>
      <c r="KI91">
        <v>0</v>
      </c>
      <c r="KJ91">
        <v>0</v>
      </c>
      <c r="KK91">
        <v>0</v>
      </c>
      <c r="KL91">
        <v>0</v>
      </c>
      <c r="KM91">
        <v>0</v>
      </c>
      <c r="KN91">
        <v>0</v>
      </c>
      <c r="KO91">
        <v>0</v>
      </c>
      <c r="KP91">
        <v>0</v>
      </c>
      <c r="KQ91">
        <v>0</v>
      </c>
      <c r="KR91">
        <v>0</v>
      </c>
      <c r="KS91">
        <v>0</v>
      </c>
      <c r="KT91">
        <v>0</v>
      </c>
      <c r="KU91">
        <v>0.34999999999999898</v>
      </c>
      <c r="KV91">
        <v>-0.112592220347973</v>
      </c>
      <c r="KW91">
        <v>1.78856857973232E-3</v>
      </c>
      <c r="KX91">
        <v>34826.271182375203</v>
      </c>
      <c r="KY91">
        <v>0</v>
      </c>
      <c r="KZ91">
        <v>0.21060900225169901</v>
      </c>
      <c r="LA91">
        <v>1.73602675993533E-5</v>
      </c>
      <c r="LB91">
        <v>0</v>
      </c>
      <c r="LC91">
        <v>-12.1272771042181</v>
      </c>
      <c r="LD91">
        <v>1.5723028627962699E-2</v>
      </c>
      <c r="LE91">
        <v>3.41795153581389E-3</v>
      </c>
      <c r="LF91">
        <v>1.5723028627962699E-2</v>
      </c>
      <c r="LG91">
        <v>0.95575284299434904</v>
      </c>
      <c r="LH91">
        <v>1.24403732158448</v>
      </c>
      <c r="LI91">
        <v>0</v>
      </c>
      <c r="LJ91">
        <v>0</v>
      </c>
      <c r="LK91">
        <v>0.24464852878905999</v>
      </c>
      <c r="LL91">
        <v>0</v>
      </c>
      <c r="LM91">
        <v>0</v>
      </c>
      <c r="LN91">
        <v>0</v>
      </c>
      <c r="LO91">
        <v>0</v>
      </c>
      <c r="LP91">
        <v>0</v>
      </c>
      <c r="LQ91">
        <v>0</v>
      </c>
      <c r="LR91">
        <v>0</v>
      </c>
      <c r="LS91">
        <v>0</v>
      </c>
      <c r="LT91">
        <v>-999</v>
      </c>
      <c r="LU91">
        <v>0.425706571642126</v>
      </c>
      <c r="LV91">
        <v>90</v>
      </c>
      <c r="LW91">
        <v>352.44</v>
      </c>
      <c r="LX91">
        <v>3.2929999999999899</v>
      </c>
      <c r="LY91">
        <v>0</v>
      </c>
      <c r="LZ91">
        <v>-999</v>
      </c>
      <c r="MA91">
        <v>0</v>
      </c>
      <c r="MB91">
        <v>0</v>
      </c>
      <c r="MC91">
        <v>752.44</v>
      </c>
      <c r="MD91">
        <v>-23.6999999999999</v>
      </c>
      <c r="ME91">
        <v>-33.6</v>
      </c>
      <c r="MF91">
        <v>0</v>
      </c>
      <c r="MG91">
        <v>8.0706896550000007</v>
      </c>
      <c r="MH91">
        <v>0</v>
      </c>
      <c r="MI91">
        <v>0</v>
      </c>
      <c r="MJ91">
        <v>0</v>
      </c>
      <c r="MK91">
        <v>0</v>
      </c>
      <c r="ML91">
        <v>0</v>
      </c>
      <c r="MM91">
        <v>0</v>
      </c>
      <c r="MN91">
        <v>0</v>
      </c>
      <c r="MO91">
        <v>0</v>
      </c>
      <c r="MP91">
        <v>0</v>
      </c>
      <c r="MQ91">
        <v>0</v>
      </c>
      <c r="MR91">
        <v>0</v>
      </c>
      <c r="MS91">
        <v>0</v>
      </c>
      <c r="MT91">
        <v>0</v>
      </c>
      <c r="MU91">
        <v>0</v>
      </c>
      <c r="MV91">
        <v>0</v>
      </c>
    </row>
    <row r="92" spans="1:360" x14ac:dyDescent="0.25">
      <c r="A92">
        <v>33215</v>
      </c>
      <c r="B92">
        <v>0</v>
      </c>
      <c r="C92">
        <v>-33.6</v>
      </c>
      <c r="D92">
        <v>-23.6999999999999</v>
      </c>
      <c r="E92">
        <v>400</v>
      </c>
      <c r="F92">
        <v>0</v>
      </c>
      <c r="G92">
        <v>0</v>
      </c>
      <c r="H92">
        <v>0</v>
      </c>
      <c r="I92">
        <v>0</v>
      </c>
      <c r="J92">
        <v>0</v>
      </c>
      <c r="K92">
        <v>0</v>
      </c>
      <c r="L92" s="159">
        <v>6.5753399999999896E-6</v>
      </c>
      <c r="M92">
        <v>0</v>
      </c>
      <c r="N92">
        <v>0</v>
      </c>
      <c r="O92">
        <v>0</v>
      </c>
      <c r="P92">
        <v>0</v>
      </c>
      <c r="Q92">
        <v>0</v>
      </c>
      <c r="R92">
        <v>0</v>
      </c>
      <c r="S92">
        <v>0</v>
      </c>
      <c r="T92">
        <v>0</v>
      </c>
      <c r="U92">
        <v>730.14955891110003</v>
      </c>
      <c r="V92">
        <v>14.405171272284001</v>
      </c>
      <c r="W92">
        <v>1.39401028441634</v>
      </c>
      <c r="X92">
        <v>0.27977319976631598</v>
      </c>
      <c r="Y92">
        <v>0.26641341202782698</v>
      </c>
      <c r="Z92">
        <v>0.45381338820585498</v>
      </c>
      <c r="AA92">
        <v>0.112573036447548</v>
      </c>
      <c r="AB92">
        <v>0.54492106983562305</v>
      </c>
      <c r="AC92">
        <v>0.34250589371682699</v>
      </c>
      <c r="AD92">
        <v>0.88446460839095997</v>
      </c>
      <c r="AE92">
        <v>3.7495234110074001E-2</v>
      </c>
      <c r="AF92">
        <v>7.8040157498965396E-2</v>
      </c>
      <c r="AG92">
        <v>0</v>
      </c>
      <c r="AH92">
        <v>3444.7338751996199</v>
      </c>
      <c r="AI92">
        <v>78.775740369751105</v>
      </c>
      <c r="AJ92">
        <v>8.1551939557289206</v>
      </c>
      <c r="AK92">
        <v>418.80146469181801</v>
      </c>
      <c r="AL92">
        <v>7.7765809434988302</v>
      </c>
      <c r="AM92">
        <v>0.87236840266346904</v>
      </c>
      <c r="AN92">
        <v>8687.3549921706508</v>
      </c>
      <c r="AO92">
        <v>312.46466106133499</v>
      </c>
      <c r="AP92">
        <v>31.246466106133301</v>
      </c>
      <c r="AQ92">
        <v>3.0686399695650599E-2</v>
      </c>
      <c r="AR92">
        <v>6.4161535813289502E-3</v>
      </c>
      <c r="AS92">
        <v>1.82125485327146E-2</v>
      </c>
      <c r="AT92">
        <v>9.48</v>
      </c>
      <c r="AU92">
        <v>5.9633218462040896</v>
      </c>
      <c r="AV92">
        <v>0</v>
      </c>
      <c r="AW92">
        <v>85.6379828756221</v>
      </c>
      <c r="AX92">
        <v>66.757597354716793</v>
      </c>
      <c r="AY92">
        <v>361.421796455898</v>
      </c>
      <c r="AZ92">
        <v>0.54833294000258304</v>
      </c>
      <c r="BA92">
        <v>0.85834600879898404</v>
      </c>
      <c r="BB92">
        <v>1.4276866652999501E-2</v>
      </c>
      <c r="BC92">
        <v>1.1968259550642099E-3</v>
      </c>
      <c r="BD92">
        <v>0.60339399675734495</v>
      </c>
      <c r="BE92">
        <v>9.3689107714754003E-3</v>
      </c>
      <c r="BF92">
        <v>7.6145784640685996E-4</v>
      </c>
      <c r="BG92">
        <v>766.29999847710098</v>
      </c>
      <c r="BH92">
        <v>-1626.59999865293</v>
      </c>
      <c r="BI92">
        <v>436.639894744885</v>
      </c>
      <c r="BJ92">
        <v>213.83203163157799</v>
      </c>
      <c r="BK92">
        <v>3.5763852962714</v>
      </c>
      <c r="BL92">
        <v>4.8976929956388</v>
      </c>
      <c r="BM92">
        <v>195.52664551114901</v>
      </c>
      <c r="BN92">
        <v>22.635184175740399</v>
      </c>
      <c r="BO92">
        <v>218.16182968688901</v>
      </c>
      <c r="BP92">
        <v>3.5422223119624001</v>
      </c>
      <c r="BQ92">
        <v>0.29865077916661698</v>
      </c>
      <c r="BR92">
        <v>210.25564633530701</v>
      </c>
      <c r="BS92">
        <v>2.20183998186234</v>
      </c>
      <c r="BT92">
        <v>0.29775222513660898</v>
      </c>
      <c r="BU92">
        <v>3.55215718278758</v>
      </c>
      <c r="BV92">
        <v>1.74597322608036</v>
      </c>
      <c r="BW92">
        <v>0.48248314707510798</v>
      </c>
      <c r="BX92">
        <v>1.3237008096321099</v>
      </c>
      <c r="BY92">
        <v>0</v>
      </c>
      <c r="BZ92">
        <v>3.1219173303568999</v>
      </c>
      <c r="CA92">
        <v>0.42030498160549401</v>
      </c>
      <c r="CB92">
        <v>0.299618282233865</v>
      </c>
      <c r="CC92">
        <v>0.25150142290083899</v>
      </c>
      <c r="CD92">
        <v>4.7149356265778097E-2</v>
      </c>
      <c r="CE92">
        <v>22.383913056212801</v>
      </c>
      <c r="CF92">
        <v>167.80089588412699</v>
      </c>
      <c r="CG92">
        <v>42.236234315586898</v>
      </c>
      <c r="CH92">
        <v>0.41563921425626199</v>
      </c>
      <c r="CI92">
        <v>7.4109701094313696</v>
      </c>
      <c r="CJ92">
        <v>1.7574689406567201</v>
      </c>
      <c r="CK92">
        <v>9.84327694418878</v>
      </c>
      <c r="CL92">
        <v>1.51914255280473</v>
      </c>
      <c r="CM92">
        <v>0.10473574450739</v>
      </c>
      <c r="CN92">
        <v>4.6625955552890799E-2</v>
      </c>
      <c r="CO92">
        <v>0.52978675994937996</v>
      </c>
      <c r="CP92">
        <v>0.67483877630982003</v>
      </c>
      <c r="CQ92">
        <v>0.151914255280472</v>
      </c>
      <c r="CR92">
        <v>42.454750451179599</v>
      </c>
      <c r="CS92">
        <v>1.5270020877616699</v>
      </c>
      <c r="CT92">
        <v>0.152700208776166</v>
      </c>
      <c r="CU92">
        <v>1.4699999999999699E-2</v>
      </c>
      <c r="CV92">
        <v>2.1784275863552601E-3</v>
      </c>
      <c r="CW92">
        <v>2.2258481029372001</v>
      </c>
      <c r="CX92">
        <v>2.02999999999996E-2</v>
      </c>
      <c r="CY92">
        <v>6.1925571732203404E-3</v>
      </c>
      <c r="CZ92">
        <v>0</v>
      </c>
      <c r="DA92">
        <v>2.39999910000289E-3</v>
      </c>
      <c r="DB92">
        <v>1.49090918090136E-3</v>
      </c>
      <c r="DC92">
        <v>1.9999999999999601E-3</v>
      </c>
      <c r="DD92">
        <v>3.1809908259331299E-3</v>
      </c>
      <c r="DE92">
        <v>8.8629136405871296E-4</v>
      </c>
      <c r="DF92">
        <v>2.3999991000000498E-3</v>
      </c>
      <c r="DG92">
        <v>0</v>
      </c>
      <c r="DH92">
        <v>0</v>
      </c>
      <c r="DI92">
        <v>0.23180769399999501</v>
      </c>
      <c r="DJ92">
        <v>1.88461551999996E-2</v>
      </c>
      <c r="DK92">
        <v>2.5681218410479301</v>
      </c>
      <c r="DL92">
        <v>0.16763197395874199</v>
      </c>
      <c r="DM92">
        <v>56.562723807225403</v>
      </c>
      <c r="DN92">
        <v>242.094010196266</v>
      </c>
      <c r="DO92">
        <v>327.66000000000003</v>
      </c>
      <c r="DP92">
        <v>28.9876268602777</v>
      </c>
      <c r="DQ92">
        <v>157.94999999999899</v>
      </c>
      <c r="DR92">
        <v>169.71</v>
      </c>
      <c r="DS92">
        <v>156.837254408755</v>
      </c>
      <c r="DT92">
        <v>0</v>
      </c>
      <c r="DU92">
        <v>0</v>
      </c>
      <c r="DV92">
        <v>0</v>
      </c>
      <c r="DW92">
        <v>0</v>
      </c>
      <c r="DX92">
        <v>0</v>
      </c>
      <c r="DY92">
        <v>0</v>
      </c>
      <c r="DZ92">
        <v>0</v>
      </c>
      <c r="EA92">
        <v>0</v>
      </c>
      <c r="EB92">
        <v>0</v>
      </c>
      <c r="EC92">
        <v>0</v>
      </c>
      <c r="ED92">
        <v>0</v>
      </c>
      <c r="EE92">
        <v>0</v>
      </c>
      <c r="EF92">
        <v>1.2444742535737701</v>
      </c>
      <c r="EG92">
        <v>0</v>
      </c>
      <c r="EH92">
        <v>0</v>
      </c>
      <c r="EI92">
        <v>0</v>
      </c>
      <c r="EJ92">
        <v>0</v>
      </c>
      <c r="EK92">
        <v>0</v>
      </c>
      <c r="EL92">
        <v>0</v>
      </c>
      <c r="EM92">
        <v>0</v>
      </c>
      <c r="EN92">
        <v>0</v>
      </c>
      <c r="EO92">
        <v>0</v>
      </c>
      <c r="EP92">
        <v>0</v>
      </c>
      <c r="EQ92">
        <v>0</v>
      </c>
      <c r="ER92">
        <v>0</v>
      </c>
      <c r="ES92">
        <v>0</v>
      </c>
      <c r="ET92">
        <v>0</v>
      </c>
      <c r="EU92">
        <v>0</v>
      </c>
      <c r="EV92">
        <v>847.86730278796199</v>
      </c>
      <c r="EW92">
        <v>-28.649999999999899</v>
      </c>
      <c r="EX92">
        <v>1537.1569661286301</v>
      </c>
      <c r="EY92">
        <v>854.20341848983605</v>
      </c>
      <c r="EZ92">
        <v>86.159588335764596</v>
      </c>
      <c r="FA92">
        <v>697.07335744451802</v>
      </c>
      <c r="FB92">
        <v>753.92401123046795</v>
      </c>
      <c r="FC92">
        <v>0.37160630449215198</v>
      </c>
      <c r="FD92">
        <v>0.67770195328845595</v>
      </c>
      <c r="FE92">
        <v>0</v>
      </c>
      <c r="FF92">
        <v>1</v>
      </c>
      <c r="FG92" s="159">
        <v>5.9054687316195001E-13</v>
      </c>
      <c r="FH92">
        <v>0</v>
      </c>
      <c r="FI92">
        <v>5.4512674794765098E-5</v>
      </c>
      <c r="FJ92">
        <v>-4.8929409793653103E-3</v>
      </c>
      <c r="FK92" s="159">
        <v>6.57534000000779E-6</v>
      </c>
      <c r="FL92" s="159">
        <v>2.18873499428645E-6</v>
      </c>
      <c r="FM92" s="159">
        <v>4.0844780724142301E-6</v>
      </c>
      <c r="FN92">
        <v>0</v>
      </c>
      <c r="FO92">
        <v>0</v>
      </c>
      <c r="FP92">
        <v>0</v>
      </c>
      <c r="FQ92">
        <v>0</v>
      </c>
      <c r="FR92">
        <v>0</v>
      </c>
      <c r="FS92">
        <v>0</v>
      </c>
      <c r="FT92">
        <v>0</v>
      </c>
      <c r="FU92">
        <v>0</v>
      </c>
      <c r="FV92">
        <v>-999</v>
      </c>
      <c r="FW92">
        <v>0.49475647158966901</v>
      </c>
      <c r="FX92">
        <v>3.25317494243482E-3</v>
      </c>
      <c r="FY92">
        <v>1.2460507996611101</v>
      </c>
      <c r="FZ92">
        <v>8.63090131774827E-4</v>
      </c>
      <c r="GA92">
        <v>41.168104446038299</v>
      </c>
      <c r="GB92">
        <v>1.0807037851850099E-2</v>
      </c>
      <c r="GC92">
        <v>2.9208210410405799E-3</v>
      </c>
      <c r="GD92">
        <v>0</v>
      </c>
      <c r="GE92">
        <v>7.0370861152502301E-3</v>
      </c>
      <c r="GF92">
        <v>0.35209483519190898</v>
      </c>
      <c r="GG92">
        <v>5.6227205719498903E-4</v>
      </c>
      <c r="GH92">
        <v>9.3713079338694997E-3</v>
      </c>
      <c r="GI92">
        <v>1.8409862485693498E-2</v>
      </c>
      <c r="GJ92">
        <v>9.0687569007815501E-4</v>
      </c>
      <c r="GK92">
        <v>1.7613388483241599E-3</v>
      </c>
      <c r="GL92">
        <v>0.41258322824597998</v>
      </c>
      <c r="GM92">
        <v>6.9013516862016198E-3</v>
      </c>
      <c r="GN92">
        <v>5.7182071021635904E-4</v>
      </c>
      <c r="GO92">
        <v>0</v>
      </c>
      <c r="GP92">
        <v>0</v>
      </c>
      <c r="GQ92">
        <v>0</v>
      </c>
      <c r="GR92">
        <v>6.2415423541306102E-2</v>
      </c>
      <c r="GS92">
        <v>1.15897062024103E-3</v>
      </c>
      <c r="GT92">
        <v>1.3001206520698501E-4</v>
      </c>
      <c r="GU92">
        <v>3.9528435729990402E-2</v>
      </c>
      <c r="GV92">
        <v>7.3398998317822199E-4</v>
      </c>
      <c r="GW92">
        <v>8.2338198991096004E-5</v>
      </c>
      <c r="GX92">
        <v>0.12712282242367701</v>
      </c>
      <c r="GY92">
        <v>0.13769777482352599</v>
      </c>
      <c r="GZ92">
        <v>58.9304786742358</v>
      </c>
      <c r="HA92">
        <v>676.797477149408</v>
      </c>
      <c r="HB92">
        <v>0</v>
      </c>
      <c r="HC92">
        <v>0.99981308048461703</v>
      </c>
      <c r="HD92">
        <v>0.43502676145944802</v>
      </c>
      <c r="HE92">
        <v>1.12973758151034E-2</v>
      </c>
      <c r="HF92">
        <v>9.780954141621629E-4</v>
      </c>
      <c r="HG92">
        <v>1.35646414020836E-2</v>
      </c>
      <c r="HH92" s="159">
        <v>4.7618784116787598E-7</v>
      </c>
      <c r="HI92" s="159">
        <v>3.3333254016058298E-7</v>
      </c>
      <c r="HJ92">
        <v>0</v>
      </c>
      <c r="HK92">
        <v>0</v>
      </c>
      <c r="HL92">
        <v>0</v>
      </c>
      <c r="HM92">
        <v>0</v>
      </c>
      <c r="HN92">
        <v>0</v>
      </c>
      <c r="HO92">
        <v>1.1997489113756201E-2</v>
      </c>
      <c r="HP92">
        <v>0.57272453628297504</v>
      </c>
      <c r="HQ92">
        <v>1.12973758151034E-2</v>
      </c>
      <c r="HR92">
        <v>9.780954141621629E-4</v>
      </c>
      <c r="HS92">
        <v>0.71267863255819197</v>
      </c>
      <c r="HT92">
        <v>-999</v>
      </c>
      <c r="HU92">
        <v>1</v>
      </c>
      <c r="HV92">
        <v>0.81605077005766202</v>
      </c>
      <c r="HW92">
        <v>0.18394922994233701</v>
      </c>
      <c r="HX92">
        <v>12550.890332061999</v>
      </c>
      <c r="HY92">
        <v>399.01698237458498</v>
      </c>
      <c r="HZ92">
        <v>40.274028464525699</v>
      </c>
      <c r="IA92">
        <v>-0.13769777482352599</v>
      </c>
      <c r="IB92">
        <v>0</v>
      </c>
      <c r="IC92">
        <v>0</v>
      </c>
      <c r="ID92">
        <v>0</v>
      </c>
      <c r="IE92">
        <v>0</v>
      </c>
      <c r="IF92">
        <v>0</v>
      </c>
      <c r="IG92">
        <v>0</v>
      </c>
      <c r="IH92">
        <v>0</v>
      </c>
      <c r="II92">
        <v>46.337800049999601</v>
      </c>
      <c r="IJ92">
        <v>463.37800049999902</v>
      </c>
      <c r="IK92">
        <v>1.1060635564961899E-2</v>
      </c>
      <c r="IL92">
        <v>2.4376133935342802E-3</v>
      </c>
      <c r="IM92">
        <v>1.34982489584962E-2</v>
      </c>
      <c r="IN92">
        <v>8.2193539191004401E-4</v>
      </c>
      <c r="IO92">
        <v>0.42704188002229898</v>
      </c>
      <c r="IP92">
        <v>1.9346517580577299E-2</v>
      </c>
      <c r="IQ92">
        <v>1.54389328476036E-3</v>
      </c>
      <c r="IR92">
        <v>0.28939665968449002</v>
      </c>
      <c r="IS92">
        <v>0.229760050746562</v>
      </c>
      <c r="IT92">
        <v>0.28791218311261901</v>
      </c>
      <c r="IU92">
        <v>0.30345738639845998</v>
      </c>
      <c r="IV92">
        <v>1.4901460719494599E-2</v>
      </c>
      <c r="IW92">
        <v>1.09938759865209E-3</v>
      </c>
      <c r="IX92">
        <v>7.4964072553478797E-2</v>
      </c>
      <c r="IY92">
        <v>2.6962894394565798E-3</v>
      </c>
      <c r="IZ92">
        <v>2.6962894394565602E-4</v>
      </c>
      <c r="JA92">
        <v>7.4984742025995504E-2</v>
      </c>
      <c r="JB92">
        <v>2.6970328739921801E-3</v>
      </c>
      <c r="JC92">
        <v>2.6970328739921601E-4</v>
      </c>
      <c r="JD92">
        <v>1.8686510488678701E-4</v>
      </c>
      <c r="JE92">
        <v>3.2995463652719498E-3</v>
      </c>
      <c r="JF92" s="159">
        <v>5.6073581108234596E-19</v>
      </c>
      <c r="JG92">
        <v>0</v>
      </c>
      <c r="JH92">
        <v>4.1002446349905604E-3</v>
      </c>
      <c r="JI92">
        <v>5.4715549414126297E-4</v>
      </c>
      <c r="JJ92">
        <v>-0.51613990324798298</v>
      </c>
      <c r="JK92">
        <v>1.8686510488678701E-4</v>
      </c>
      <c r="JL92" s="159">
        <v>6.5753399999999896E-6</v>
      </c>
      <c r="JM92">
        <v>-0.51613990324798298</v>
      </c>
      <c r="JN92">
        <v>0</v>
      </c>
      <c r="JO92">
        <v>1.2400711492232701</v>
      </c>
      <c r="JP92">
        <v>-1.7421059010929101E-2</v>
      </c>
      <c r="JQ92">
        <v>1.2190082740668701E-3</v>
      </c>
      <c r="JR92">
        <v>1.5639136230109998E-2</v>
      </c>
      <c r="JS92">
        <v>1608.12743883759</v>
      </c>
      <c r="JT92">
        <v>4.2983357735536597E-2</v>
      </c>
      <c r="JU92">
        <v>0</v>
      </c>
      <c r="JV92">
        <v>365</v>
      </c>
      <c r="JW92">
        <v>0</v>
      </c>
      <c r="JX92">
        <v>-0.40268092994350901</v>
      </c>
      <c r="JY92">
        <v>0</v>
      </c>
      <c r="JZ92">
        <v>1.3329182968090401</v>
      </c>
      <c r="KA92">
        <v>1.40912521924046</v>
      </c>
      <c r="KB92">
        <v>1.4446865438848799</v>
      </c>
      <c r="KC92">
        <v>0</v>
      </c>
      <c r="KD92">
        <v>0</v>
      </c>
      <c r="KE92">
        <v>0</v>
      </c>
      <c r="KF92">
        <v>3.61380239886303E-3</v>
      </c>
      <c r="KG92">
        <v>2.2926129838121999E-2</v>
      </c>
      <c r="KH92">
        <v>3.7320268250094497E-2</v>
      </c>
      <c r="KI92">
        <v>0</v>
      </c>
      <c r="KJ92">
        <v>0</v>
      </c>
      <c r="KK92">
        <v>0</v>
      </c>
      <c r="KL92">
        <v>0</v>
      </c>
      <c r="KM92">
        <v>0</v>
      </c>
      <c r="KN92">
        <v>0</v>
      </c>
      <c r="KO92">
        <v>0</v>
      </c>
      <c r="KP92">
        <v>0</v>
      </c>
      <c r="KQ92">
        <v>0</v>
      </c>
      <c r="KR92">
        <v>0</v>
      </c>
      <c r="KS92">
        <v>0</v>
      </c>
      <c r="KT92">
        <v>0</v>
      </c>
      <c r="KU92">
        <v>0.34999999999999898</v>
      </c>
      <c r="KV92">
        <v>-0.11254465880280801</v>
      </c>
      <c r="KW92">
        <v>1.78786549029148E-3</v>
      </c>
      <c r="KX92">
        <v>34853.667872225902</v>
      </c>
      <c r="KY92">
        <v>0</v>
      </c>
      <c r="KZ92">
        <v>0.21061630927668301</v>
      </c>
      <c r="LA92">
        <v>1.73602675993533E-5</v>
      </c>
      <c r="LB92">
        <v>0</v>
      </c>
      <c r="LC92">
        <v>-12.1270185708734</v>
      </c>
      <c r="LD92">
        <v>1.57231604569965E-2</v>
      </c>
      <c r="LE92">
        <v>3.4180759028269599E-3</v>
      </c>
      <c r="LF92">
        <v>1.57231604569965E-2</v>
      </c>
      <c r="LG92">
        <v>0.95586249636383602</v>
      </c>
      <c r="LH92">
        <v>1.24416192768617</v>
      </c>
      <c r="LI92">
        <v>0</v>
      </c>
      <c r="LJ92">
        <v>0</v>
      </c>
      <c r="LK92">
        <v>0.244679951073206</v>
      </c>
      <c r="LL92">
        <v>0</v>
      </c>
      <c r="LM92">
        <v>0</v>
      </c>
      <c r="LN92">
        <v>0</v>
      </c>
      <c r="LO92">
        <v>0</v>
      </c>
      <c r="LP92">
        <v>0</v>
      </c>
      <c r="LQ92">
        <v>0</v>
      </c>
      <c r="LR92">
        <v>0</v>
      </c>
      <c r="LS92">
        <v>0</v>
      </c>
      <c r="LT92">
        <v>-999</v>
      </c>
      <c r="LU92">
        <v>0.42570745900644802</v>
      </c>
      <c r="LV92">
        <v>91</v>
      </c>
      <c r="LW92">
        <v>356.39999999999901</v>
      </c>
      <c r="LX92">
        <v>3.3299999999999899</v>
      </c>
      <c r="LY92">
        <v>0</v>
      </c>
      <c r="LZ92">
        <v>-999</v>
      </c>
      <c r="MA92">
        <v>0</v>
      </c>
      <c r="MB92">
        <v>0</v>
      </c>
      <c r="MC92">
        <v>756.39999999999895</v>
      </c>
      <c r="MD92">
        <v>-23.6999999999999</v>
      </c>
      <c r="ME92">
        <v>-33.6</v>
      </c>
      <c r="MF92">
        <v>0</v>
      </c>
      <c r="MG92">
        <v>8.0706896550000007</v>
      </c>
      <c r="MH92">
        <v>0</v>
      </c>
      <c r="MI92">
        <v>0</v>
      </c>
      <c r="MJ92">
        <v>0</v>
      </c>
      <c r="MK92">
        <v>0</v>
      </c>
      <c r="ML92">
        <v>0</v>
      </c>
      <c r="MM92">
        <v>0</v>
      </c>
      <c r="MN92">
        <v>0</v>
      </c>
      <c r="MO92">
        <v>0</v>
      </c>
      <c r="MP92">
        <v>0</v>
      </c>
      <c r="MQ92">
        <v>0</v>
      </c>
      <c r="MR92">
        <v>0</v>
      </c>
      <c r="MS92">
        <v>0</v>
      </c>
      <c r="MT92">
        <v>0</v>
      </c>
      <c r="MU92">
        <v>0</v>
      </c>
      <c r="MV92">
        <v>0</v>
      </c>
    </row>
    <row r="93" spans="1:360" x14ac:dyDescent="0.25">
      <c r="A93">
        <v>33580</v>
      </c>
      <c r="B93">
        <v>0</v>
      </c>
      <c r="C93">
        <v>-33.6</v>
      </c>
      <c r="D93">
        <v>-23.6999999999999</v>
      </c>
      <c r="E93">
        <v>400</v>
      </c>
      <c r="F93">
        <v>0</v>
      </c>
      <c r="G93">
        <v>0</v>
      </c>
      <c r="H93">
        <v>0</v>
      </c>
      <c r="I93">
        <v>0</v>
      </c>
      <c r="J93">
        <v>0</v>
      </c>
      <c r="K93">
        <v>0</v>
      </c>
      <c r="L93" s="159">
        <v>6.5753399999999896E-6</v>
      </c>
      <c r="M93">
        <v>0</v>
      </c>
      <c r="N93">
        <v>0</v>
      </c>
      <c r="O93">
        <v>0</v>
      </c>
      <c r="P93">
        <v>0</v>
      </c>
      <c r="Q93">
        <v>0</v>
      </c>
      <c r="R93">
        <v>0</v>
      </c>
      <c r="S93">
        <v>0</v>
      </c>
      <c r="T93">
        <v>0</v>
      </c>
      <c r="U93">
        <v>730.71033509337406</v>
      </c>
      <c r="V93">
        <v>14.414993213405101</v>
      </c>
      <c r="W93">
        <v>1.39496876985434</v>
      </c>
      <c r="X93">
        <v>0.27900725946265997</v>
      </c>
      <c r="Y93">
        <v>0.26627261834278299</v>
      </c>
      <c r="Z93">
        <v>0.45472012219455699</v>
      </c>
      <c r="AA93">
        <v>0.11257845081649</v>
      </c>
      <c r="AB93">
        <v>0.54563318598340205</v>
      </c>
      <c r="AC93">
        <v>0.34178836320010603</v>
      </c>
      <c r="AD93">
        <v>0.88446005124392202</v>
      </c>
      <c r="AE93">
        <v>3.73976168138331E-2</v>
      </c>
      <c r="AF93">
        <v>7.81423319422445E-2</v>
      </c>
      <c r="AG93">
        <v>0</v>
      </c>
      <c r="AH93">
        <v>3445.3724000827601</v>
      </c>
      <c r="AI93">
        <v>78.751610228542205</v>
      </c>
      <c r="AJ93">
        <v>8.1563660169881302</v>
      </c>
      <c r="AK93">
        <v>419.05066487647503</v>
      </c>
      <c r="AL93">
        <v>7.7812082563678402</v>
      </c>
      <c r="AM93">
        <v>0.87288748959453699</v>
      </c>
      <c r="AN93">
        <v>8687.1388617098291</v>
      </c>
      <c r="AO93">
        <v>312.45688733374499</v>
      </c>
      <c r="AP93">
        <v>31.245688733374301</v>
      </c>
      <c r="AQ93">
        <v>3.0695206910349701E-2</v>
      </c>
      <c r="AR93">
        <v>6.4195142493842202E-3</v>
      </c>
      <c r="AS93">
        <v>1.8170992545656801E-2</v>
      </c>
      <c r="AT93">
        <v>9.48</v>
      </c>
      <c r="AU93">
        <v>5.9627151243549301</v>
      </c>
      <c r="AV93">
        <v>0</v>
      </c>
      <c r="AW93">
        <v>85.648836475233693</v>
      </c>
      <c r="AX93">
        <v>66.762160598467304</v>
      </c>
      <c r="AY93">
        <v>361.420717309738</v>
      </c>
      <c r="AZ93">
        <v>0.54833294000258304</v>
      </c>
      <c r="BA93">
        <v>0.85874508369695401</v>
      </c>
      <c r="BB93">
        <v>1.42818357405588E-2</v>
      </c>
      <c r="BC93">
        <v>1.1972966748125501E-3</v>
      </c>
      <c r="BD93">
        <v>0.60352759975761205</v>
      </c>
      <c r="BE93">
        <v>9.3711894540751597E-3</v>
      </c>
      <c r="BF93">
        <v>7.6160033256983503E-4</v>
      </c>
      <c r="BG93">
        <v>766.29999847710098</v>
      </c>
      <c r="BH93">
        <v>-1626.59999865293</v>
      </c>
      <c r="BI93">
        <v>436.82238112087703</v>
      </c>
      <c r="BJ93">
        <v>213.88769309397</v>
      </c>
      <c r="BK93">
        <v>3.5714394208949098</v>
      </c>
      <c r="BL93">
        <v>4.9034198688721098</v>
      </c>
      <c r="BM93">
        <v>195.58354048570399</v>
      </c>
      <c r="BN93">
        <v>22.646796294864199</v>
      </c>
      <c r="BO93">
        <v>218.23033678056899</v>
      </c>
      <c r="BP93">
        <v>3.5435288717537401</v>
      </c>
      <c r="BQ93">
        <v>0.29877245379251699</v>
      </c>
      <c r="BR93">
        <v>210.31625367307501</v>
      </c>
      <c r="BS93">
        <v>2.2014909218986598</v>
      </c>
      <c r="BT93">
        <v>0.29785867836126201</v>
      </c>
      <c r="BU93">
        <v>3.5533508128748599</v>
      </c>
      <c r="BV93">
        <v>1.7467259854400199</v>
      </c>
      <c r="BW93">
        <v>0.481376214226167</v>
      </c>
      <c r="BX93">
        <v>1.32524861320867</v>
      </c>
      <c r="BY93">
        <v>0</v>
      </c>
      <c r="BZ93">
        <v>3.1230082686857998</v>
      </c>
      <c r="CA93">
        <v>0.42052060306794198</v>
      </c>
      <c r="CB93">
        <v>0.29973093923051097</v>
      </c>
      <c r="CC93">
        <v>0.25159890934530799</v>
      </c>
      <c r="CD93">
        <v>4.7173544447209302E-2</v>
      </c>
      <c r="CE93">
        <v>22.397596110206401</v>
      </c>
      <c r="CF93">
        <v>167.86199769657699</v>
      </c>
      <c r="CG93">
        <v>42.238125515662098</v>
      </c>
      <c r="CH93">
        <v>0.415893290198939</v>
      </c>
      <c r="CI93">
        <v>7.4152002665144998</v>
      </c>
      <c r="CJ93">
        <v>1.75831407828519</v>
      </c>
      <c r="CK93">
        <v>9.8480209640812202</v>
      </c>
      <c r="CL93">
        <v>1.5192105750267899</v>
      </c>
      <c r="CM93">
        <v>0.104899722827882</v>
      </c>
      <c r="CN93">
        <v>4.6654457516141598E-2</v>
      </c>
      <c r="CO93">
        <v>0.52855712398761301</v>
      </c>
      <c r="CP93">
        <v>0.67371737208715698</v>
      </c>
      <c r="CQ93">
        <v>0.15192105750267901</v>
      </c>
      <c r="CR93">
        <v>42.454255976497599</v>
      </c>
      <c r="CS93">
        <v>1.5269843026171701</v>
      </c>
      <c r="CT93">
        <v>0.15269843026171601</v>
      </c>
      <c r="CU93">
        <v>1.4699999999995E-2</v>
      </c>
      <c r="CV93">
        <v>2.1802457203095702E-3</v>
      </c>
      <c r="CW93">
        <v>2.22558996180882</v>
      </c>
      <c r="CX93">
        <v>2.0299999999993101E-2</v>
      </c>
      <c r="CY93">
        <v>6.1963086294022996E-3</v>
      </c>
      <c r="CZ93">
        <v>0</v>
      </c>
      <c r="DA93">
        <v>2.39999910000269E-3</v>
      </c>
      <c r="DB93">
        <v>1.4907577714678799E-3</v>
      </c>
      <c r="DC93">
        <v>1.99999999999932E-3</v>
      </c>
      <c r="DD93">
        <v>3.1760160669588402E-3</v>
      </c>
      <c r="DE93">
        <v>8.8403592231962402E-4</v>
      </c>
      <c r="DF93">
        <v>2.3999990999998399E-3</v>
      </c>
      <c r="DG93">
        <v>0</v>
      </c>
      <c r="DH93">
        <v>0</v>
      </c>
      <c r="DI93">
        <v>0.23180769399992199</v>
      </c>
      <c r="DJ93">
        <v>1.8846155199993601E-2</v>
      </c>
      <c r="DK93">
        <v>2.5708763256558802</v>
      </c>
      <c r="DL93">
        <v>0.16781177060416999</v>
      </c>
      <c r="DM93">
        <v>56.295227313357202</v>
      </c>
      <c r="DN93">
        <v>242.379890461543</v>
      </c>
      <c r="DO93">
        <v>327.66000000000003</v>
      </c>
      <c r="DP93">
        <v>28.9694705016536</v>
      </c>
      <c r="DQ93">
        <v>157.94999999999899</v>
      </c>
      <c r="DR93">
        <v>169.71</v>
      </c>
      <c r="DS93">
        <v>156.849579795144</v>
      </c>
      <c r="DT93">
        <v>0</v>
      </c>
      <c r="DU93">
        <v>0</v>
      </c>
      <c r="DV93">
        <v>0</v>
      </c>
      <c r="DW93">
        <v>0</v>
      </c>
      <c r="DX93">
        <v>0</v>
      </c>
      <c r="DY93">
        <v>0</v>
      </c>
      <c r="DZ93">
        <v>0</v>
      </c>
      <c r="EA93">
        <v>0</v>
      </c>
      <c r="EB93">
        <v>0</v>
      </c>
      <c r="EC93">
        <v>0</v>
      </c>
      <c r="ED93">
        <v>0</v>
      </c>
      <c r="EE93">
        <v>0</v>
      </c>
      <c r="EF93">
        <v>1.2440042892491501</v>
      </c>
      <c r="EG93">
        <v>0</v>
      </c>
      <c r="EH93">
        <v>0</v>
      </c>
      <c r="EI93">
        <v>0</v>
      </c>
      <c r="EJ93">
        <v>0</v>
      </c>
      <c r="EK93">
        <v>0</v>
      </c>
      <c r="EL93">
        <v>0</v>
      </c>
      <c r="EM93">
        <v>0</v>
      </c>
      <c r="EN93">
        <v>0</v>
      </c>
      <c r="EO93">
        <v>0</v>
      </c>
      <c r="EP93">
        <v>0</v>
      </c>
      <c r="EQ93">
        <v>0</v>
      </c>
      <c r="ER93">
        <v>0</v>
      </c>
      <c r="ES93">
        <v>0</v>
      </c>
      <c r="ET93">
        <v>0</v>
      </c>
      <c r="EU93">
        <v>0</v>
      </c>
      <c r="EV93">
        <v>848.46313723653498</v>
      </c>
      <c r="EW93">
        <v>-28.649999999999899</v>
      </c>
      <c r="EX93">
        <v>1538.33754756499</v>
      </c>
      <c r="EY93">
        <v>854.54757394297803</v>
      </c>
      <c r="EZ93">
        <v>86.052133236661803</v>
      </c>
      <c r="FA93">
        <v>697.61347978431502</v>
      </c>
      <c r="FB93">
        <v>754.67193603515602</v>
      </c>
      <c r="FC93">
        <v>0.37114285064972202</v>
      </c>
      <c r="FD93">
        <v>0.67685674810631202</v>
      </c>
      <c r="FE93">
        <v>0</v>
      </c>
      <c r="FF93">
        <v>1</v>
      </c>
      <c r="FG93" s="159">
        <v>5.9054687316195001E-13</v>
      </c>
      <c r="FH93">
        <v>0</v>
      </c>
      <c r="FI93">
        <v>5.4512674794765098E-5</v>
      </c>
      <c r="FJ93">
        <v>-4.8876578855672403E-3</v>
      </c>
      <c r="FK93" s="159">
        <v>6.57534000000779E-6</v>
      </c>
      <c r="FL93" s="159">
        <v>2.1837155777621302E-6</v>
      </c>
      <c r="FM93" s="159">
        <v>4.0840625083791399E-6</v>
      </c>
      <c r="FN93">
        <v>0</v>
      </c>
      <c r="FO93">
        <v>0</v>
      </c>
      <c r="FP93">
        <v>0</v>
      </c>
      <c r="FQ93">
        <v>0</v>
      </c>
      <c r="FR93">
        <v>0</v>
      </c>
      <c r="FS93">
        <v>0</v>
      </c>
      <c r="FT93">
        <v>0</v>
      </c>
      <c r="FU93">
        <v>0</v>
      </c>
      <c r="FV93">
        <v>-999</v>
      </c>
      <c r="FW93">
        <v>0.49489734469540902</v>
      </c>
      <c r="FX93">
        <v>3.2538021113186402E-3</v>
      </c>
      <c r="FY93">
        <v>1.2466686319262601</v>
      </c>
      <c r="FZ93">
        <v>8.6118470521906205E-4</v>
      </c>
      <c r="GA93">
        <v>41.142652444160397</v>
      </c>
      <c r="GB93">
        <v>1.0813633762202599E-2</v>
      </c>
      <c r="GC93">
        <v>2.9226037195142301E-3</v>
      </c>
      <c r="GD93">
        <v>0</v>
      </c>
      <c r="GE93">
        <v>7.0375905360519396E-3</v>
      </c>
      <c r="GF93">
        <v>0.35128737762463602</v>
      </c>
      <c r="GG93">
        <v>5.6234984826141095E-4</v>
      </c>
      <c r="GH93">
        <v>9.3705007956298592E-3</v>
      </c>
      <c r="GI93">
        <v>1.84082134149255E-2</v>
      </c>
      <c r="GJ93">
        <v>9.0680278334387995E-4</v>
      </c>
      <c r="GK93">
        <v>1.76122705018775E-3</v>
      </c>
      <c r="GL93">
        <v>0.41287358994550399</v>
      </c>
      <c r="GM93">
        <v>6.9062707130675503E-3</v>
      </c>
      <c r="GN93">
        <v>5.7222844534594104E-4</v>
      </c>
      <c r="GO93">
        <v>0</v>
      </c>
      <c r="GP93">
        <v>0</v>
      </c>
      <c r="GQ93">
        <v>0</v>
      </c>
      <c r="GR93">
        <v>6.2446375249210699E-2</v>
      </c>
      <c r="GS93">
        <v>1.15954535190305E-3</v>
      </c>
      <c r="GT93">
        <v>1.3007653798050801E-4</v>
      </c>
      <c r="GU93">
        <v>3.9552034738017203E-2</v>
      </c>
      <c r="GV93">
        <v>7.3442818507477297E-4</v>
      </c>
      <c r="GW93">
        <v>8.2387356003839305E-5</v>
      </c>
      <c r="GX93">
        <v>0.12722007102456201</v>
      </c>
      <c r="GY93">
        <v>0.137796370064065</v>
      </c>
      <c r="GZ93">
        <v>58.930176607795801</v>
      </c>
      <c r="HA93">
        <v>676.79993233619598</v>
      </c>
      <c r="HB93">
        <v>0</v>
      </c>
      <c r="HC93">
        <v>0.99981308106264599</v>
      </c>
      <c r="HD93">
        <v>0.43531956944616101</v>
      </c>
      <c r="HE93">
        <v>1.13050564017005E-2</v>
      </c>
      <c r="HF93">
        <v>9.7876177824596992E-4</v>
      </c>
      <c r="HG93">
        <v>1.3574810340112599E-2</v>
      </c>
      <c r="HH93" s="159">
        <v>4.7618784364572698E-7</v>
      </c>
      <c r="HI93" s="159">
        <v>3.3333254002591199E-7</v>
      </c>
      <c r="HJ93">
        <v>0</v>
      </c>
      <c r="HK93">
        <v>0</v>
      </c>
      <c r="HL93">
        <v>0</v>
      </c>
      <c r="HM93">
        <v>0</v>
      </c>
      <c r="HN93">
        <v>0</v>
      </c>
      <c r="HO93">
        <v>1.2006421304715E-2</v>
      </c>
      <c r="HP93">
        <v>0.57311593951022599</v>
      </c>
      <c r="HQ93">
        <v>1.13050564017005E-2</v>
      </c>
      <c r="HR93">
        <v>9.7876177824596992E-4</v>
      </c>
      <c r="HS93">
        <v>0.71252323465544498</v>
      </c>
      <c r="HT93">
        <v>-999</v>
      </c>
      <c r="HU93">
        <v>1</v>
      </c>
      <c r="HV93">
        <v>0.81635417507002905</v>
      </c>
      <c r="HW93">
        <v>0.18364582492997</v>
      </c>
      <c r="HX93">
        <v>12551.561926668999</v>
      </c>
      <c r="HY93">
        <v>398.98970581865598</v>
      </c>
      <c r="HZ93">
        <v>40.274942239956999</v>
      </c>
      <c r="IA93">
        <v>-0.137796370064065</v>
      </c>
      <c r="IB93">
        <v>0</v>
      </c>
      <c r="IC93">
        <v>0</v>
      </c>
      <c r="ID93">
        <v>0</v>
      </c>
      <c r="IE93">
        <v>0</v>
      </c>
      <c r="IF93">
        <v>0</v>
      </c>
      <c r="IG93">
        <v>0</v>
      </c>
      <c r="IH93">
        <v>0</v>
      </c>
      <c r="II93">
        <v>46.337800049999601</v>
      </c>
      <c r="IJ93">
        <v>463.37800049999902</v>
      </c>
      <c r="IK93">
        <v>1.10712692194699E-2</v>
      </c>
      <c r="IL93">
        <v>2.44044922071518E-3</v>
      </c>
      <c r="IM93">
        <v>1.3511718440185101E-2</v>
      </c>
      <c r="IN93">
        <v>8.2027077674563299E-4</v>
      </c>
      <c r="IO93">
        <v>0.42712188353084901</v>
      </c>
      <c r="IP93">
        <v>1.93585515089378E-2</v>
      </c>
      <c r="IQ93">
        <v>1.5423338591346401E-3</v>
      </c>
      <c r="IR93">
        <v>0.28932569201171399</v>
      </c>
      <c r="IS93">
        <v>0.22960392270806201</v>
      </c>
      <c r="IT93">
        <v>0.28818659060574597</v>
      </c>
      <c r="IU93">
        <v>0.30354454900493899</v>
      </c>
      <c r="IV93">
        <v>1.49137521445396E-2</v>
      </c>
      <c r="IW93">
        <v>1.09785392269483E-3</v>
      </c>
      <c r="IX93">
        <v>7.4965922233198298E-2</v>
      </c>
      <c r="IY93">
        <v>2.6963559682846401E-3</v>
      </c>
      <c r="IZ93">
        <v>2.6963559682846198E-4</v>
      </c>
      <c r="JA93">
        <v>7.4983025002718903E-2</v>
      </c>
      <c r="JB93">
        <v>2.6969711165186301E-3</v>
      </c>
      <c r="JC93">
        <v>2.6969711165186099E-4</v>
      </c>
      <c r="JD93">
        <v>1.87152511892713E-4</v>
      </c>
      <c r="JE93">
        <v>3.30048579346892E-3</v>
      </c>
      <c r="JF93" s="159">
        <v>7.11507675693612E-19</v>
      </c>
      <c r="JG93">
        <v>0</v>
      </c>
      <c r="JH93">
        <v>4.0990048208731098E-3</v>
      </c>
      <c r="JI93">
        <v>5.4728025760105803E-4</v>
      </c>
      <c r="JJ93">
        <v>-0.516323944071723</v>
      </c>
      <c r="JK93">
        <v>1.87152511892713E-4</v>
      </c>
      <c r="JL93" s="159">
        <v>6.5753399999999896E-6</v>
      </c>
      <c r="JM93">
        <v>-0.516323944071723</v>
      </c>
      <c r="JN93">
        <v>0</v>
      </c>
      <c r="JO93">
        <v>1.2323707892395599</v>
      </c>
      <c r="JP93">
        <v>-1.74424469260182E-2</v>
      </c>
      <c r="JQ93">
        <v>1.2239830330403299E-3</v>
      </c>
      <c r="JR93">
        <v>1.5411723445609401E-2</v>
      </c>
      <c r="JS93">
        <v>1609.2195084864099</v>
      </c>
      <c r="JT93">
        <v>4.2929750457989697E-2</v>
      </c>
      <c r="JU93">
        <v>0</v>
      </c>
      <c r="JV93">
        <v>365</v>
      </c>
      <c r="JW93">
        <v>0</v>
      </c>
      <c r="JX93">
        <v>-0.40268092994350901</v>
      </c>
      <c r="JY93">
        <v>0</v>
      </c>
      <c r="JZ93">
        <v>1.3331810750758399</v>
      </c>
      <c r="KA93">
        <v>1.4092442817118001</v>
      </c>
      <c r="KB93">
        <v>1.44492608670499</v>
      </c>
      <c r="KC93">
        <v>0</v>
      </c>
      <c r="KD93">
        <v>0</v>
      </c>
      <c r="KE93">
        <v>0</v>
      </c>
      <c r="KF93">
        <v>3.6146002927684899E-3</v>
      </c>
      <c r="KG93">
        <v>2.2935581542022201E-2</v>
      </c>
      <c r="KH93">
        <v>3.7294213169003103E-2</v>
      </c>
      <c r="KI93">
        <v>0</v>
      </c>
      <c r="KJ93">
        <v>0</v>
      </c>
      <c r="KK93">
        <v>0</v>
      </c>
      <c r="KL93">
        <v>0</v>
      </c>
      <c r="KM93">
        <v>0</v>
      </c>
      <c r="KN93">
        <v>0</v>
      </c>
      <c r="KO93">
        <v>0</v>
      </c>
      <c r="KP93">
        <v>0</v>
      </c>
      <c r="KQ93">
        <v>0</v>
      </c>
      <c r="KR93">
        <v>0</v>
      </c>
      <c r="KS93">
        <v>0</v>
      </c>
      <c r="KT93">
        <v>0</v>
      </c>
      <c r="KU93">
        <v>0.34999999999999898</v>
      </c>
      <c r="KV93">
        <v>-0.112497818201151</v>
      </c>
      <c r="KW93">
        <v>1.78717323511917E-3</v>
      </c>
      <c r="KX93">
        <v>34880.673989215698</v>
      </c>
      <c r="KY93">
        <v>0</v>
      </c>
      <c r="KZ93">
        <v>0.210623642156887</v>
      </c>
      <c r="LA93">
        <v>1.73602675993533E-5</v>
      </c>
      <c r="LB93">
        <v>0</v>
      </c>
      <c r="LC93">
        <v>-12.126764420995899</v>
      </c>
      <c r="LD93">
        <v>1.57232899040953E-2</v>
      </c>
      <c r="LE93">
        <v>3.4181980227314299E-3</v>
      </c>
      <c r="LF93">
        <v>1.57232899040953E-2</v>
      </c>
      <c r="LG93">
        <v>0.95597058993506001</v>
      </c>
      <c r="LH93">
        <v>1.24428476128984</v>
      </c>
      <c r="LI93">
        <v>0</v>
      </c>
      <c r="LJ93">
        <v>0</v>
      </c>
      <c r="LK93">
        <v>0.24471096135781001</v>
      </c>
      <c r="LL93">
        <v>0</v>
      </c>
      <c r="LM93">
        <v>0</v>
      </c>
      <c r="LN93">
        <v>0</v>
      </c>
      <c r="LO93">
        <v>0</v>
      </c>
      <c r="LP93">
        <v>0</v>
      </c>
      <c r="LQ93">
        <v>0</v>
      </c>
      <c r="LR93">
        <v>0</v>
      </c>
      <c r="LS93">
        <v>0</v>
      </c>
      <c r="LT93">
        <v>-999</v>
      </c>
      <c r="LU93">
        <v>0.42570830211532501</v>
      </c>
      <c r="LV93">
        <v>92</v>
      </c>
      <c r="LW93">
        <v>360.36</v>
      </c>
      <c r="LX93">
        <v>3.367</v>
      </c>
      <c r="LY93">
        <v>0</v>
      </c>
      <c r="LZ93">
        <v>-999</v>
      </c>
      <c r="MA93">
        <v>0</v>
      </c>
      <c r="MB93">
        <v>0</v>
      </c>
      <c r="MC93">
        <v>760.36</v>
      </c>
      <c r="MD93">
        <v>-23.6999999999999</v>
      </c>
      <c r="ME93">
        <v>-33.6</v>
      </c>
      <c r="MF93">
        <v>0</v>
      </c>
      <c r="MG93">
        <v>8.0706896550000007</v>
      </c>
      <c r="MH93">
        <v>0</v>
      </c>
      <c r="MI93">
        <v>0</v>
      </c>
      <c r="MJ93">
        <v>0</v>
      </c>
      <c r="MK93">
        <v>0</v>
      </c>
      <c r="ML93">
        <v>0</v>
      </c>
      <c r="MM93">
        <v>0</v>
      </c>
      <c r="MN93">
        <v>0</v>
      </c>
      <c r="MO93">
        <v>0</v>
      </c>
      <c r="MP93">
        <v>0</v>
      </c>
      <c r="MQ93">
        <v>0</v>
      </c>
      <c r="MR93">
        <v>0</v>
      </c>
      <c r="MS93">
        <v>0</v>
      </c>
      <c r="MT93">
        <v>0</v>
      </c>
      <c r="MU93">
        <v>0</v>
      </c>
      <c r="MV93">
        <v>0</v>
      </c>
    </row>
    <row r="94" spans="1:360" x14ac:dyDescent="0.25">
      <c r="A94">
        <v>33945</v>
      </c>
      <c r="B94">
        <v>0</v>
      </c>
      <c r="C94">
        <v>-33.6</v>
      </c>
      <c r="D94">
        <v>-23.6999999999999</v>
      </c>
      <c r="E94">
        <v>400</v>
      </c>
      <c r="F94">
        <v>0</v>
      </c>
      <c r="G94">
        <v>0</v>
      </c>
      <c r="H94">
        <v>0</v>
      </c>
      <c r="I94">
        <v>0</v>
      </c>
      <c r="J94">
        <v>0</v>
      </c>
      <c r="K94">
        <v>0</v>
      </c>
      <c r="L94" s="159">
        <v>6.5753399999999896E-6</v>
      </c>
      <c r="M94">
        <v>0</v>
      </c>
      <c r="N94">
        <v>0</v>
      </c>
      <c r="O94">
        <v>0</v>
      </c>
      <c r="P94">
        <v>0</v>
      </c>
      <c r="Q94">
        <v>0</v>
      </c>
      <c r="R94">
        <v>0</v>
      </c>
      <c r="S94">
        <v>0</v>
      </c>
      <c r="T94">
        <v>0</v>
      </c>
      <c r="U94">
        <v>731.27538927438502</v>
      </c>
      <c r="V94">
        <v>14.4247320789671</v>
      </c>
      <c r="W94">
        <v>1.39591961357957</v>
      </c>
      <c r="X94">
        <v>0.27824224436740402</v>
      </c>
      <c r="Y94">
        <v>0.266138314844726</v>
      </c>
      <c r="Z94">
        <v>0.45561944078786898</v>
      </c>
      <c r="AA94">
        <v>0.112584107297376</v>
      </c>
      <c r="AB94">
        <v>0.546342142295557</v>
      </c>
      <c r="AC94">
        <v>0.341073750407065</v>
      </c>
      <c r="AD94">
        <v>0.88445531342271499</v>
      </c>
      <c r="AE94">
        <v>3.7300075682020602E-2</v>
      </c>
      <c r="AF94">
        <v>7.8244610895263494E-2</v>
      </c>
      <c r="AG94">
        <v>0</v>
      </c>
      <c r="AH94">
        <v>3446.0103942229298</v>
      </c>
      <c r="AI94">
        <v>78.727496557890603</v>
      </c>
      <c r="AJ94">
        <v>8.1575476068245507</v>
      </c>
      <c r="AK94">
        <v>419.297871604161</v>
      </c>
      <c r="AL94">
        <v>7.7857985534171696</v>
      </c>
      <c r="AM94">
        <v>0.87340242413116298</v>
      </c>
      <c r="AN94">
        <v>8686.9251567358606</v>
      </c>
      <c r="AO94">
        <v>312.44920084547402</v>
      </c>
      <c r="AP94">
        <v>31.2449200845472</v>
      </c>
      <c r="AQ94">
        <v>3.07032977755929E-2</v>
      </c>
      <c r="AR94">
        <v>6.4226739794022401E-3</v>
      </c>
      <c r="AS94">
        <v>1.81299544674248E-2</v>
      </c>
      <c r="AT94">
        <v>9.48</v>
      </c>
      <c r="AU94">
        <v>5.9621063390775904</v>
      </c>
      <c r="AV94">
        <v>0</v>
      </c>
      <c r="AW94">
        <v>85.659562051221997</v>
      </c>
      <c r="AX94">
        <v>66.766701573127605</v>
      </c>
      <c r="AY94">
        <v>361.41965309462103</v>
      </c>
      <c r="AZ94">
        <v>0.54833294000258304</v>
      </c>
      <c r="BA94">
        <v>0.85914200325746704</v>
      </c>
      <c r="BB94">
        <v>1.42868110412568E-2</v>
      </c>
      <c r="BC94">
        <v>1.1977683903775199E-3</v>
      </c>
      <c r="BD94">
        <v>0.60368279548983395</v>
      </c>
      <c r="BE94">
        <v>9.3735409534737805E-3</v>
      </c>
      <c r="BF94">
        <v>7.6174569643023204E-4</v>
      </c>
      <c r="BG94">
        <v>766.29999847710098</v>
      </c>
      <c r="BH94">
        <v>-1626.59999865293</v>
      </c>
      <c r="BI94">
        <v>437.01834727529098</v>
      </c>
      <c r="BJ94">
        <v>213.95473402211499</v>
      </c>
      <c r="BK94">
        <v>3.5783119465160098</v>
      </c>
      <c r="BL94">
        <v>4.9092057482904998</v>
      </c>
      <c r="BM94">
        <v>195.64051862600999</v>
      </c>
      <c r="BN94">
        <v>22.658366963383401</v>
      </c>
      <c r="BO94">
        <v>218.29888558939399</v>
      </c>
      <c r="BP94">
        <v>3.5448125976242402</v>
      </c>
      <c r="BQ94">
        <v>0.29889240538176798</v>
      </c>
      <c r="BR94">
        <v>210.37642207559799</v>
      </c>
      <c r="BS94">
        <v>2.2011322318042801</v>
      </c>
      <c r="BT94">
        <v>0.29796452983586802</v>
      </c>
      <c r="BU94">
        <v>3.5545514631862098</v>
      </c>
      <c r="BV94">
        <v>1.74747157400523</v>
      </c>
      <c r="BW94">
        <v>0.480267524778141</v>
      </c>
      <c r="BX94">
        <v>1.32681236440283</v>
      </c>
      <c r="BY94">
        <v>0</v>
      </c>
      <c r="BZ94">
        <v>3.1240771427759402</v>
      </c>
      <c r="CA94">
        <v>0.42073545484830899</v>
      </c>
      <c r="CB94">
        <v>0.299843249107001</v>
      </c>
      <c r="CC94">
        <v>0.25169475909522698</v>
      </c>
      <c r="CD94">
        <v>4.7197646286540801E-2</v>
      </c>
      <c r="CE94">
        <v>22.411160235697</v>
      </c>
      <c r="CF94">
        <v>167.92266555789899</v>
      </c>
      <c r="CG94">
        <v>42.240051543743697</v>
      </c>
      <c r="CH94">
        <v>0.41614515779898098</v>
      </c>
      <c r="CI94">
        <v>7.4193477113374602</v>
      </c>
      <c r="CJ94">
        <v>1.75913816116766</v>
      </c>
      <c r="CK94">
        <v>9.8526517661042092</v>
      </c>
      <c r="CL94">
        <v>1.51927984993409</v>
      </c>
      <c r="CM94">
        <v>0.10506355106583699</v>
      </c>
      <c r="CN94">
        <v>4.66827117499145E-2</v>
      </c>
      <c r="CO94">
        <v>0.52734968281831496</v>
      </c>
      <c r="CP94">
        <v>0.67261757883366502</v>
      </c>
      <c r="CQ94">
        <v>0.15192798499340801</v>
      </c>
      <c r="CR94">
        <v>42.453756517699603</v>
      </c>
      <c r="CS94">
        <v>1.5269663382051999</v>
      </c>
      <c r="CT94">
        <v>0.15269663382051801</v>
      </c>
      <c r="CU94">
        <v>1.47000000000015E-2</v>
      </c>
      <c r="CV94">
        <v>2.1819990775748801E-3</v>
      </c>
      <c r="CW94">
        <v>2.2253087290239</v>
      </c>
      <c r="CX94">
        <v>2.0300000000002101E-2</v>
      </c>
      <c r="CY94">
        <v>6.1998833480780401E-3</v>
      </c>
      <c r="CZ94">
        <v>0</v>
      </c>
      <c r="DA94">
        <v>2.3999991000027898E-3</v>
      </c>
      <c r="DB94">
        <v>1.49060584129344E-3</v>
      </c>
      <c r="DC94">
        <v>2.0000000000002099E-3</v>
      </c>
      <c r="DD94">
        <v>3.1711031844360101E-3</v>
      </c>
      <c r="DE94">
        <v>8.8182056395935899E-4</v>
      </c>
      <c r="DF94">
        <v>2.3999990999999401E-3</v>
      </c>
      <c r="DG94">
        <v>0</v>
      </c>
      <c r="DH94">
        <v>0</v>
      </c>
      <c r="DI94">
        <v>0.23180769400002499</v>
      </c>
      <c r="DJ94">
        <v>1.8846155200002001E-2</v>
      </c>
      <c r="DK94">
        <v>2.5735695656030799</v>
      </c>
      <c r="DL94">
        <v>0.16798756955633701</v>
      </c>
      <c r="DM94">
        <v>56.033096081387498</v>
      </c>
      <c r="DN94">
        <v>242.66005238760999</v>
      </c>
      <c r="DO94">
        <v>327.66000000000003</v>
      </c>
      <c r="DP94">
        <v>28.951590191352299</v>
      </c>
      <c r="DQ94">
        <v>157.94999999999899</v>
      </c>
      <c r="DR94">
        <v>169.71</v>
      </c>
      <c r="DS94">
        <v>156.86169394659501</v>
      </c>
      <c r="DT94">
        <v>0</v>
      </c>
      <c r="DU94">
        <v>0</v>
      </c>
      <c r="DV94">
        <v>0</v>
      </c>
      <c r="DW94">
        <v>0</v>
      </c>
      <c r="DX94">
        <v>0</v>
      </c>
      <c r="DY94">
        <v>0</v>
      </c>
      <c r="DZ94">
        <v>0</v>
      </c>
      <c r="EA94">
        <v>0</v>
      </c>
      <c r="EB94">
        <v>0</v>
      </c>
      <c r="EC94">
        <v>0</v>
      </c>
      <c r="ED94">
        <v>0</v>
      </c>
      <c r="EE94">
        <v>0</v>
      </c>
      <c r="EF94">
        <v>1.2435433474687001</v>
      </c>
      <c r="EG94">
        <v>0</v>
      </c>
      <c r="EH94">
        <v>0</v>
      </c>
      <c r="EI94">
        <v>0</v>
      </c>
      <c r="EJ94">
        <v>0</v>
      </c>
      <c r="EK94">
        <v>0</v>
      </c>
      <c r="EL94">
        <v>0</v>
      </c>
      <c r="EM94">
        <v>0</v>
      </c>
      <c r="EN94">
        <v>0</v>
      </c>
      <c r="EO94">
        <v>0</v>
      </c>
      <c r="EP94">
        <v>0</v>
      </c>
      <c r="EQ94">
        <v>0</v>
      </c>
      <c r="ER94">
        <v>0</v>
      </c>
      <c r="ES94">
        <v>0</v>
      </c>
      <c r="ET94">
        <v>0</v>
      </c>
      <c r="EU94">
        <v>0</v>
      </c>
      <c r="EV94">
        <v>849.06361224449802</v>
      </c>
      <c r="EW94">
        <v>-28.649999999999899</v>
      </c>
      <c r="EX94">
        <v>1539.5271353144899</v>
      </c>
      <c r="EY94">
        <v>854.89425818604502</v>
      </c>
      <c r="EZ94">
        <v>85.944207818015997</v>
      </c>
      <c r="FA94">
        <v>698.15698864026297</v>
      </c>
      <c r="FB94">
        <v>755.42596435546795</v>
      </c>
      <c r="FC94">
        <v>0.37067736831910297</v>
      </c>
      <c r="FD94">
        <v>0.676007843550957</v>
      </c>
      <c r="FE94">
        <v>0</v>
      </c>
      <c r="FF94">
        <v>1</v>
      </c>
      <c r="FG94" s="159">
        <v>5.9057225010635103E-13</v>
      </c>
      <c r="FH94">
        <v>0</v>
      </c>
      <c r="FI94">
        <v>5.4512674794765098E-5</v>
      </c>
      <c r="FJ94">
        <v>-4.8824433689338203E-3</v>
      </c>
      <c r="FK94" s="159">
        <v>6.57534000000779E-6</v>
      </c>
      <c r="FL94" s="159">
        <v>2.1787588227418498E-6</v>
      </c>
      <c r="FM94" s="159">
        <v>4.0836455310332497E-6</v>
      </c>
      <c r="FN94">
        <v>0</v>
      </c>
      <c r="FO94">
        <v>0</v>
      </c>
      <c r="FP94">
        <v>0</v>
      </c>
      <c r="FQ94">
        <v>0</v>
      </c>
      <c r="FR94">
        <v>0</v>
      </c>
      <c r="FS94">
        <v>0</v>
      </c>
      <c r="FT94">
        <v>0</v>
      </c>
      <c r="FU94">
        <v>0</v>
      </c>
      <c r="FV94">
        <v>-999</v>
      </c>
      <c r="FW94">
        <v>0.495026674699033</v>
      </c>
      <c r="FX94">
        <v>3.2544388230267098E-3</v>
      </c>
      <c r="FY94">
        <v>1.24724771968369</v>
      </c>
      <c r="FZ94">
        <v>8.5927570307030797E-4</v>
      </c>
      <c r="GA94">
        <v>41.117290777210897</v>
      </c>
      <c r="GB94">
        <v>1.08205371904351E-2</v>
      </c>
      <c r="GC94">
        <v>2.9244695109284101E-3</v>
      </c>
      <c r="GD94">
        <v>0</v>
      </c>
      <c r="GE94">
        <v>7.0381840370254403E-3</v>
      </c>
      <c r="GF94">
        <v>0.35049000021416499</v>
      </c>
      <c r="GG94">
        <v>5.6243086221937602E-4</v>
      </c>
      <c r="GH94">
        <v>9.3695861203644398E-3</v>
      </c>
      <c r="GI94">
        <v>1.84065589546667E-2</v>
      </c>
      <c r="GJ94">
        <v>9.0671972033439701E-4</v>
      </c>
      <c r="GK94">
        <v>1.7611151478912001E-3</v>
      </c>
      <c r="GL94">
        <v>0.41316592365273702</v>
      </c>
      <c r="GM94">
        <v>6.9111459074570102E-3</v>
      </c>
      <c r="GN94">
        <v>5.7263266601305103E-4</v>
      </c>
      <c r="GO94">
        <v>0</v>
      </c>
      <c r="GP94">
        <v>0</v>
      </c>
      <c r="GQ94">
        <v>0</v>
      </c>
      <c r="GR94">
        <v>6.2477564019800001E-2</v>
      </c>
      <c r="GS94">
        <v>1.16012448550086E-3</v>
      </c>
      <c r="GT94">
        <v>1.30141504558407E-4</v>
      </c>
      <c r="GU94">
        <v>3.95754471644248E-2</v>
      </c>
      <c r="GV94">
        <v>7.3486292240115098E-4</v>
      </c>
      <c r="GW94">
        <v>8.2436124364863996E-5</v>
      </c>
      <c r="GX94">
        <v>0.127316561333535</v>
      </c>
      <c r="GY94">
        <v>0.137894448842768</v>
      </c>
      <c r="GZ94">
        <v>58.930436537912499</v>
      </c>
      <c r="HA94">
        <v>676.80843660740697</v>
      </c>
      <c r="HB94">
        <v>0</v>
      </c>
      <c r="HC94">
        <v>0.99981308166391802</v>
      </c>
      <c r="HD94">
        <v>0.435611967009852</v>
      </c>
      <c r="HE94">
        <v>1.13127449553861E-2</v>
      </c>
      <c r="HF94">
        <v>9.7942940131859292E-4</v>
      </c>
      <c r="HG94">
        <v>1.35846963437623E-2</v>
      </c>
      <c r="HH94" s="159">
        <v>4.7618784604624699E-7</v>
      </c>
      <c r="HI94" s="159">
        <v>3.33332539894597E-7</v>
      </c>
      <c r="HJ94">
        <v>0</v>
      </c>
      <c r="HK94">
        <v>0</v>
      </c>
      <c r="HL94">
        <v>0</v>
      </c>
      <c r="HM94">
        <v>0</v>
      </c>
      <c r="HN94">
        <v>0</v>
      </c>
      <c r="HO94">
        <v>1.20151007057923E-2</v>
      </c>
      <c r="HP94">
        <v>0.57350641585261997</v>
      </c>
      <c r="HQ94">
        <v>1.13127449553861E-2</v>
      </c>
      <c r="HR94">
        <v>9.7942940131859292E-4</v>
      </c>
      <c r="HS94">
        <v>0.71237616030760398</v>
      </c>
      <c r="HT94">
        <v>-999</v>
      </c>
      <c r="HU94">
        <v>1</v>
      </c>
      <c r="HV94">
        <v>0.81665888144066501</v>
      </c>
      <c r="HW94">
        <v>0.18334111855933399</v>
      </c>
      <c r="HX94">
        <v>12552.2334225629</v>
      </c>
      <c r="HY94">
        <v>398.96249595678199</v>
      </c>
      <c r="HZ94">
        <v>40.275870115502897</v>
      </c>
      <c r="IA94">
        <v>-0.137894448842768</v>
      </c>
      <c r="IB94">
        <v>0</v>
      </c>
      <c r="IC94">
        <v>0</v>
      </c>
      <c r="ID94">
        <v>0</v>
      </c>
      <c r="IE94">
        <v>0</v>
      </c>
      <c r="IF94">
        <v>0</v>
      </c>
      <c r="IG94">
        <v>0</v>
      </c>
      <c r="IH94">
        <v>0</v>
      </c>
      <c r="II94">
        <v>46.337800049999601</v>
      </c>
      <c r="IJ94">
        <v>463.37800049999902</v>
      </c>
      <c r="IK94">
        <v>1.1081651289985299E-2</v>
      </c>
      <c r="IL94">
        <v>2.4432125874962901E-3</v>
      </c>
      <c r="IM94">
        <v>1.3524863877481599E-2</v>
      </c>
      <c r="IN94">
        <v>8.1862713034193402E-4</v>
      </c>
      <c r="IO94">
        <v>0.42720183750826701</v>
      </c>
      <c r="IP94">
        <v>1.9370262821952599E-2</v>
      </c>
      <c r="IQ94">
        <v>1.5407962731893399E-3</v>
      </c>
      <c r="IR94">
        <v>0.289254615992867</v>
      </c>
      <c r="IS94">
        <v>0.229451676522751</v>
      </c>
      <c r="IT94">
        <v>0.28845729682246901</v>
      </c>
      <c r="IU94">
        <v>0.30363173404836602</v>
      </c>
      <c r="IV94">
        <v>1.4925723542769199E-2</v>
      </c>
      <c r="IW94">
        <v>1.0963423452710001E-3</v>
      </c>
      <c r="IX94">
        <v>7.49678553014963E-2</v>
      </c>
      <c r="IY94">
        <v>2.6964254964127201E-3</v>
      </c>
      <c r="IZ94">
        <v>2.6964254964127E-4</v>
      </c>
      <c r="JA94">
        <v>7.4981331707448196E-2</v>
      </c>
      <c r="JB94">
        <v>2.6969102124882001E-3</v>
      </c>
      <c r="JC94">
        <v>2.6969102124881799E-4</v>
      </c>
      <c r="JD94">
        <v>1.8743995984883899E-4</v>
      </c>
      <c r="JE94">
        <v>3.3013489041718198E-3</v>
      </c>
      <c r="JF94" s="159">
        <v>-1.6449379835678499E-18</v>
      </c>
      <c r="JG94">
        <v>0</v>
      </c>
      <c r="JH94">
        <v>4.0977698777758097E-3</v>
      </c>
      <c r="JI94">
        <v>5.4740623617789198E-4</v>
      </c>
      <c r="JJ94">
        <v>-0.51650751459858202</v>
      </c>
      <c r="JK94">
        <v>1.8743995984883899E-4</v>
      </c>
      <c r="JL94" s="159">
        <v>6.5753399999999896E-6</v>
      </c>
      <c r="JM94">
        <v>-0.51650751459858202</v>
      </c>
      <c r="JN94">
        <v>0</v>
      </c>
      <c r="JO94">
        <v>1.23655007491302</v>
      </c>
      <c r="JP94">
        <v>-1.7459745716147002E-2</v>
      </c>
      <c r="JQ94">
        <v>1.2288959155641399E-3</v>
      </c>
      <c r="JR94">
        <v>1.52613396494345E-2</v>
      </c>
      <c r="JS94">
        <v>1610.3201970416801</v>
      </c>
      <c r="JT94">
        <v>4.2875908547093E-2</v>
      </c>
      <c r="JU94">
        <v>0</v>
      </c>
      <c r="JV94">
        <v>365</v>
      </c>
      <c r="JW94">
        <v>0</v>
      </c>
      <c r="JX94">
        <v>-0.40268092994350901</v>
      </c>
      <c r="JY94">
        <v>0</v>
      </c>
      <c r="JZ94">
        <v>1.33340239065129</v>
      </c>
      <c r="KA94">
        <v>1.40935495080791</v>
      </c>
      <c r="KB94">
        <v>1.44516210166338</v>
      </c>
      <c r="KC94">
        <v>0</v>
      </c>
      <c r="KD94">
        <v>0</v>
      </c>
      <c r="KE94">
        <v>0</v>
      </c>
      <c r="KF94">
        <v>3.6154081926062301E-3</v>
      </c>
      <c r="KG94">
        <v>2.29449359629347E-2</v>
      </c>
      <c r="KH94">
        <v>3.7269233452857403E-2</v>
      </c>
      <c r="KI94">
        <v>0</v>
      </c>
      <c r="KJ94">
        <v>0</v>
      </c>
      <c r="KK94">
        <v>0</v>
      </c>
      <c r="KL94">
        <v>0</v>
      </c>
      <c r="KM94">
        <v>0</v>
      </c>
      <c r="KN94">
        <v>0</v>
      </c>
      <c r="KO94">
        <v>0</v>
      </c>
      <c r="KP94">
        <v>0</v>
      </c>
      <c r="KQ94">
        <v>0</v>
      </c>
      <c r="KR94">
        <v>0</v>
      </c>
      <c r="KS94">
        <v>0</v>
      </c>
      <c r="KT94">
        <v>0</v>
      </c>
      <c r="KU94">
        <v>0.34999999999999898</v>
      </c>
      <c r="KV94">
        <v>-0.112450726832886</v>
      </c>
      <c r="KW94">
        <v>1.7864774506354999E-3</v>
      </c>
      <c r="KX94">
        <v>34907.849432013099</v>
      </c>
      <c r="KY94">
        <v>0</v>
      </c>
      <c r="KZ94">
        <v>0.210631007930352</v>
      </c>
      <c r="LA94">
        <v>1.73602675993533E-5</v>
      </c>
      <c r="LB94">
        <v>0</v>
      </c>
      <c r="LC94">
        <v>-12.126512284110399</v>
      </c>
      <c r="LD94">
        <v>1.57234173133818E-2</v>
      </c>
      <c r="LE94">
        <v>3.4183182201715399E-3</v>
      </c>
      <c r="LF94">
        <v>1.57234173133818E-2</v>
      </c>
      <c r="LG94">
        <v>0.95607731305284305</v>
      </c>
      <c r="LH94">
        <v>1.2444060375600401</v>
      </c>
      <c r="LI94">
        <v>0</v>
      </c>
      <c r="LJ94">
        <v>0</v>
      </c>
      <c r="LK94">
        <v>0.24474160586063401</v>
      </c>
      <c r="LL94">
        <v>0</v>
      </c>
      <c r="LM94">
        <v>0</v>
      </c>
      <c r="LN94">
        <v>0</v>
      </c>
      <c r="LO94">
        <v>0</v>
      </c>
      <c r="LP94">
        <v>0</v>
      </c>
      <c r="LQ94">
        <v>0</v>
      </c>
      <c r="LR94">
        <v>0</v>
      </c>
      <c r="LS94">
        <v>0</v>
      </c>
      <c r="LT94">
        <v>-999</v>
      </c>
      <c r="LU94">
        <v>0.42570916111998203</v>
      </c>
      <c r="LV94">
        <v>93</v>
      </c>
      <c r="LW94">
        <v>364.31999999999903</v>
      </c>
      <c r="LX94">
        <v>3.4039999999999901</v>
      </c>
      <c r="LY94">
        <v>0</v>
      </c>
      <c r="LZ94">
        <v>-999</v>
      </c>
      <c r="MA94">
        <v>0</v>
      </c>
      <c r="MB94">
        <v>0</v>
      </c>
      <c r="MC94">
        <v>764.31999999999903</v>
      </c>
      <c r="MD94">
        <v>-23.6999999999999</v>
      </c>
      <c r="ME94">
        <v>-33.6</v>
      </c>
      <c r="MF94">
        <v>0</v>
      </c>
      <c r="MG94">
        <v>8.0706896550000007</v>
      </c>
      <c r="MH94">
        <v>0</v>
      </c>
      <c r="MI94">
        <v>0</v>
      </c>
      <c r="MJ94">
        <v>0</v>
      </c>
      <c r="MK94">
        <v>0</v>
      </c>
      <c r="ML94">
        <v>0</v>
      </c>
      <c r="MM94">
        <v>0</v>
      </c>
      <c r="MN94">
        <v>0</v>
      </c>
      <c r="MO94">
        <v>0</v>
      </c>
      <c r="MP94">
        <v>0</v>
      </c>
      <c r="MQ94">
        <v>0</v>
      </c>
      <c r="MR94">
        <v>0</v>
      </c>
      <c r="MS94">
        <v>0</v>
      </c>
      <c r="MT94">
        <v>0</v>
      </c>
      <c r="MU94">
        <v>0</v>
      </c>
      <c r="MV94">
        <v>0</v>
      </c>
    </row>
    <row r="95" spans="1:360" x14ac:dyDescent="0.25">
      <c r="A95">
        <v>34310</v>
      </c>
      <c r="B95">
        <v>0</v>
      </c>
      <c r="C95">
        <v>-33.6</v>
      </c>
      <c r="D95">
        <v>-23.6999999999999</v>
      </c>
      <c r="E95">
        <v>400</v>
      </c>
      <c r="F95">
        <v>0</v>
      </c>
      <c r="G95">
        <v>0</v>
      </c>
      <c r="H95">
        <v>0</v>
      </c>
      <c r="I95">
        <v>0</v>
      </c>
      <c r="J95">
        <v>0</v>
      </c>
      <c r="K95">
        <v>0</v>
      </c>
      <c r="L95" s="159">
        <v>6.5753399999999896E-6</v>
      </c>
      <c r="M95">
        <v>0</v>
      </c>
      <c r="N95">
        <v>0</v>
      </c>
      <c r="O95">
        <v>0</v>
      </c>
      <c r="P95">
        <v>0</v>
      </c>
      <c r="Q95">
        <v>0</v>
      </c>
      <c r="R95">
        <v>0</v>
      </c>
      <c r="S95">
        <v>0</v>
      </c>
      <c r="T95">
        <v>0</v>
      </c>
      <c r="U95">
        <v>731.82316968924397</v>
      </c>
      <c r="V95">
        <v>14.434410506033799</v>
      </c>
      <c r="W95">
        <v>1.39686352156585</v>
      </c>
      <c r="X95">
        <v>0.27749363607826599</v>
      </c>
      <c r="Y95">
        <v>0.26600203233226699</v>
      </c>
      <c r="Z95">
        <v>0.45650433158946502</v>
      </c>
      <c r="AA95">
        <v>0.112590557106449</v>
      </c>
      <c r="AB95">
        <v>0.54704733093991598</v>
      </c>
      <c r="AC95">
        <v>0.34036211195363297</v>
      </c>
      <c r="AD95">
        <v>0.88445038692113298</v>
      </c>
      <c r="AE95">
        <v>3.7202356295233101E-2</v>
      </c>
      <c r="AF95">
        <v>7.8347256783633301E-2</v>
      </c>
      <c r="AG95">
        <v>0</v>
      </c>
      <c r="AH95">
        <v>3446.6459761588399</v>
      </c>
      <c r="AI95">
        <v>78.703374129945104</v>
      </c>
      <c r="AJ95">
        <v>8.1587376607221298</v>
      </c>
      <c r="AK95">
        <v>419.54302423470801</v>
      </c>
      <c r="AL95">
        <v>7.7903507086403403</v>
      </c>
      <c r="AM95">
        <v>0.87391307995916301</v>
      </c>
      <c r="AN95">
        <v>8686.7138897950608</v>
      </c>
      <c r="AO95">
        <v>312.44160204778302</v>
      </c>
      <c r="AP95">
        <v>31.244160204778101</v>
      </c>
      <c r="AQ95">
        <v>3.0711756693902401E-2</v>
      </c>
      <c r="AR95">
        <v>6.42595732695632E-3</v>
      </c>
      <c r="AS95">
        <v>1.80897689747034E-2</v>
      </c>
      <c r="AT95">
        <v>9.48</v>
      </c>
      <c r="AU95">
        <v>5.9614955145149899</v>
      </c>
      <c r="AV95">
        <v>0</v>
      </c>
      <c r="AW95">
        <v>85.670233909357904</v>
      </c>
      <c r="AX95">
        <v>66.771215097081395</v>
      </c>
      <c r="AY95">
        <v>361.41859448867501</v>
      </c>
      <c r="AZ95">
        <v>0.54833294000258304</v>
      </c>
      <c r="BA95">
        <v>0.85953309662127897</v>
      </c>
      <c r="BB95">
        <v>1.4291642725294601E-2</v>
      </c>
      <c r="BC95">
        <v>1.19822687290112E-3</v>
      </c>
      <c r="BD95">
        <v>0.60379531931845498</v>
      </c>
      <c r="BE95">
        <v>9.3758516631829904E-3</v>
      </c>
      <c r="BF95">
        <v>7.61888586901684E-4</v>
      </c>
      <c r="BG95">
        <v>766.29999847710098</v>
      </c>
      <c r="BH95">
        <v>-1626.59999865293</v>
      </c>
      <c r="BI95">
        <v>437.18401812232901</v>
      </c>
      <c r="BJ95">
        <v>213.99859089976599</v>
      </c>
      <c r="BK95">
        <v>3.5617368690652502</v>
      </c>
      <c r="BL95">
        <v>4.9150639908718396</v>
      </c>
      <c r="BM95">
        <v>195.696065091294</v>
      </c>
      <c r="BN95">
        <v>22.669809384485799</v>
      </c>
      <c r="BO95">
        <v>218.36587447577901</v>
      </c>
      <c r="BP95">
        <v>3.54609452172495</v>
      </c>
      <c r="BQ95">
        <v>0.29901205336525899</v>
      </c>
      <c r="BR95">
        <v>210.4368540307</v>
      </c>
      <c r="BS95">
        <v>2.2007761255704499</v>
      </c>
      <c r="BT95">
        <v>0.29807122340865499</v>
      </c>
      <c r="BU95">
        <v>3.5557729487917098</v>
      </c>
      <c r="BV95">
        <v>1.74822009524918</v>
      </c>
      <c r="BW95">
        <v>0.47915718033392202</v>
      </c>
      <c r="BX95">
        <v>1.32839567320861</v>
      </c>
      <c r="BY95">
        <v>0</v>
      </c>
      <c r="BZ95">
        <v>3.12514659647863</v>
      </c>
      <c r="CA95">
        <v>0.42094792524632502</v>
      </c>
      <c r="CB95">
        <v>0.29995596135154201</v>
      </c>
      <c r="CC95">
        <v>0.25179057238027203</v>
      </c>
      <c r="CD95">
        <v>4.7221480984986797E-2</v>
      </c>
      <c r="CE95">
        <v>22.4246567539378</v>
      </c>
      <c r="CF95">
        <v>167.98351541019599</v>
      </c>
      <c r="CG95">
        <v>42.242071679723999</v>
      </c>
      <c r="CH95">
        <v>0.41639577002315797</v>
      </c>
      <c r="CI95">
        <v>7.4233996950713799</v>
      </c>
      <c r="CJ95">
        <v>1.7599350898189801</v>
      </c>
      <c r="CK95">
        <v>9.8571596030798201</v>
      </c>
      <c r="CL95">
        <v>1.5193525096912801</v>
      </c>
      <c r="CM95">
        <v>0.105227620797248</v>
      </c>
      <c r="CN95">
        <v>4.6710825156986498E-2</v>
      </c>
      <c r="CO95">
        <v>0.52615465263912697</v>
      </c>
      <c r="CP95">
        <v>0.67153074530968704</v>
      </c>
      <c r="CQ95">
        <v>0.15193525096912799</v>
      </c>
      <c r="CR95">
        <v>42.453338620503501</v>
      </c>
      <c r="CS95">
        <v>1.5269513073809899</v>
      </c>
      <c r="CT95">
        <v>0.15269513073809701</v>
      </c>
      <c r="CU95">
        <v>1.47000000000006E-2</v>
      </c>
      <c r="CV95">
        <v>2.1837340458875699E-3</v>
      </c>
      <c r="CW95">
        <v>2.2249989271760602</v>
      </c>
      <c r="CX95">
        <v>2.03000000000008E-2</v>
      </c>
      <c r="CY95">
        <v>6.2033736756015503E-3</v>
      </c>
      <c r="CZ95">
        <v>0</v>
      </c>
      <c r="DA95">
        <v>2.39999910000287E-3</v>
      </c>
      <c r="DB95">
        <v>1.49045339776973E-3</v>
      </c>
      <c r="DC95">
        <v>2.0000000000000798E-3</v>
      </c>
      <c r="DD95">
        <v>3.1662712124147E-3</v>
      </c>
      <c r="DE95">
        <v>8.7962883519287301E-4</v>
      </c>
      <c r="DF95">
        <v>2.3999991000000298E-3</v>
      </c>
      <c r="DG95">
        <v>0</v>
      </c>
      <c r="DH95">
        <v>0</v>
      </c>
      <c r="DI95">
        <v>0.23180769400001</v>
      </c>
      <c r="DJ95">
        <v>1.88461552000007E-2</v>
      </c>
      <c r="DK95">
        <v>2.5762965225201699</v>
      </c>
      <c r="DL95">
        <v>0.16816556935510299</v>
      </c>
      <c r="DM95">
        <v>55.768015072792998</v>
      </c>
      <c r="DN95">
        <v>242.94355694884999</v>
      </c>
      <c r="DO95">
        <v>327.66000000000003</v>
      </c>
      <c r="DP95">
        <v>28.933246470780901</v>
      </c>
      <c r="DQ95">
        <v>157.94999999999899</v>
      </c>
      <c r="DR95">
        <v>169.71</v>
      </c>
      <c r="DS95">
        <v>156.87396247664401</v>
      </c>
      <c r="DT95">
        <v>0</v>
      </c>
      <c r="DU95">
        <v>0</v>
      </c>
      <c r="DV95">
        <v>0</v>
      </c>
      <c r="DW95">
        <v>0</v>
      </c>
      <c r="DX95">
        <v>0</v>
      </c>
      <c r="DY95">
        <v>0</v>
      </c>
      <c r="DZ95">
        <v>0</v>
      </c>
      <c r="EA95">
        <v>0</v>
      </c>
      <c r="EB95">
        <v>0</v>
      </c>
      <c r="EC95">
        <v>0</v>
      </c>
      <c r="ED95">
        <v>0</v>
      </c>
      <c r="EE95">
        <v>0</v>
      </c>
      <c r="EF95">
        <v>1.24305531997455</v>
      </c>
      <c r="EG95">
        <v>0</v>
      </c>
      <c r="EH95">
        <v>0</v>
      </c>
      <c r="EI95">
        <v>0</v>
      </c>
      <c r="EJ95">
        <v>0</v>
      </c>
      <c r="EK95">
        <v>0</v>
      </c>
      <c r="EL95">
        <v>0</v>
      </c>
      <c r="EM95">
        <v>0</v>
      </c>
      <c r="EN95">
        <v>0</v>
      </c>
      <c r="EO95">
        <v>0</v>
      </c>
      <c r="EP95">
        <v>0</v>
      </c>
      <c r="EQ95">
        <v>0</v>
      </c>
      <c r="ER95">
        <v>0</v>
      </c>
      <c r="ES95">
        <v>0</v>
      </c>
      <c r="ET95">
        <v>0</v>
      </c>
      <c r="EU95">
        <v>0</v>
      </c>
      <c r="EV95">
        <v>849.645368938518</v>
      </c>
      <c r="EW95">
        <v>-28.649999999999899</v>
      </c>
      <c r="EX95">
        <v>1540.6803572405099</v>
      </c>
      <c r="EY95">
        <v>855.23007929448897</v>
      </c>
      <c r="EZ95">
        <v>85.839251746244898</v>
      </c>
      <c r="FA95">
        <v>698.68421913543898</v>
      </c>
      <c r="FB95">
        <v>756.15686035156205</v>
      </c>
      <c r="FC95">
        <v>0.37022469278155401</v>
      </c>
      <c r="FD95">
        <v>0.67518229486598003</v>
      </c>
      <c r="FE95">
        <v>0</v>
      </c>
      <c r="FF95">
        <v>1</v>
      </c>
      <c r="FG95" s="159">
        <v>5.9059762705075196E-13</v>
      </c>
      <c r="FH95">
        <v>0</v>
      </c>
      <c r="FI95">
        <v>5.4512674794765098E-5</v>
      </c>
      <c r="FJ95">
        <v>-4.8772611370930304E-3</v>
      </c>
      <c r="FK95" s="159">
        <v>6.57534000000779E-6</v>
      </c>
      <c r="FL95" s="159">
        <v>2.1739049360626899E-6</v>
      </c>
      <c r="FM95" s="159">
        <v>4.0832271569128601E-6</v>
      </c>
      <c r="FN95">
        <v>0</v>
      </c>
      <c r="FO95">
        <v>0</v>
      </c>
      <c r="FP95">
        <v>0</v>
      </c>
      <c r="FQ95">
        <v>0</v>
      </c>
      <c r="FR95">
        <v>0</v>
      </c>
      <c r="FS95">
        <v>0</v>
      </c>
      <c r="FT95">
        <v>0</v>
      </c>
      <c r="FU95">
        <v>0</v>
      </c>
      <c r="FV95">
        <v>-999</v>
      </c>
      <c r="FW95">
        <v>0.49516194786648698</v>
      </c>
      <c r="FX95">
        <v>3.2550453892292398E-3</v>
      </c>
      <c r="FY95">
        <v>1.24785103978141</v>
      </c>
      <c r="FZ95">
        <v>8.5735944417063997E-4</v>
      </c>
      <c r="GA95">
        <v>41.091992894350902</v>
      </c>
      <c r="GB95">
        <v>1.08272648827696E-2</v>
      </c>
      <c r="GC95">
        <v>2.9262878061539501E-3</v>
      </c>
      <c r="GD95">
        <v>0</v>
      </c>
      <c r="GE95">
        <v>7.0386926395538396E-3</v>
      </c>
      <c r="GF95">
        <v>0.34970917090645998</v>
      </c>
      <c r="GG95">
        <v>5.6250806970647505E-4</v>
      </c>
      <c r="GH95">
        <v>9.3688547648436999E-3</v>
      </c>
      <c r="GI95">
        <v>1.8404952951260101E-2</v>
      </c>
      <c r="GJ95">
        <v>9.0665368387493205E-4</v>
      </c>
      <c r="GK95">
        <v>1.76100637033992E-3</v>
      </c>
      <c r="GL95">
        <v>0.41344939940370501</v>
      </c>
      <c r="GM95">
        <v>6.9159887419371598E-3</v>
      </c>
      <c r="GN95">
        <v>5.7303386350371105E-4</v>
      </c>
      <c r="GO95">
        <v>0</v>
      </c>
      <c r="GP95">
        <v>0</v>
      </c>
      <c r="GQ95">
        <v>0</v>
      </c>
      <c r="GR95">
        <v>6.2507781118121705E-2</v>
      </c>
      <c r="GS95">
        <v>1.1606855764491699E-3</v>
      </c>
      <c r="GT95">
        <v>1.3020444713148399E-4</v>
      </c>
      <c r="GU95">
        <v>3.9598664635265401E-2</v>
      </c>
      <c r="GV95">
        <v>7.3529403966438403E-4</v>
      </c>
      <c r="GW95">
        <v>8.2484486631137505E-5</v>
      </c>
      <c r="GX95">
        <v>0.12741228619427</v>
      </c>
      <c r="GY95">
        <v>0.13799160444549</v>
      </c>
      <c r="GZ95">
        <v>58.929846835389</v>
      </c>
      <c r="HA95">
        <v>676.80780942085096</v>
      </c>
      <c r="HB95">
        <v>0</v>
      </c>
      <c r="HC95">
        <v>0.99981308228933496</v>
      </c>
      <c r="HD95">
        <v>0.43589905496019898</v>
      </c>
      <c r="HE95">
        <v>1.13202670809434E-2</v>
      </c>
      <c r="HF95">
        <v>9.8008167757244005E-4</v>
      </c>
      <c r="HG95">
        <v>1.3594566535464101E-2</v>
      </c>
      <c r="HH95" s="159">
        <v>4.76187848459947E-7</v>
      </c>
      <c r="HI95" s="159">
        <v>3.3333253975375999E-7</v>
      </c>
      <c r="HJ95">
        <v>0</v>
      </c>
      <c r="HK95">
        <v>0</v>
      </c>
      <c r="HL95">
        <v>0</v>
      </c>
      <c r="HM95">
        <v>0</v>
      </c>
      <c r="HN95">
        <v>0</v>
      </c>
      <c r="HO95">
        <v>1.2023763463316401E-2</v>
      </c>
      <c r="HP95">
        <v>0.57389065940568895</v>
      </c>
      <c r="HQ95">
        <v>1.13202670809434E-2</v>
      </c>
      <c r="HR95">
        <v>9.8008167757244005E-4</v>
      </c>
      <c r="HS95">
        <v>0.71222275718593397</v>
      </c>
      <c r="HT95">
        <v>-999</v>
      </c>
      <c r="HU95">
        <v>1</v>
      </c>
      <c r="HV95">
        <v>0.816954683951025</v>
      </c>
      <c r="HW95">
        <v>0.183045316048974</v>
      </c>
      <c r="HX95">
        <v>12552.902890188599</v>
      </c>
      <c r="HY95">
        <v>398.93532688636901</v>
      </c>
      <c r="HZ95">
        <v>40.276810945459403</v>
      </c>
      <c r="IA95">
        <v>-0.13799160444549</v>
      </c>
      <c r="IB95">
        <v>0</v>
      </c>
      <c r="IC95">
        <v>0</v>
      </c>
      <c r="ID95">
        <v>0</v>
      </c>
      <c r="IE95">
        <v>0</v>
      </c>
      <c r="IF95">
        <v>0</v>
      </c>
      <c r="IG95">
        <v>0</v>
      </c>
      <c r="IH95">
        <v>0</v>
      </c>
      <c r="II95">
        <v>46.337800049999601</v>
      </c>
      <c r="IJ95">
        <v>463.37800049999902</v>
      </c>
      <c r="IK95">
        <v>1.1092159826752299E-2</v>
      </c>
      <c r="IL95">
        <v>2.4460217374224899E-3</v>
      </c>
      <c r="IM95">
        <v>1.35381815641748E-2</v>
      </c>
      <c r="IN95">
        <v>8.1701849260351102E-4</v>
      </c>
      <c r="IO95">
        <v>0.42728148010316802</v>
      </c>
      <c r="IP95">
        <v>1.93821453901682E-2</v>
      </c>
      <c r="IQ95">
        <v>1.5392944242362901E-3</v>
      </c>
      <c r="IR95">
        <v>0.28918597770572002</v>
      </c>
      <c r="IS95">
        <v>0.22929933301282701</v>
      </c>
      <c r="IT95">
        <v>0.28872403747763797</v>
      </c>
      <c r="IU95">
        <v>0.30371766752398599</v>
      </c>
      <c r="IV95">
        <v>1.4937832379845001E-2</v>
      </c>
      <c r="IW95">
        <v>1.09486312320397E-3</v>
      </c>
      <c r="IX95">
        <v>7.4969791986536596E-2</v>
      </c>
      <c r="IY95">
        <v>2.6964951546269E-3</v>
      </c>
      <c r="IZ95">
        <v>2.69649515462688E-4</v>
      </c>
      <c r="JA95">
        <v>7.4979657227078694E-2</v>
      </c>
      <c r="JB95">
        <v>2.6968499851875299E-3</v>
      </c>
      <c r="JC95">
        <v>2.6968499851875099E-4</v>
      </c>
      <c r="JD95">
        <v>1.8772721756223201E-4</v>
      </c>
      <c r="JE95">
        <v>3.30225127410362E-3</v>
      </c>
      <c r="JF95" s="159">
        <v>-1.0316861297557299E-18</v>
      </c>
      <c r="JG95">
        <v>0</v>
      </c>
      <c r="JH95">
        <v>4.09650080085766E-3</v>
      </c>
      <c r="JI95">
        <v>5.4752962911921196E-4</v>
      </c>
      <c r="JJ95">
        <v>-0.51668892919655496</v>
      </c>
      <c r="JK95">
        <v>1.8772721756223201E-4</v>
      </c>
      <c r="JL95" s="159">
        <v>6.5753399999999896E-6</v>
      </c>
      <c r="JM95">
        <v>-0.51668892919655496</v>
      </c>
      <c r="JN95">
        <v>0</v>
      </c>
      <c r="JO95">
        <v>1.2172480405455499</v>
      </c>
      <c r="JP95">
        <v>-1.7478901079341101E-2</v>
      </c>
      <c r="JQ95">
        <v>1.2337278875854099E-3</v>
      </c>
      <c r="JR95">
        <v>1.5181507575491001E-2</v>
      </c>
      <c r="JS95">
        <v>1611.38696565275</v>
      </c>
      <c r="JT95">
        <v>4.2823547986112501E-2</v>
      </c>
      <c r="JU95">
        <v>0</v>
      </c>
      <c r="JV95">
        <v>365</v>
      </c>
      <c r="JW95">
        <v>0</v>
      </c>
      <c r="JX95">
        <v>-0.40268092994350901</v>
      </c>
      <c r="JY95">
        <v>0</v>
      </c>
      <c r="JZ95">
        <v>1.33369258002399</v>
      </c>
      <c r="KA95">
        <v>1.4094590866152801</v>
      </c>
      <c r="KB95">
        <v>1.4453889486209099</v>
      </c>
      <c r="KC95">
        <v>0</v>
      </c>
      <c r="KD95">
        <v>0</v>
      </c>
      <c r="KE95">
        <v>0</v>
      </c>
      <c r="KF95">
        <v>3.6161823271096899E-3</v>
      </c>
      <c r="KG95">
        <v>2.2954251836595999E-2</v>
      </c>
      <c r="KH95">
        <v>3.7243538019724298E-2</v>
      </c>
      <c r="KI95">
        <v>0</v>
      </c>
      <c r="KJ95">
        <v>0</v>
      </c>
      <c r="KK95">
        <v>0</v>
      </c>
      <c r="KL95">
        <v>0</v>
      </c>
      <c r="KM95">
        <v>0</v>
      </c>
      <c r="KN95">
        <v>0</v>
      </c>
      <c r="KO95">
        <v>0</v>
      </c>
      <c r="KP95">
        <v>0</v>
      </c>
      <c r="KQ95">
        <v>0</v>
      </c>
      <c r="KR95">
        <v>0</v>
      </c>
      <c r="KS95">
        <v>0</v>
      </c>
      <c r="KT95">
        <v>0</v>
      </c>
      <c r="KU95">
        <v>0.34999999999999898</v>
      </c>
      <c r="KV95">
        <v>-0.112405086947059</v>
      </c>
      <c r="KW95">
        <v>1.7858032811609299E-3</v>
      </c>
      <c r="KX95">
        <v>34934.210956771902</v>
      </c>
      <c r="KY95">
        <v>0</v>
      </c>
      <c r="KZ95">
        <v>0.21063837415221401</v>
      </c>
      <c r="LA95">
        <v>1.73602675993533E-5</v>
      </c>
      <c r="LB95">
        <v>0</v>
      </c>
      <c r="LC95">
        <v>-12.1262615840701</v>
      </c>
      <c r="LD95">
        <v>1.57235439092266E-2</v>
      </c>
      <c r="LE95">
        <v>3.4184376502137698E-3</v>
      </c>
      <c r="LF95">
        <v>1.57235439092266E-2</v>
      </c>
      <c r="LG95">
        <v>0.95618346891010497</v>
      </c>
      <c r="LH95">
        <v>1.24452666921602</v>
      </c>
      <c r="LI95">
        <v>0</v>
      </c>
      <c r="LJ95">
        <v>0</v>
      </c>
      <c r="LK95">
        <v>0.24477209688387899</v>
      </c>
      <c r="LL95">
        <v>0</v>
      </c>
      <c r="LM95">
        <v>0</v>
      </c>
      <c r="LN95">
        <v>0</v>
      </c>
      <c r="LO95">
        <v>0</v>
      </c>
      <c r="LP95">
        <v>0</v>
      </c>
      <c r="LQ95">
        <v>0</v>
      </c>
      <c r="LR95">
        <v>0</v>
      </c>
      <c r="LS95">
        <v>0</v>
      </c>
      <c r="LT95">
        <v>-999</v>
      </c>
      <c r="LU95">
        <v>0.42571000751101301</v>
      </c>
      <c r="LV95">
        <v>94</v>
      </c>
      <c r="LW95">
        <v>368.27999999999901</v>
      </c>
      <c r="LX95">
        <v>3.4409999999999901</v>
      </c>
      <c r="LY95">
        <v>0</v>
      </c>
      <c r="LZ95">
        <v>-999</v>
      </c>
      <c r="MA95">
        <v>0</v>
      </c>
      <c r="MB95">
        <v>0</v>
      </c>
      <c r="MC95">
        <v>768.27999999999895</v>
      </c>
      <c r="MD95">
        <v>-23.6999999999999</v>
      </c>
      <c r="ME95">
        <v>-33.6</v>
      </c>
      <c r="MF95">
        <v>0</v>
      </c>
      <c r="MG95">
        <v>8.0706896550000007</v>
      </c>
      <c r="MH95">
        <v>0</v>
      </c>
      <c r="MI95">
        <v>0</v>
      </c>
      <c r="MJ95">
        <v>0</v>
      </c>
      <c r="MK95">
        <v>0</v>
      </c>
      <c r="ML95">
        <v>0</v>
      </c>
      <c r="MM95">
        <v>0</v>
      </c>
      <c r="MN95">
        <v>0</v>
      </c>
      <c r="MO95">
        <v>0</v>
      </c>
      <c r="MP95">
        <v>0</v>
      </c>
      <c r="MQ95">
        <v>0</v>
      </c>
      <c r="MR95">
        <v>0</v>
      </c>
      <c r="MS95">
        <v>0</v>
      </c>
      <c r="MT95">
        <v>0</v>
      </c>
      <c r="MU95">
        <v>0</v>
      </c>
      <c r="MV95">
        <v>0</v>
      </c>
    </row>
    <row r="96" spans="1:360" x14ac:dyDescent="0.25">
      <c r="A96">
        <v>34675</v>
      </c>
      <c r="B96">
        <v>0</v>
      </c>
      <c r="C96">
        <v>-33.6</v>
      </c>
      <c r="D96">
        <v>-23.6999999999999</v>
      </c>
      <c r="E96">
        <v>400</v>
      </c>
      <c r="F96">
        <v>0</v>
      </c>
      <c r="G96">
        <v>0</v>
      </c>
      <c r="H96">
        <v>0</v>
      </c>
      <c r="I96">
        <v>0</v>
      </c>
      <c r="J96">
        <v>0</v>
      </c>
      <c r="K96">
        <v>0</v>
      </c>
      <c r="L96" s="159">
        <v>6.5753399999999896E-6</v>
      </c>
      <c r="M96">
        <v>0</v>
      </c>
      <c r="N96">
        <v>0</v>
      </c>
      <c r="O96">
        <v>0</v>
      </c>
      <c r="P96">
        <v>0</v>
      </c>
      <c r="Q96">
        <v>0</v>
      </c>
      <c r="R96">
        <v>0</v>
      </c>
      <c r="S96">
        <v>0</v>
      </c>
      <c r="T96">
        <v>0</v>
      </c>
      <c r="U96">
        <v>732.37416414460404</v>
      </c>
      <c r="V96">
        <v>14.4439724097049</v>
      </c>
      <c r="W96">
        <v>1.39779832828775</v>
      </c>
      <c r="X96">
        <v>0.27675191332315602</v>
      </c>
      <c r="Y96">
        <v>0.26587091257648798</v>
      </c>
      <c r="Z96">
        <v>0.457377174100355</v>
      </c>
      <c r="AA96">
        <v>0.11259755669879699</v>
      </c>
      <c r="AB96">
        <v>0.54774925823439602</v>
      </c>
      <c r="AC96">
        <v>0.33965318506680497</v>
      </c>
      <c r="AD96">
        <v>0.88444543559086597</v>
      </c>
      <c r="AE96">
        <v>3.7104975497279202E-2</v>
      </c>
      <c r="AF96">
        <v>7.8449588911854606E-2</v>
      </c>
      <c r="AG96">
        <v>0</v>
      </c>
      <c r="AH96">
        <v>3447.2812755297</v>
      </c>
      <c r="AI96">
        <v>78.679303991545297</v>
      </c>
      <c r="AJ96">
        <v>8.1599381739346502</v>
      </c>
      <c r="AK96">
        <v>419.78617072483399</v>
      </c>
      <c r="AL96">
        <v>7.7948656125292004</v>
      </c>
      <c r="AM96">
        <v>0.87441955697294604</v>
      </c>
      <c r="AN96">
        <v>8686.5050743606098</v>
      </c>
      <c r="AO96">
        <v>312.434091425274</v>
      </c>
      <c r="AP96">
        <v>31.243409142527199</v>
      </c>
      <c r="AQ96">
        <v>3.07195908319664E-2</v>
      </c>
      <c r="AR96">
        <v>6.42905790478129E-3</v>
      </c>
      <c r="AS96">
        <v>1.8050276712217699E-2</v>
      </c>
      <c r="AT96">
        <v>9.48</v>
      </c>
      <c r="AU96">
        <v>5.9608827062235701</v>
      </c>
      <c r="AV96">
        <v>0</v>
      </c>
      <c r="AW96">
        <v>85.680676875926395</v>
      </c>
      <c r="AX96">
        <v>66.775578536033706</v>
      </c>
      <c r="AY96">
        <v>361.41755882259702</v>
      </c>
      <c r="AZ96">
        <v>0.54833294000258304</v>
      </c>
      <c r="BA96">
        <v>0.85992340603840001</v>
      </c>
      <c r="BB96">
        <v>1.4296534233516499E-2</v>
      </c>
      <c r="BC96">
        <v>1.1986899260000099E-3</v>
      </c>
      <c r="BD96">
        <v>0.60394299956276098</v>
      </c>
      <c r="BE96">
        <v>9.3781089023455607E-3</v>
      </c>
      <c r="BF96">
        <v>7.6203157261949699E-4</v>
      </c>
      <c r="BG96">
        <v>766.29999847710098</v>
      </c>
      <c r="BH96">
        <v>-1626.59999865293</v>
      </c>
      <c r="BI96">
        <v>437.37532761174498</v>
      </c>
      <c r="BJ96">
        <v>214.06341375585001</v>
      </c>
      <c r="BK96">
        <v>3.5677537129039698</v>
      </c>
      <c r="BL96">
        <v>4.9207978544205702</v>
      </c>
      <c r="BM96">
        <v>195.75209759151701</v>
      </c>
      <c r="BN96">
        <v>22.681119563395399</v>
      </c>
      <c r="BO96">
        <v>218.433217154912</v>
      </c>
      <c r="BP96">
        <v>3.5473647534481598</v>
      </c>
      <c r="BQ96">
        <v>0.299130465519724</v>
      </c>
      <c r="BR96">
        <v>210.49566004294701</v>
      </c>
      <c r="BS96">
        <v>2.2003846594233698</v>
      </c>
      <c r="BT96">
        <v>0.29817453754437001</v>
      </c>
      <c r="BU96">
        <v>3.5569266571192402</v>
      </c>
      <c r="BV96">
        <v>1.7489390917796599</v>
      </c>
      <c r="BW96">
        <v>0.478042199279965</v>
      </c>
      <c r="BX96">
        <v>1.3299453660596099</v>
      </c>
      <c r="BY96">
        <v>0</v>
      </c>
      <c r="BZ96">
        <v>3.1262068133638001</v>
      </c>
      <c r="CA96">
        <v>0.42115794008436103</v>
      </c>
      <c r="CB96">
        <v>0.30006527224162499</v>
      </c>
      <c r="CC96">
        <v>0.25188542529834201</v>
      </c>
      <c r="CD96">
        <v>4.7245040221381901E-2</v>
      </c>
      <c r="CE96">
        <v>22.4379730732695</v>
      </c>
      <c r="CF96">
        <v>168.04285724055799</v>
      </c>
      <c r="CG96">
        <v>42.243987367931403</v>
      </c>
      <c r="CH96">
        <v>0.41664303619551801</v>
      </c>
      <c r="CI96">
        <v>7.4275663414328301</v>
      </c>
      <c r="CJ96">
        <v>1.7607746935142199</v>
      </c>
      <c r="CK96">
        <v>9.8617936591644604</v>
      </c>
      <c r="CL96">
        <v>1.51942141269651</v>
      </c>
      <c r="CM96">
        <v>0.10539115309234599</v>
      </c>
      <c r="CN96">
        <v>4.6738563207600399E-2</v>
      </c>
      <c r="CO96">
        <v>0.52499019477065201</v>
      </c>
      <c r="CP96">
        <v>0.67047152879442296</v>
      </c>
      <c r="CQ96">
        <v>0.15194214126965</v>
      </c>
      <c r="CR96">
        <v>42.452802802388597</v>
      </c>
      <c r="CS96">
        <v>1.5269320352059901</v>
      </c>
      <c r="CT96">
        <v>0.15269320352059801</v>
      </c>
      <c r="CU96">
        <v>1.47000000000041E-2</v>
      </c>
      <c r="CV96">
        <v>2.1854725628278802E-3</v>
      </c>
      <c r="CW96">
        <v>2.2247269544570401</v>
      </c>
      <c r="CX96">
        <v>2.0300000000005598E-2</v>
      </c>
      <c r="CY96">
        <v>6.2069610850405202E-3</v>
      </c>
      <c r="CZ96">
        <v>0</v>
      </c>
      <c r="DA96">
        <v>2.3999991000030001E-3</v>
      </c>
      <c r="DB96">
        <v>1.4903004513688099E-3</v>
      </c>
      <c r="DC96">
        <v>2.0000000000005499E-3</v>
      </c>
      <c r="DD96">
        <v>3.16156495663393E-3</v>
      </c>
      <c r="DE96">
        <v>8.77492159968936E-4</v>
      </c>
      <c r="DF96">
        <v>2.3999991000001599E-3</v>
      </c>
      <c r="DG96">
        <v>0</v>
      </c>
      <c r="DH96">
        <v>0</v>
      </c>
      <c r="DI96">
        <v>0.23180769400006401</v>
      </c>
      <c r="DJ96">
        <v>1.88461552000052E-2</v>
      </c>
      <c r="DK96">
        <v>2.5789365250150902</v>
      </c>
      <c r="DL96">
        <v>0.16833789327774701</v>
      </c>
      <c r="DM96">
        <v>55.509894090085801</v>
      </c>
      <c r="DN96">
        <v>243.21912211656999</v>
      </c>
      <c r="DO96">
        <v>327.66000000000003</v>
      </c>
      <c r="DP96">
        <v>28.9161826998292</v>
      </c>
      <c r="DQ96">
        <v>157.94999999999899</v>
      </c>
      <c r="DR96">
        <v>169.71</v>
      </c>
      <c r="DS96">
        <v>156.88572231397501</v>
      </c>
      <c r="DT96">
        <v>0</v>
      </c>
      <c r="DU96">
        <v>0</v>
      </c>
      <c r="DV96">
        <v>0</v>
      </c>
      <c r="DW96">
        <v>0</v>
      </c>
      <c r="DX96">
        <v>0</v>
      </c>
      <c r="DY96">
        <v>0</v>
      </c>
      <c r="DZ96">
        <v>0</v>
      </c>
      <c r="EA96">
        <v>0</v>
      </c>
      <c r="EB96">
        <v>0</v>
      </c>
      <c r="EC96">
        <v>0</v>
      </c>
      <c r="ED96">
        <v>0</v>
      </c>
      <c r="EE96">
        <v>0</v>
      </c>
      <c r="EF96">
        <v>1.2426240398539801</v>
      </c>
      <c r="EG96">
        <v>0</v>
      </c>
      <c r="EH96">
        <v>0</v>
      </c>
      <c r="EI96">
        <v>0</v>
      </c>
      <c r="EJ96">
        <v>0</v>
      </c>
      <c r="EK96">
        <v>0</v>
      </c>
      <c r="EL96">
        <v>0</v>
      </c>
      <c r="EM96">
        <v>0</v>
      </c>
      <c r="EN96">
        <v>0</v>
      </c>
      <c r="EO96">
        <v>0</v>
      </c>
      <c r="EP96">
        <v>0</v>
      </c>
      <c r="EQ96">
        <v>0</v>
      </c>
      <c r="ER96">
        <v>0</v>
      </c>
      <c r="ES96">
        <v>0</v>
      </c>
      <c r="ET96">
        <v>0</v>
      </c>
      <c r="EU96">
        <v>0</v>
      </c>
      <c r="EV96">
        <v>850.23094384416095</v>
      </c>
      <c r="EW96">
        <v>-28.649999999999899</v>
      </c>
      <c r="EX96">
        <v>1541.84034556758</v>
      </c>
      <c r="EY96">
        <v>855.56821625137604</v>
      </c>
      <c r="EZ96">
        <v>85.735699988908905</v>
      </c>
      <c r="FA96">
        <v>699.211204417462</v>
      </c>
      <c r="FB96">
        <v>756.89343261718705</v>
      </c>
      <c r="FC96">
        <v>0.36977807405216401</v>
      </c>
      <c r="FD96">
        <v>0.67436779203967101</v>
      </c>
      <c r="FE96">
        <v>0</v>
      </c>
      <c r="FF96">
        <v>1</v>
      </c>
      <c r="FG96" s="159">
        <v>5.9059762705075196E-13</v>
      </c>
      <c r="FH96">
        <v>0</v>
      </c>
      <c r="FI96">
        <v>5.4512674794765098E-5</v>
      </c>
      <c r="FJ96">
        <v>-4.8721960031950003E-3</v>
      </c>
      <c r="FK96" s="159">
        <v>6.57534000000779E-6</v>
      </c>
      <c r="FL96" s="159">
        <v>2.1691349481812098E-6</v>
      </c>
      <c r="FM96" s="159">
        <v>4.0828074240704197E-6</v>
      </c>
      <c r="FN96">
        <v>0</v>
      </c>
      <c r="FO96">
        <v>0</v>
      </c>
      <c r="FP96">
        <v>0</v>
      </c>
      <c r="FQ96">
        <v>0</v>
      </c>
      <c r="FR96">
        <v>0</v>
      </c>
      <c r="FS96">
        <v>0</v>
      </c>
      <c r="FT96">
        <v>0</v>
      </c>
      <c r="FU96">
        <v>0</v>
      </c>
      <c r="FV96">
        <v>-999</v>
      </c>
      <c r="FW96">
        <v>0.49528716657383898</v>
      </c>
      <c r="FX96">
        <v>3.2556536007112202E-3</v>
      </c>
      <c r="FY96">
        <v>1.2484195018298201</v>
      </c>
      <c r="FZ96">
        <v>8.5544356924774703E-4</v>
      </c>
      <c r="GA96">
        <v>41.066849118618599</v>
      </c>
      <c r="GB96">
        <v>1.08341986417788E-2</v>
      </c>
      <c r="GC96">
        <v>2.92816179507537E-3</v>
      </c>
      <c r="GD96">
        <v>0</v>
      </c>
      <c r="GE96">
        <v>7.0392589650343403E-3</v>
      </c>
      <c r="GF96">
        <v>0.34894183813141799</v>
      </c>
      <c r="GG96">
        <v>5.6258830898331001E-4</v>
      </c>
      <c r="GH96">
        <v>9.3680078169103807E-3</v>
      </c>
      <c r="GI96">
        <v>1.8403365158075499E-2</v>
      </c>
      <c r="GJ96">
        <v>9.0657786476147401E-4</v>
      </c>
      <c r="GK96">
        <v>1.7609000144672201E-3</v>
      </c>
      <c r="GL96">
        <v>0.41373350385556101</v>
      </c>
      <c r="GM96">
        <v>6.9207507458292098E-3</v>
      </c>
      <c r="GN96">
        <v>5.7342914807610203E-4</v>
      </c>
      <c r="GO96">
        <v>0</v>
      </c>
      <c r="GP96">
        <v>0</v>
      </c>
      <c r="GQ96">
        <v>0</v>
      </c>
      <c r="GR96">
        <v>6.2538218117092897E-2</v>
      </c>
      <c r="GS96">
        <v>1.1612507506573099E-3</v>
      </c>
      <c r="GT96">
        <v>1.3026784776021399E-4</v>
      </c>
      <c r="GU96">
        <v>3.9621685292066798E-2</v>
      </c>
      <c r="GV96">
        <v>7.3572150235513703E-4</v>
      </c>
      <c r="GW96">
        <v>8.2532438931440106E-5</v>
      </c>
      <c r="GX96">
        <v>0.12750658688424499</v>
      </c>
      <c r="GY96">
        <v>0.13808750376489201</v>
      </c>
      <c r="GZ96">
        <v>58.9299225173</v>
      </c>
      <c r="HA96">
        <v>676.81363540087898</v>
      </c>
      <c r="HB96">
        <v>0</v>
      </c>
      <c r="HC96">
        <v>0.99981308291805604</v>
      </c>
      <c r="HD96">
        <v>0.43618413975016801</v>
      </c>
      <c r="HE96">
        <v>1.1327757050605999E-2</v>
      </c>
      <c r="HF96">
        <v>9.8073232517508391E-4</v>
      </c>
      <c r="HG96">
        <v>1.3604184336206001E-2</v>
      </c>
      <c r="HH96" s="159">
        <v>4.76187850802944E-7</v>
      </c>
      <c r="HI96" s="159">
        <v>3.3333253961698301E-7</v>
      </c>
      <c r="HJ96">
        <v>0</v>
      </c>
      <c r="HK96">
        <v>0</v>
      </c>
      <c r="HL96">
        <v>0</v>
      </c>
      <c r="HM96">
        <v>0</v>
      </c>
      <c r="HN96">
        <v>0</v>
      </c>
      <c r="HO96">
        <v>1.2032202559833401E-2</v>
      </c>
      <c r="HP96">
        <v>0.57427164351505999</v>
      </c>
      <c r="HQ96">
        <v>1.1327757050605999E-2</v>
      </c>
      <c r="HR96">
        <v>9.8073232517508391E-4</v>
      </c>
      <c r="HS96">
        <v>0.71207694865569904</v>
      </c>
      <c r="HT96">
        <v>-999</v>
      </c>
      <c r="HU96">
        <v>0.999999999999999</v>
      </c>
      <c r="HV96">
        <v>0.81724775551038598</v>
      </c>
      <c r="HW96">
        <v>0.182752244489613</v>
      </c>
      <c r="HX96">
        <v>12553.5725206151</v>
      </c>
      <c r="HY96">
        <v>398.90826102934898</v>
      </c>
      <c r="HZ96">
        <v>40.2777668734348</v>
      </c>
      <c r="IA96">
        <v>-0.13808750376489201</v>
      </c>
      <c r="IB96">
        <v>0</v>
      </c>
      <c r="IC96">
        <v>0</v>
      </c>
      <c r="ID96">
        <v>0</v>
      </c>
      <c r="IE96">
        <v>0</v>
      </c>
      <c r="IF96">
        <v>0</v>
      </c>
      <c r="IG96">
        <v>0</v>
      </c>
      <c r="IH96">
        <v>0</v>
      </c>
      <c r="II96">
        <v>46.337800049999601</v>
      </c>
      <c r="IJ96">
        <v>463.37800049999902</v>
      </c>
      <c r="IK96">
        <v>1.1102443300013001E-2</v>
      </c>
      <c r="IL96">
        <v>2.4487644046017601E-3</v>
      </c>
      <c r="IM96">
        <v>1.35512077046148E-2</v>
      </c>
      <c r="IN96">
        <v>8.1543857858928795E-4</v>
      </c>
      <c r="IO96">
        <v>0.42736100648615799</v>
      </c>
      <c r="IP96">
        <v>1.9393738898475701E-2</v>
      </c>
      <c r="IQ96">
        <v>1.5378220876146799E-3</v>
      </c>
      <c r="IR96">
        <v>0.28911780480809801</v>
      </c>
      <c r="IS96">
        <v>0.229150877848594</v>
      </c>
      <c r="IT96">
        <v>0.28898611413790698</v>
      </c>
      <c r="IU96">
        <v>0.3038033304303</v>
      </c>
      <c r="IV96">
        <v>1.49496466051235E-2</v>
      </c>
      <c r="IW96">
        <v>1.0934128582794601E-3</v>
      </c>
      <c r="IX96">
        <v>7.4971843015478296E-2</v>
      </c>
      <c r="IY96">
        <v>2.6965689255345798E-3</v>
      </c>
      <c r="IZ96">
        <v>2.6965689255345601E-4</v>
      </c>
      <c r="JA96">
        <v>7.4977989601849399E-2</v>
      </c>
      <c r="JB96">
        <v>2.6967900044508699E-3</v>
      </c>
      <c r="JC96">
        <v>2.6967900044508499E-4</v>
      </c>
      <c r="JD96">
        <v>1.8801428886005799E-4</v>
      </c>
      <c r="JE96">
        <v>3.3030864318554102E-3</v>
      </c>
      <c r="JF96" s="159">
        <v>-7.19978005166155E-19</v>
      </c>
      <c r="JG96">
        <v>0</v>
      </c>
      <c r="JH96">
        <v>4.09522890495963E-3</v>
      </c>
      <c r="JI96">
        <v>5.4765328013526497E-4</v>
      </c>
      <c r="JJ96">
        <v>-0.51686882379704202</v>
      </c>
      <c r="JK96">
        <v>1.8801428886005799E-4</v>
      </c>
      <c r="JL96" s="159">
        <v>6.5753399999999896E-6</v>
      </c>
      <c r="JM96">
        <v>-0.51686882379704202</v>
      </c>
      <c r="JN96">
        <v>0</v>
      </c>
      <c r="JO96">
        <v>1.2206248818882599</v>
      </c>
      <c r="JP96">
        <v>-1.74930186332551E-2</v>
      </c>
      <c r="JQ96">
        <v>1.2384341433667801E-3</v>
      </c>
      <c r="JR96">
        <v>1.48010935138955E-2</v>
      </c>
      <c r="JS96">
        <v>1612.46165741203</v>
      </c>
      <c r="JT96">
        <v>4.2771888010528898E-2</v>
      </c>
      <c r="JU96">
        <v>0</v>
      </c>
      <c r="JV96">
        <v>365</v>
      </c>
      <c r="JW96">
        <v>0</v>
      </c>
      <c r="JX96">
        <v>-0.40268092994350901</v>
      </c>
      <c r="JY96">
        <v>0</v>
      </c>
      <c r="JZ96">
        <v>1.33391877820382</v>
      </c>
      <c r="KA96">
        <v>1.4095744026058901</v>
      </c>
      <c r="KB96">
        <v>1.4456199865850501</v>
      </c>
      <c r="KC96">
        <v>0</v>
      </c>
      <c r="KD96">
        <v>0</v>
      </c>
      <c r="KE96">
        <v>0</v>
      </c>
      <c r="KF96">
        <v>3.61695690432586E-3</v>
      </c>
      <c r="KG96">
        <v>2.2963412322204599E-2</v>
      </c>
      <c r="KH96">
        <v>3.7218764812197297E-2</v>
      </c>
      <c r="KI96">
        <v>0</v>
      </c>
      <c r="KJ96">
        <v>0</v>
      </c>
      <c r="KK96">
        <v>0</v>
      </c>
      <c r="KL96">
        <v>0</v>
      </c>
      <c r="KM96">
        <v>0</v>
      </c>
      <c r="KN96">
        <v>0</v>
      </c>
      <c r="KO96">
        <v>0</v>
      </c>
      <c r="KP96">
        <v>0</v>
      </c>
      <c r="KQ96">
        <v>0</v>
      </c>
      <c r="KR96">
        <v>0</v>
      </c>
      <c r="KS96">
        <v>0</v>
      </c>
      <c r="KT96">
        <v>0</v>
      </c>
      <c r="KU96">
        <v>0.34999999999999898</v>
      </c>
      <c r="KV96">
        <v>-0.11235950864356101</v>
      </c>
      <c r="KW96">
        <v>1.7851301873743101E-3</v>
      </c>
      <c r="KX96">
        <v>34960.5602208731</v>
      </c>
      <c r="KY96">
        <v>0</v>
      </c>
      <c r="KZ96">
        <v>0.210645778027476</v>
      </c>
      <c r="LA96">
        <v>1.73602675993533E-5</v>
      </c>
      <c r="LB96">
        <v>0</v>
      </c>
      <c r="LC96">
        <v>-12.126018293122399</v>
      </c>
      <c r="LD96">
        <v>1.5723666840661399E-2</v>
      </c>
      <c r="LE96">
        <v>3.4185536232655498E-3</v>
      </c>
      <c r="LF96">
        <v>1.5723666840661399E-2</v>
      </c>
      <c r="LG96">
        <v>0.95628717062445701</v>
      </c>
      <c r="LH96">
        <v>1.2446445120732399</v>
      </c>
      <c r="LI96">
        <v>0</v>
      </c>
      <c r="LJ96">
        <v>0</v>
      </c>
      <c r="LK96">
        <v>0.24480193393121799</v>
      </c>
      <c r="LL96">
        <v>0</v>
      </c>
      <c r="LM96">
        <v>0</v>
      </c>
      <c r="LN96">
        <v>0</v>
      </c>
      <c r="LO96">
        <v>0</v>
      </c>
      <c r="LP96">
        <v>0</v>
      </c>
      <c r="LQ96">
        <v>0</v>
      </c>
      <c r="LR96">
        <v>0</v>
      </c>
      <c r="LS96">
        <v>0</v>
      </c>
      <c r="LT96">
        <v>-999</v>
      </c>
      <c r="LU96">
        <v>0.42571077272123697</v>
      </c>
      <c r="LV96">
        <v>95</v>
      </c>
      <c r="LW96">
        <v>372.24</v>
      </c>
      <c r="LX96">
        <v>3.47799999999999</v>
      </c>
      <c r="LY96">
        <v>0</v>
      </c>
      <c r="LZ96">
        <v>-999</v>
      </c>
      <c r="MA96">
        <v>0</v>
      </c>
      <c r="MB96">
        <v>0</v>
      </c>
      <c r="MC96">
        <v>772.24</v>
      </c>
      <c r="MD96">
        <v>-23.6999999999999</v>
      </c>
      <c r="ME96">
        <v>-33.6</v>
      </c>
      <c r="MF96">
        <v>0</v>
      </c>
      <c r="MG96">
        <v>8.0706896550000007</v>
      </c>
      <c r="MH96">
        <v>0</v>
      </c>
      <c r="MI96">
        <v>0</v>
      </c>
      <c r="MJ96">
        <v>0</v>
      </c>
      <c r="MK96">
        <v>0</v>
      </c>
      <c r="ML96">
        <v>0</v>
      </c>
      <c r="MM96">
        <v>0</v>
      </c>
      <c r="MN96">
        <v>0</v>
      </c>
      <c r="MO96">
        <v>0</v>
      </c>
      <c r="MP96">
        <v>0</v>
      </c>
      <c r="MQ96">
        <v>0</v>
      </c>
      <c r="MR96">
        <v>0</v>
      </c>
      <c r="MS96">
        <v>0</v>
      </c>
      <c r="MT96">
        <v>0</v>
      </c>
      <c r="MU96">
        <v>0</v>
      </c>
      <c r="MV96">
        <v>0</v>
      </c>
    </row>
    <row r="97" spans="1:360" x14ac:dyDescent="0.25">
      <c r="A97">
        <v>35040</v>
      </c>
      <c r="B97">
        <v>0</v>
      </c>
      <c r="C97">
        <v>-33.6</v>
      </c>
      <c r="D97">
        <v>-23.6999999999999</v>
      </c>
      <c r="E97">
        <v>400</v>
      </c>
      <c r="F97">
        <v>0</v>
      </c>
      <c r="G97">
        <v>0</v>
      </c>
      <c r="H97">
        <v>0</v>
      </c>
      <c r="I97">
        <v>0</v>
      </c>
      <c r="J97">
        <v>0</v>
      </c>
      <c r="K97">
        <v>0</v>
      </c>
      <c r="L97" s="159">
        <v>6.5753399999999896E-6</v>
      </c>
      <c r="M97">
        <v>0</v>
      </c>
      <c r="N97">
        <v>0</v>
      </c>
      <c r="O97">
        <v>0</v>
      </c>
      <c r="P97">
        <v>0</v>
      </c>
      <c r="Q97">
        <v>0</v>
      </c>
      <c r="R97">
        <v>0</v>
      </c>
      <c r="S97">
        <v>0</v>
      </c>
      <c r="T97">
        <v>0</v>
      </c>
      <c r="U97">
        <v>732.92031664133401</v>
      </c>
      <c r="V97">
        <v>14.453479032492901</v>
      </c>
      <c r="W97">
        <v>1.3987267115481901</v>
      </c>
      <c r="X97">
        <v>0.27601560257129298</v>
      </c>
      <c r="Y97">
        <v>0.26574278756598002</v>
      </c>
      <c r="Z97">
        <v>0.458241609862726</v>
      </c>
      <c r="AA97">
        <v>0.112604976576273</v>
      </c>
      <c r="AB97">
        <v>0.548447742476454</v>
      </c>
      <c r="AC97">
        <v>0.338947280947272</v>
      </c>
      <c r="AD97">
        <v>0.88444026929321695</v>
      </c>
      <c r="AE97">
        <v>3.7007498395749003E-2</v>
      </c>
      <c r="AF97">
        <v>7.8552232311032893E-2</v>
      </c>
      <c r="AG97">
        <v>0</v>
      </c>
      <c r="AH97">
        <v>3447.9149446751098</v>
      </c>
      <c r="AI97">
        <v>78.655223703560907</v>
      </c>
      <c r="AJ97">
        <v>8.1611463555412591</v>
      </c>
      <c r="AK97">
        <v>420.02735133406202</v>
      </c>
      <c r="AL97">
        <v>7.7993440126490299</v>
      </c>
      <c r="AM97">
        <v>0.87492193903357196</v>
      </c>
      <c r="AN97">
        <v>8686.2987413640094</v>
      </c>
      <c r="AO97">
        <v>312.42667009048301</v>
      </c>
      <c r="AP97">
        <v>31.242667009048098</v>
      </c>
      <c r="AQ97">
        <v>3.0727173524552301E-2</v>
      </c>
      <c r="AR97">
        <v>6.4320986130067303E-3</v>
      </c>
      <c r="AS97">
        <v>1.8011339401900299E-2</v>
      </c>
      <c r="AT97">
        <v>9.48</v>
      </c>
      <c r="AU97">
        <v>5.9602679384987196</v>
      </c>
      <c r="AV97">
        <v>0</v>
      </c>
      <c r="AW97">
        <v>85.691073719442102</v>
      </c>
      <c r="AX97">
        <v>66.779971350460201</v>
      </c>
      <c r="AY97">
        <v>361.41652986864301</v>
      </c>
      <c r="AZ97">
        <v>0.54833294000258304</v>
      </c>
      <c r="BA97">
        <v>0.86030941948328798</v>
      </c>
      <c r="BB97">
        <v>1.4301342949547199E-2</v>
      </c>
      <c r="BC97">
        <v>1.19914615291627E-3</v>
      </c>
      <c r="BD97">
        <v>0.60407602241003</v>
      </c>
      <c r="BE97">
        <v>9.3804367322217596E-3</v>
      </c>
      <c r="BF97">
        <v>7.6217607827805899E-4</v>
      </c>
      <c r="BG97">
        <v>766.29999847710098</v>
      </c>
      <c r="BH97">
        <v>-1626.59999865293</v>
      </c>
      <c r="BI97">
        <v>437.55437111225598</v>
      </c>
      <c r="BJ97">
        <v>214.11928417254899</v>
      </c>
      <c r="BK97">
        <v>3.56442814949683</v>
      </c>
      <c r="BL97">
        <v>4.9266627843063402</v>
      </c>
      <c r="BM97">
        <v>195.80739133643101</v>
      </c>
      <c r="BN97">
        <v>22.692403123693101</v>
      </c>
      <c r="BO97">
        <v>218.49979446012401</v>
      </c>
      <c r="BP97">
        <v>3.54861633469323</v>
      </c>
      <c r="BQ97">
        <v>0.29924752186759501</v>
      </c>
      <c r="BR97">
        <v>210.554856023051</v>
      </c>
      <c r="BS97">
        <v>2.2000005246246901</v>
      </c>
      <c r="BT97">
        <v>0.29827909167952099</v>
      </c>
      <c r="BU97">
        <v>3.5581229574812201</v>
      </c>
      <c r="BV97">
        <v>1.7496650136132299</v>
      </c>
      <c r="BW97">
        <v>0.47692746162301702</v>
      </c>
      <c r="BX97">
        <v>1.3315304822449501</v>
      </c>
      <c r="BY97">
        <v>0</v>
      </c>
      <c r="BZ97">
        <v>3.12724887404271</v>
      </c>
      <c r="CA97">
        <v>0.42136746065050901</v>
      </c>
      <c r="CB97">
        <v>0.300175905128028</v>
      </c>
      <c r="CC97">
        <v>0.25197897785670098</v>
      </c>
      <c r="CD97">
        <v>4.7268544010893497E-2</v>
      </c>
      <c r="CE97">
        <v>22.451222514466401</v>
      </c>
      <c r="CF97">
        <v>168.10250592828501</v>
      </c>
      <c r="CG97">
        <v>42.2460170981632</v>
      </c>
      <c r="CH97">
        <v>0.41688906053069902</v>
      </c>
      <c r="CI97">
        <v>7.4315666461186503</v>
      </c>
      <c r="CJ97">
        <v>1.76156481350515</v>
      </c>
      <c r="CK97">
        <v>9.8662162319196103</v>
      </c>
      <c r="CL97">
        <v>1.5194944175373899</v>
      </c>
      <c r="CM97">
        <v>0.105554862775548</v>
      </c>
      <c r="CN97">
        <v>4.6766161950268698E-2</v>
      </c>
      <c r="CO97">
        <v>0.52383850679857602</v>
      </c>
      <c r="CP97">
        <v>0.66942602324521205</v>
      </c>
      <c r="CQ97">
        <v>0.15194944175373801</v>
      </c>
      <c r="CR97">
        <v>42.452350094766302</v>
      </c>
      <c r="CS97">
        <v>1.5269157523288801</v>
      </c>
      <c r="CT97">
        <v>0.15269157523288701</v>
      </c>
      <c r="CU97">
        <v>1.47000000000026E-2</v>
      </c>
      <c r="CV97">
        <v>2.1871361875148401E-3</v>
      </c>
      <c r="CW97">
        <v>2.2244056056365098</v>
      </c>
      <c r="CX97">
        <v>2.03000000000036E-2</v>
      </c>
      <c r="CY97">
        <v>6.2102898001204698E-3</v>
      </c>
      <c r="CZ97">
        <v>0</v>
      </c>
      <c r="DA97">
        <v>2.3999991000028201E-3</v>
      </c>
      <c r="DB97">
        <v>1.4901470120508499E-3</v>
      </c>
      <c r="DC97">
        <v>2.00000000000035E-3</v>
      </c>
      <c r="DD97">
        <v>3.15689068664338E-3</v>
      </c>
      <c r="DE97">
        <v>8.7537928722120496E-4</v>
      </c>
      <c r="DF97">
        <v>2.39999909999997E-3</v>
      </c>
      <c r="DG97">
        <v>0</v>
      </c>
      <c r="DH97">
        <v>0</v>
      </c>
      <c r="DI97">
        <v>0.231807694000041</v>
      </c>
      <c r="DJ97">
        <v>1.8846155200003298E-2</v>
      </c>
      <c r="DK97">
        <v>2.58156658873565</v>
      </c>
      <c r="DL97">
        <v>0.16850956845532999</v>
      </c>
      <c r="DM97">
        <v>55.252769900451398</v>
      </c>
      <c r="DN97">
        <v>243.49378370563301</v>
      </c>
      <c r="DO97">
        <v>327.66000000000003</v>
      </c>
      <c r="DP97">
        <v>28.8986619528205</v>
      </c>
      <c r="DQ97">
        <v>157.94999999999899</v>
      </c>
      <c r="DR97">
        <v>169.71</v>
      </c>
      <c r="DS97">
        <v>156.897465221407</v>
      </c>
      <c r="DT97">
        <v>0</v>
      </c>
      <c r="DU97">
        <v>0</v>
      </c>
      <c r="DV97">
        <v>0</v>
      </c>
      <c r="DW97">
        <v>0</v>
      </c>
      <c r="DX97">
        <v>0</v>
      </c>
      <c r="DY97">
        <v>0</v>
      </c>
      <c r="DZ97">
        <v>0</v>
      </c>
      <c r="EA97">
        <v>0</v>
      </c>
      <c r="EB97">
        <v>0</v>
      </c>
      <c r="EC97">
        <v>0</v>
      </c>
      <c r="ED97">
        <v>0</v>
      </c>
      <c r="EE97">
        <v>0</v>
      </c>
      <c r="EF97">
        <v>1.2421655976208501</v>
      </c>
      <c r="EG97">
        <v>0</v>
      </c>
      <c r="EH97">
        <v>0</v>
      </c>
      <c r="EI97">
        <v>0</v>
      </c>
      <c r="EJ97">
        <v>0</v>
      </c>
      <c r="EK97">
        <v>0</v>
      </c>
      <c r="EL97">
        <v>0</v>
      </c>
      <c r="EM97">
        <v>0</v>
      </c>
      <c r="EN97">
        <v>0</v>
      </c>
      <c r="EO97">
        <v>0</v>
      </c>
      <c r="EP97">
        <v>0</v>
      </c>
      <c r="EQ97">
        <v>0</v>
      </c>
      <c r="ER97">
        <v>0</v>
      </c>
      <c r="ES97">
        <v>0</v>
      </c>
      <c r="ET97">
        <v>0</v>
      </c>
      <c r="EU97">
        <v>0</v>
      </c>
      <c r="EV97">
        <v>850.81110730561602</v>
      </c>
      <c r="EW97">
        <v>-28.649999999999899</v>
      </c>
      <c r="EX97">
        <v>1542.9901402975399</v>
      </c>
      <c r="EY97">
        <v>855.90306175708702</v>
      </c>
      <c r="EZ97">
        <v>85.632504174615505</v>
      </c>
      <c r="FA97">
        <v>699.73424911159498</v>
      </c>
      <c r="FB97">
        <v>757.62341308593705</v>
      </c>
      <c r="FC97">
        <v>0.36933299050511598</v>
      </c>
      <c r="FD97">
        <v>0.67355608894000796</v>
      </c>
      <c r="FE97">
        <v>0</v>
      </c>
      <c r="FF97">
        <v>1</v>
      </c>
      <c r="FG97" s="159">
        <v>5.9059762705075196E-13</v>
      </c>
      <c r="FH97">
        <v>0</v>
      </c>
      <c r="FI97">
        <v>5.4512674794765098E-5</v>
      </c>
      <c r="FJ97">
        <v>-4.8671590780121699E-3</v>
      </c>
      <c r="FK97" s="159">
        <v>6.57534000000779E-6</v>
      </c>
      <c r="FL97" s="159">
        <v>2.16443196199059E-6</v>
      </c>
      <c r="FM97" s="159">
        <v>4.0823863491466498E-6</v>
      </c>
      <c r="FN97">
        <v>0</v>
      </c>
      <c r="FO97">
        <v>0</v>
      </c>
      <c r="FP97">
        <v>0</v>
      </c>
      <c r="FQ97">
        <v>0</v>
      </c>
      <c r="FR97">
        <v>0</v>
      </c>
      <c r="FS97">
        <v>0</v>
      </c>
      <c r="FT97">
        <v>0</v>
      </c>
      <c r="FU97">
        <v>0</v>
      </c>
      <c r="FV97">
        <v>-999</v>
      </c>
      <c r="FW97">
        <v>0.49540833337740697</v>
      </c>
      <c r="FX97">
        <v>3.2562563847094799E-3</v>
      </c>
      <c r="FY97">
        <v>1.24897642775858</v>
      </c>
      <c r="FZ97">
        <v>8.5352186002637801E-4</v>
      </c>
      <c r="GA97">
        <v>41.041755090320997</v>
      </c>
      <c r="GB97">
        <v>1.08412457346963E-2</v>
      </c>
      <c r="GC97">
        <v>2.9300664147828E-3</v>
      </c>
      <c r="GD97">
        <v>0</v>
      </c>
      <c r="GE97">
        <v>7.0398446595186697E-3</v>
      </c>
      <c r="GF97">
        <v>0.348185283705222</v>
      </c>
      <c r="GG97">
        <v>5.6266851214272797E-4</v>
      </c>
      <c r="GH97">
        <v>9.3671881984325293E-3</v>
      </c>
      <c r="GI97">
        <v>1.8401787563458699E-2</v>
      </c>
      <c r="GJ97">
        <v>9.06503985358236E-4</v>
      </c>
      <c r="GK97">
        <v>1.7607941084430299E-3</v>
      </c>
      <c r="GL97">
        <v>0.41401530558538502</v>
      </c>
      <c r="GM97">
        <v>6.9254901347189099E-3</v>
      </c>
      <c r="GN97">
        <v>5.7382216101503798E-4</v>
      </c>
      <c r="GO97">
        <v>0</v>
      </c>
      <c r="GP97">
        <v>0</v>
      </c>
      <c r="GQ97">
        <v>0</v>
      </c>
      <c r="GR97">
        <v>6.2568368118404202E-2</v>
      </c>
      <c r="GS97">
        <v>1.16181059570422E-3</v>
      </c>
      <c r="GT97">
        <v>1.30330650569425E-4</v>
      </c>
      <c r="GU97">
        <v>3.9644524001338E-2</v>
      </c>
      <c r="GV97">
        <v>7.36145586524526E-4</v>
      </c>
      <c r="GW97">
        <v>8.2580012232886103E-5</v>
      </c>
      <c r="GX97">
        <v>0.127600419568559</v>
      </c>
      <c r="GY97">
        <v>0.13818301471896299</v>
      </c>
      <c r="GZ97">
        <v>58.929881500629399</v>
      </c>
      <c r="HA97">
        <v>676.81853407841299</v>
      </c>
      <c r="HB97">
        <v>0</v>
      </c>
      <c r="HC97">
        <v>0.99981308357435295</v>
      </c>
      <c r="HD97">
        <v>0.43646731193687799</v>
      </c>
      <c r="HE97">
        <v>1.1335194494008501E-2</v>
      </c>
      <c r="HF97">
        <v>9.8137806563999711E-4</v>
      </c>
      <c r="HG97">
        <v>1.3613634753193301E-2</v>
      </c>
      <c r="HH97" s="159">
        <v>4.76187853108506E-7</v>
      </c>
      <c r="HI97" s="159">
        <v>3.3333253947756499E-7</v>
      </c>
      <c r="HJ97">
        <v>0</v>
      </c>
      <c r="HK97">
        <v>0</v>
      </c>
      <c r="HL97">
        <v>0</v>
      </c>
      <c r="HM97">
        <v>0</v>
      </c>
      <c r="HN97">
        <v>0</v>
      </c>
      <c r="HO97">
        <v>1.2040490593710099E-2</v>
      </c>
      <c r="HP97">
        <v>0.57465032665584104</v>
      </c>
      <c r="HQ97">
        <v>1.1335194494008501E-2</v>
      </c>
      <c r="HR97">
        <v>9.8137806563999711E-4</v>
      </c>
      <c r="HS97">
        <v>0.711932574441416</v>
      </c>
      <c r="HT97">
        <v>-999</v>
      </c>
      <c r="HU97">
        <v>1</v>
      </c>
      <c r="HV97">
        <v>0.81753913541926904</v>
      </c>
      <c r="HW97">
        <v>0.18246086458072999</v>
      </c>
      <c r="HX97">
        <v>12554.2410373731</v>
      </c>
      <c r="HY97">
        <v>398.88123780669298</v>
      </c>
      <c r="HZ97">
        <v>40.278735303622902</v>
      </c>
      <c r="IA97">
        <v>-0.13818301471896299</v>
      </c>
      <c r="IB97">
        <v>0</v>
      </c>
      <c r="IC97">
        <v>0</v>
      </c>
      <c r="ID97">
        <v>0</v>
      </c>
      <c r="IE97">
        <v>0</v>
      </c>
      <c r="IF97">
        <v>0</v>
      </c>
      <c r="IG97">
        <v>0</v>
      </c>
      <c r="IH97">
        <v>0</v>
      </c>
      <c r="II97">
        <v>46.337800049999601</v>
      </c>
      <c r="IJ97">
        <v>463.37800049999902</v>
      </c>
      <c r="IK97">
        <v>1.11126377966846E-2</v>
      </c>
      <c r="IL97">
        <v>2.4514858266084399E-3</v>
      </c>
      <c r="IM97">
        <v>1.3564123623293E-2</v>
      </c>
      <c r="IN97">
        <v>8.1388104880368703E-4</v>
      </c>
      <c r="IO97">
        <v>0.42744036901229598</v>
      </c>
      <c r="IP97">
        <v>1.9405221950395499E-2</v>
      </c>
      <c r="IQ97">
        <v>1.53637287863615E-3</v>
      </c>
      <c r="IR97">
        <v>0.28905038781270298</v>
      </c>
      <c r="IS97">
        <v>0.229004394564574</v>
      </c>
      <c r="IT97">
        <v>0.28924495908091902</v>
      </c>
      <c r="IU97">
        <v>0.30388856458248598</v>
      </c>
      <c r="IV97">
        <v>1.4961340846253999E-2</v>
      </c>
      <c r="IW97">
        <v>1.091984768222E-3</v>
      </c>
      <c r="IX97">
        <v>7.4973914896376198E-2</v>
      </c>
      <c r="IY97">
        <v>2.6966434464403199E-3</v>
      </c>
      <c r="IZ97">
        <v>2.6966434464402997E-4</v>
      </c>
      <c r="JA97">
        <v>7.4976350055967006E-2</v>
      </c>
      <c r="JB97">
        <v>2.6967310336653001E-3</v>
      </c>
      <c r="JC97">
        <v>2.6967310336652802E-4</v>
      </c>
      <c r="JD97">
        <v>1.8830135916744401E-4</v>
      </c>
      <c r="JE97">
        <v>3.30389505067434E-3</v>
      </c>
      <c r="JF97" s="159">
        <v>-3.7269449679189203E-20</v>
      </c>
      <c r="JG97">
        <v>0</v>
      </c>
      <c r="JH97">
        <v>4.0939482566262498E-3</v>
      </c>
      <c r="JI97">
        <v>5.4777682278484496E-4</v>
      </c>
      <c r="JJ97">
        <v>-0.51704792935741695</v>
      </c>
      <c r="JK97">
        <v>1.8830135916744401E-4</v>
      </c>
      <c r="JL97" s="159">
        <v>6.5753399999999896E-6</v>
      </c>
      <c r="JM97">
        <v>-0.51704792935741695</v>
      </c>
      <c r="JN97">
        <v>0</v>
      </c>
      <c r="JO97">
        <v>1.2146692547613001</v>
      </c>
      <c r="JP97">
        <v>-1.7505976467407602E-2</v>
      </c>
      <c r="JQ97">
        <v>1.2431084133569499E-3</v>
      </c>
      <c r="JR97">
        <v>1.4784441094477E-2</v>
      </c>
      <c r="JS97">
        <v>1613.5264487678701</v>
      </c>
      <c r="JT97">
        <v>4.27204056080678E-2</v>
      </c>
      <c r="JU97">
        <v>0</v>
      </c>
      <c r="JV97">
        <v>365</v>
      </c>
      <c r="JW97">
        <v>0</v>
      </c>
      <c r="JX97">
        <v>-0.40268092994350901</v>
      </c>
      <c r="JY97">
        <v>0</v>
      </c>
      <c r="JZ97">
        <v>1.3341656718105199</v>
      </c>
      <c r="KA97">
        <v>1.40967452916773</v>
      </c>
      <c r="KB97">
        <v>1.4458419865908301</v>
      </c>
      <c r="KC97">
        <v>0</v>
      </c>
      <c r="KD97">
        <v>0</v>
      </c>
      <c r="KE97">
        <v>0</v>
      </c>
      <c r="KF97">
        <v>3.6177252482187099E-3</v>
      </c>
      <c r="KG97">
        <v>2.2972520213676701E-2</v>
      </c>
      <c r="KH97">
        <v>3.7194295598015702E-2</v>
      </c>
      <c r="KI97">
        <v>0</v>
      </c>
      <c r="KJ97">
        <v>0</v>
      </c>
      <c r="KK97">
        <v>0</v>
      </c>
      <c r="KL97">
        <v>0</v>
      </c>
      <c r="KM97">
        <v>0</v>
      </c>
      <c r="KN97">
        <v>0</v>
      </c>
      <c r="KO97">
        <v>0</v>
      </c>
      <c r="KP97">
        <v>0</v>
      </c>
      <c r="KQ97">
        <v>0</v>
      </c>
      <c r="KR97">
        <v>0</v>
      </c>
      <c r="KS97">
        <v>0</v>
      </c>
      <c r="KT97">
        <v>0</v>
      </c>
      <c r="KU97">
        <v>0.34999999999999898</v>
      </c>
      <c r="KV97">
        <v>-0.112314310988381</v>
      </c>
      <c r="KW97">
        <v>1.78446287873337E-3</v>
      </c>
      <c r="KX97">
        <v>34986.712455579698</v>
      </c>
      <c r="KY97">
        <v>0</v>
      </c>
      <c r="KZ97">
        <v>0.21065319669737501</v>
      </c>
      <c r="LA97">
        <v>1.73602675993533E-5</v>
      </c>
      <c r="LB97">
        <v>0</v>
      </c>
      <c r="LC97">
        <v>-12.1257745788731</v>
      </c>
      <c r="LD97">
        <v>1.5723788974492801E-2</v>
      </c>
      <c r="LE97">
        <v>3.41866884386114E-3</v>
      </c>
      <c r="LF97">
        <v>1.5723788974492801E-2</v>
      </c>
      <c r="LG97">
        <v>0.95639036675539202</v>
      </c>
      <c r="LH97">
        <v>1.24476178040385</v>
      </c>
      <c r="LI97">
        <v>0</v>
      </c>
      <c r="LJ97">
        <v>0</v>
      </c>
      <c r="LK97">
        <v>0.244831639198406</v>
      </c>
      <c r="LL97">
        <v>0</v>
      </c>
      <c r="LM97">
        <v>0</v>
      </c>
      <c r="LN97">
        <v>0</v>
      </c>
      <c r="LO97">
        <v>0</v>
      </c>
      <c r="LP97">
        <v>0</v>
      </c>
      <c r="LQ97">
        <v>0</v>
      </c>
      <c r="LR97">
        <v>0</v>
      </c>
      <c r="LS97">
        <v>0</v>
      </c>
      <c r="LT97">
        <v>-999</v>
      </c>
      <c r="LU97">
        <v>0.42571157573808699</v>
      </c>
      <c r="LV97">
        <v>96</v>
      </c>
      <c r="LW97">
        <v>376.19999999999902</v>
      </c>
      <c r="LX97">
        <v>3.5149999999999899</v>
      </c>
      <c r="LY97">
        <v>0</v>
      </c>
      <c r="LZ97">
        <v>-999</v>
      </c>
      <c r="MA97">
        <v>0</v>
      </c>
      <c r="MB97">
        <v>0</v>
      </c>
      <c r="MC97">
        <v>776.2</v>
      </c>
      <c r="MD97">
        <v>-23.6999999999999</v>
      </c>
      <c r="ME97">
        <v>-33.6</v>
      </c>
      <c r="MF97">
        <v>0</v>
      </c>
      <c r="MG97">
        <v>8.0706896550000007</v>
      </c>
      <c r="MH97">
        <v>0</v>
      </c>
      <c r="MI97">
        <v>0</v>
      </c>
      <c r="MJ97">
        <v>0</v>
      </c>
      <c r="MK97">
        <v>0</v>
      </c>
      <c r="ML97">
        <v>0</v>
      </c>
      <c r="MM97">
        <v>0</v>
      </c>
      <c r="MN97">
        <v>0</v>
      </c>
      <c r="MO97">
        <v>0</v>
      </c>
      <c r="MP97">
        <v>0</v>
      </c>
      <c r="MQ97">
        <v>0</v>
      </c>
      <c r="MR97">
        <v>0</v>
      </c>
      <c r="MS97">
        <v>0</v>
      </c>
      <c r="MT97">
        <v>0</v>
      </c>
      <c r="MU97">
        <v>0</v>
      </c>
      <c r="MV97">
        <v>0</v>
      </c>
    </row>
    <row r="98" spans="1:360" x14ac:dyDescent="0.25">
      <c r="A98">
        <v>35405</v>
      </c>
      <c r="B98">
        <v>0</v>
      </c>
      <c r="C98">
        <v>-33.6</v>
      </c>
      <c r="D98">
        <v>-23.6999999999999</v>
      </c>
      <c r="E98">
        <v>400</v>
      </c>
      <c r="F98">
        <v>0</v>
      </c>
      <c r="G98">
        <v>0</v>
      </c>
      <c r="H98">
        <v>0</v>
      </c>
      <c r="I98">
        <v>0</v>
      </c>
      <c r="J98">
        <v>0</v>
      </c>
      <c r="K98">
        <v>0</v>
      </c>
      <c r="L98" s="159">
        <v>6.5753399999999896E-6</v>
      </c>
      <c r="M98">
        <v>0</v>
      </c>
      <c r="N98">
        <v>0</v>
      </c>
      <c r="O98">
        <v>0</v>
      </c>
      <c r="P98">
        <v>0</v>
      </c>
      <c r="Q98">
        <v>0</v>
      </c>
      <c r="R98">
        <v>0</v>
      </c>
      <c r="S98">
        <v>0</v>
      </c>
      <c r="T98">
        <v>0</v>
      </c>
      <c r="U98">
        <v>733.46527551704105</v>
      </c>
      <c r="V98">
        <v>14.462923930756901</v>
      </c>
      <c r="W98">
        <v>1.39964853240203</v>
      </c>
      <c r="X98">
        <v>0.27528613061561502</v>
      </c>
      <c r="Y98">
        <v>0.265616724180118</v>
      </c>
      <c r="Z98">
        <v>0.45909714520426498</v>
      </c>
      <c r="AA98">
        <v>0.112612744984386</v>
      </c>
      <c r="AB98">
        <v>0.54914286511775601</v>
      </c>
      <c r="AC98">
        <v>0.33824438989785699</v>
      </c>
      <c r="AD98">
        <v>0.88443494746596796</v>
      </c>
      <c r="AE98">
        <v>3.6910026399632402E-2</v>
      </c>
      <c r="AF98">
        <v>7.8655026134398898E-2</v>
      </c>
      <c r="AG98">
        <v>0</v>
      </c>
      <c r="AH98">
        <v>3448.5475036582998</v>
      </c>
      <c r="AI98">
        <v>78.631141238725107</v>
      </c>
      <c r="AJ98">
        <v>8.1623621495638297</v>
      </c>
      <c r="AK98">
        <v>420.26662345722798</v>
      </c>
      <c r="AL98">
        <v>7.80378697474492</v>
      </c>
      <c r="AM98">
        <v>0.87542034569516503</v>
      </c>
      <c r="AN98">
        <v>8686.0948872682602</v>
      </c>
      <c r="AO98">
        <v>312.41933791619101</v>
      </c>
      <c r="AP98">
        <v>31.241933791618901</v>
      </c>
      <c r="AQ98">
        <v>3.0734528390662E-2</v>
      </c>
      <c r="AR98">
        <v>6.4350801197518596E-3</v>
      </c>
      <c r="AS98">
        <v>1.79729465677591E-2</v>
      </c>
      <c r="AT98">
        <v>9.48</v>
      </c>
      <c r="AU98">
        <v>5.9596512438716003</v>
      </c>
      <c r="AV98">
        <v>0</v>
      </c>
      <c r="AW98">
        <v>85.701341367264504</v>
      </c>
      <c r="AX98">
        <v>66.784304167936995</v>
      </c>
      <c r="AY98">
        <v>361.415514662014</v>
      </c>
      <c r="AZ98">
        <v>0.54833294000258304</v>
      </c>
      <c r="BA98">
        <v>0.86069357586254802</v>
      </c>
      <c r="BB98">
        <v>1.43061448262638E-2</v>
      </c>
      <c r="BC98">
        <v>1.1996012150277901E-3</v>
      </c>
      <c r="BD98">
        <v>0.60421510131760503</v>
      </c>
      <c r="BE98">
        <v>9.3827518505785901E-3</v>
      </c>
      <c r="BF98">
        <v>7.6232069671875401E-4</v>
      </c>
      <c r="BG98">
        <v>766.29999847710098</v>
      </c>
      <c r="BH98">
        <v>-1626.59999865293</v>
      </c>
      <c r="BI98">
        <v>437.737378416561</v>
      </c>
      <c r="BJ98">
        <v>214.17876318219299</v>
      </c>
      <c r="BK98">
        <v>3.5652860126975501</v>
      </c>
      <c r="BL98">
        <v>4.9325252694117898</v>
      </c>
      <c r="BM98">
        <v>195.86270415947399</v>
      </c>
      <c r="BN98">
        <v>22.703625416423598</v>
      </c>
      <c r="BO98">
        <v>218.56632957589699</v>
      </c>
      <c r="BP98">
        <v>3.5498603092490502</v>
      </c>
      <c r="BQ98">
        <v>0.29936365109122898</v>
      </c>
      <c r="BR98">
        <v>210.61347716949601</v>
      </c>
      <c r="BS98">
        <v>2.19960298276263</v>
      </c>
      <c r="BT98">
        <v>0.29838266783620798</v>
      </c>
      <c r="BU98">
        <v>3.55930520751311</v>
      </c>
      <c r="BV98">
        <v>1.75038078502489</v>
      </c>
      <c r="BW98">
        <v>0.47580948480934998</v>
      </c>
      <c r="BX98">
        <v>1.33311493767886</v>
      </c>
      <c r="BY98">
        <v>0</v>
      </c>
      <c r="BZ98">
        <v>3.1282844656888602</v>
      </c>
      <c r="CA98">
        <v>0.42157584356018801</v>
      </c>
      <c r="CB98">
        <v>0.30028547194507399</v>
      </c>
      <c r="CC98">
        <v>0.25207173091189</v>
      </c>
      <c r="CD98">
        <v>4.7291920179338198E-2</v>
      </c>
      <c r="CE98">
        <v>22.464353293257901</v>
      </c>
      <c r="CF98">
        <v>168.16159565982699</v>
      </c>
      <c r="CG98">
        <v>42.248027413920902</v>
      </c>
      <c r="CH98">
        <v>0.41713288146431898</v>
      </c>
      <c r="CI98">
        <v>7.4355707438121001</v>
      </c>
      <c r="CJ98">
        <v>1.76236069126041</v>
      </c>
      <c r="CK98">
        <v>9.8706355194605404</v>
      </c>
      <c r="CL98">
        <v>1.51956672408323</v>
      </c>
      <c r="CM98">
        <v>0.105718487863054</v>
      </c>
      <c r="CN98">
        <v>4.6793513517743197E-2</v>
      </c>
      <c r="CO98">
        <v>0.52270432394767896</v>
      </c>
      <c r="CP98">
        <v>0.66839710194642699</v>
      </c>
      <c r="CQ98">
        <v>0.151956672408321</v>
      </c>
      <c r="CR98">
        <v>42.451881509668397</v>
      </c>
      <c r="CS98">
        <v>1.5268988983746099</v>
      </c>
      <c r="CT98">
        <v>0.15268988983746001</v>
      </c>
      <c r="CU98">
        <v>1.47000000000024E-2</v>
      </c>
      <c r="CV98">
        <v>2.18878166537969E-3</v>
      </c>
      <c r="CW98">
        <v>2.2240867524666599</v>
      </c>
      <c r="CX98">
        <v>2.0300000000003302E-2</v>
      </c>
      <c r="CY98">
        <v>6.2135948901590101E-3</v>
      </c>
      <c r="CZ98">
        <v>0</v>
      </c>
      <c r="DA98">
        <v>2.3999991000027798E-3</v>
      </c>
      <c r="DB98">
        <v>1.4899930868113899E-3</v>
      </c>
      <c r="DC98">
        <v>2.0000000000003301E-3</v>
      </c>
      <c r="DD98">
        <v>3.1522824523723299E-3</v>
      </c>
      <c r="DE98">
        <v>8.7329845971737398E-4</v>
      </c>
      <c r="DF98">
        <v>2.3999990999999301E-3</v>
      </c>
      <c r="DG98">
        <v>0</v>
      </c>
      <c r="DH98">
        <v>0</v>
      </c>
      <c r="DI98">
        <v>0.23180769400003801</v>
      </c>
      <c r="DJ98">
        <v>1.8846155200003101E-2</v>
      </c>
      <c r="DK98">
        <v>2.5841578203771398</v>
      </c>
      <c r="DL98">
        <v>0.16867870890190201</v>
      </c>
      <c r="DM98">
        <v>54.998902882096402</v>
      </c>
      <c r="DN98">
        <v>243.765026413481</v>
      </c>
      <c r="DO98">
        <v>327.66000000000003</v>
      </c>
      <c r="DP98">
        <v>28.8814751874271</v>
      </c>
      <c r="DQ98">
        <v>157.94999999999899</v>
      </c>
      <c r="DR98">
        <v>169.71</v>
      </c>
      <c r="DS98">
        <v>156.909117750082</v>
      </c>
      <c r="DT98">
        <v>0</v>
      </c>
      <c r="DU98">
        <v>0</v>
      </c>
      <c r="DV98">
        <v>0</v>
      </c>
      <c r="DW98">
        <v>0</v>
      </c>
      <c r="DX98">
        <v>0</v>
      </c>
      <c r="DY98">
        <v>0</v>
      </c>
      <c r="DZ98">
        <v>0</v>
      </c>
      <c r="EA98">
        <v>0</v>
      </c>
      <c r="EB98">
        <v>0</v>
      </c>
      <c r="EC98">
        <v>0</v>
      </c>
      <c r="ED98">
        <v>0</v>
      </c>
      <c r="EE98">
        <v>0</v>
      </c>
      <c r="EF98">
        <v>1.2417201378723399</v>
      </c>
      <c r="EG98">
        <v>0</v>
      </c>
      <c r="EH98">
        <v>0</v>
      </c>
      <c r="EI98">
        <v>0</v>
      </c>
      <c r="EJ98">
        <v>0</v>
      </c>
      <c r="EK98">
        <v>0</v>
      </c>
      <c r="EL98">
        <v>0</v>
      </c>
      <c r="EM98">
        <v>0</v>
      </c>
      <c r="EN98">
        <v>0</v>
      </c>
      <c r="EO98">
        <v>0</v>
      </c>
      <c r="EP98">
        <v>0</v>
      </c>
      <c r="EQ98">
        <v>0</v>
      </c>
      <c r="ER98">
        <v>0</v>
      </c>
      <c r="ES98">
        <v>0</v>
      </c>
      <c r="ET98">
        <v>0</v>
      </c>
      <c r="EU98">
        <v>0</v>
      </c>
      <c r="EV98">
        <v>851.39013481011102</v>
      </c>
      <c r="EW98">
        <v>-28.649999999999899</v>
      </c>
      <c r="EX98">
        <v>1544.1374221411299</v>
      </c>
      <c r="EY98">
        <v>856.237219552277</v>
      </c>
      <c r="EZ98">
        <v>85.530379970186203</v>
      </c>
      <c r="FA98">
        <v>700.25465179010098</v>
      </c>
      <c r="FB98">
        <v>758.35241699218705</v>
      </c>
      <c r="FC98">
        <v>0.36889252881141299</v>
      </c>
      <c r="FD98">
        <v>0.67275281475826398</v>
      </c>
      <c r="FE98">
        <v>0</v>
      </c>
      <c r="FF98">
        <v>1</v>
      </c>
      <c r="FG98" s="159">
        <v>5.9062300399515299E-13</v>
      </c>
      <c r="FH98">
        <v>0</v>
      </c>
      <c r="FI98">
        <v>5.4512674794765098E-5</v>
      </c>
      <c r="FJ98">
        <v>-4.8621904532614004E-3</v>
      </c>
      <c r="FK98" s="159">
        <v>6.57534000000779E-6</v>
      </c>
      <c r="FL98" s="159">
        <v>2.15979482002618E-6</v>
      </c>
      <c r="FM98" s="159">
        <v>4.0819639544232399E-6</v>
      </c>
      <c r="FN98">
        <v>0</v>
      </c>
      <c r="FO98">
        <v>0</v>
      </c>
      <c r="FP98">
        <v>0</v>
      </c>
      <c r="FQ98">
        <v>0</v>
      </c>
      <c r="FR98">
        <v>0</v>
      </c>
      <c r="FS98">
        <v>0</v>
      </c>
      <c r="FT98">
        <v>0</v>
      </c>
      <c r="FU98">
        <v>0</v>
      </c>
      <c r="FV98">
        <v>-999</v>
      </c>
      <c r="FW98">
        <v>0.49552583864246702</v>
      </c>
      <c r="FX98">
        <v>3.2568544688214201E-3</v>
      </c>
      <c r="FY98">
        <v>1.24952223188267</v>
      </c>
      <c r="FZ98">
        <v>8.5159636772623405E-4</v>
      </c>
      <c r="GA98">
        <v>41.016748442331</v>
      </c>
      <c r="GB98">
        <v>1.0848386225106799E-2</v>
      </c>
      <c r="GC98">
        <v>2.93199627705589E-3</v>
      </c>
      <c r="GD98">
        <v>0</v>
      </c>
      <c r="GE98">
        <v>7.0404471136035502E-3</v>
      </c>
      <c r="GF98">
        <v>0.347439321430217</v>
      </c>
      <c r="GG98">
        <v>5.6274952499461004E-4</v>
      </c>
      <c r="GH98">
        <v>9.3663450696650496E-3</v>
      </c>
      <c r="GI98">
        <v>1.8400225697388101E-2</v>
      </c>
      <c r="GJ98">
        <v>9.0642744119318595E-4</v>
      </c>
      <c r="GK98">
        <v>1.76068976541638E-3</v>
      </c>
      <c r="GL98">
        <v>0.41429601223741103</v>
      </c>
      <c r="GM98">
        <v>6.9301880483941198E-3</v>
      </c>
      <c r="GN98">
        <v>5.7421146210659402E-4</v>
      </c>
      <c r="GO98">
        <v>0</v>
      </c>
      <c r="GP98">
        <v>0</v>
      </c>
      <c r="GQ98">
        <v>0</v>
      </c>
      <c r="GR98">
        <v>6.2598463292910494E-2</v>
      </c>
      <c r="GS98">
        <v>1.16236942269096E-3</v>
      </c>
      <c r="GT98">
        <v>1.3039333917375199E-4</v>
      </c>
      <c r="GU98">
        <v>3.9667181300753397E-2</v>
      </c>
      <c r="GV98">
        <v>7.3656630215644203E-4</v>
      </c>
      <c r="GW98">
        <v>8.2627207655457398E-5</v>
      </c>
      <c r="GX98">
        <v>0.12769349620328499</v>
      </c>
      <c r="GY98">
        <v>0.13827783740667801</v>
      </c>
      <c r="GZ98">
        <v>58.9300078787549</v>
      </c>
      <c r="HA98">
        <v>676.82546963028005</v>
      </c>
      <c r="HB98">
        <v>0</v>
      </c>
      <c r="HC98">
        <v>0.999813084250604</v>
      </c>
      <c r="HD98">
        <v>0.43674864204297897</v>
      </c>
      <c r="HE98">
        <v>1.13425914767032E-2</v>
      </c>
      <c r="HF98">
        <v>9.82020368210091E-4</v>
      </c>
      <c r="HG98">
        <v>1.36229680515574E-2</v>
      </c>
      <c r="HH98" s="159">
        <v>4.7618785538498699E-7</v>
      </c>
      <c r="HI98" s="159">
        <v>3.3333253933845402E-7</v>
      </c>
      <c r="HJ98">
        <v>0</v>
      </c>
      <c r="HK98">
        <v>0</v>
      </c>
      <c r="HL98">
        <v>0</v>
      </c>
      <c r="HM98">
        <v>0</v>
      </c>
      <c r="HN98">
        <v>0</v>
      </c>
      <c r="HO98">
        <v>1.20486728273956E-2</v>
      </c>
      <c r="HP98">
        <v>0.57502647944965801</v>
      </c>
      <c r="HQ98">
        <v>1.13425914767032E-2</v>
      </c>
      <c r="HR98">
        <v>9.82020368210091E-4</v>
      </c>
      <c r="HS98">
        <v>0.71179083097857299</v>
      </c>
      <c r="HT98">
        <v>-999</v>
      </c>
      <c r="HU98">
        <v>1</v>
      </c>
      <c r="HV98">
        <v>0.81782785868180397</v>
      </c>
      <c r="HW98">
        <v>0.18217214131819501</v>
      </c>
      <c r="HX98">
        <v>12554.9090143838</v>
      </c>
      <c r="HY98">
        <v>398.85426612966103</v>
      </c>
      <c r="HZ98">
        <v>40.2797162868779</v>
      </c>
      <c r="IA98">
        <v>-0.13827783740667801</v>
      </c>
      <c r="IB98">
        <v>0</v>
      </c>
      <c r="IC98">
        <v>0</v>
      </c>
      <c r="ID98">
        <v>0</v>
      </c>
      <c r="IE98">
        <v>0</v>
      </c>
      <c r="IF98">
        <v>0</v>
      </c>
      <c r="IG98">
        <v>0</v>
      </c>
      <c r="IH98">
        <v>0</v>
      </c>
      <c r="II98">
        <v>46.337800049999601</v>
      </c>
      <c r="IJ98">
        <v>463.37800049999902</v>
      </c>
      <c r="IK98">
        <v>1.11227526629834E-2</v>
      </c>
      <c r="IL98">
        <v>2.4541869414141798E-3</v>
      </c>
      <c r="IM98">
        <v>1.3576939604397599E-2</v>
      </c>
      <c r="IN98">
        <v>8.1234565689777404E-4</v>
      </c>
      <c r="IO98">
        <v>0.427519579529549</v>
      </c>
      <c r="IP98">
        <v>1.9416604737222499E-2</v>
      </c>
      <c r="IQ98">
        <v>1.53494645704777E-3</v>
      </c>
      <c r="IR98">
        <v>0.28898374623802903</v>
      </c>
      <c r="IS98">
        <v>0.22885977923426601</v>
      </c>
      <c r="IT98">
        <v>0.28950064370235001</v>
      </c>
      <c r="IU98">
        <v>0.30397336984699203</v>
      </c>
      <c r="IV98">
        <v>1.49729248635827E-2</v>
      </c>
      <c r="IW98">
        <v>1.0905784696837999E-3</v>
      </c>
      <c r="IX98">
        <v>7.4976016769703002E-2</v>
      </c>
      <c r="IY98">
        <v>2.6967190461064101E-3</v>
      </c>
      <c r="IZ98">
        <v>2.6967190461064E-4</v>
      </c>
      <c r="JA98">
        <v>7.4974729326199196E-2</v>
      </c>
      <c r="JB98">
        <v>2.6966727396531402E-3</v>
      </c>
      <c r="JC98">
        <v>2.6966727396531199E-4</v>
      </c>
      <c r="JD98">
        <v>1.8858845894122501E-4</v>
      </c>
      <c r="JE98">
        <v>3.3046793090231899E-3</v>
      </c>
      <c r="JF98" s="159">
        <v>5.3193669087570004E-19</v>
      </c>
      <c r="JG98">
        <v>0</v>
      </c>
      <c r="JH98">
        <v>4.0926579988382903E-3</v>
      </c>
      <c r="JI98">
        <v>5.4790008675134204E-4</v>
      </c>
      <c r="JJ98">
        <v>-0.51722593657987004</v>
      </c>
      <c r="JK98">
        <v>1.8858845894122501E-4</v>
      </c>
      <c r="JL98" s="159">
        <v>6.5753399999999896E-6</v>
      </c>
      <c r="JM98">
        <v>-0.51722593657987004</v>
      </c>
      <c r="JN98">
        <v>0</v>
      </c>
      <c r="JO98">
        <v>1.21293588632045</v>
      </c>
      <c r="JP98">
        <v>-1.75164423943776E-2</v>
      </c>
      <c r="JQ98">
        <v>1.2477166476279201E-3</v>
      </c>
      <c r="JR98">
        <v>1.4595516994795299E-2</v>
      </c>
      <c r="JS98">
        <v>1614.5896099325801</v>
      </c>
      <c r="JT98">
        <v>4.26694578111146E-2</v>
      </c>
      <c r="JU98">
        <v>0</v>
      </c>
      <c r="JV98">
        <v>365</v>
      </c>
      <c r="JW98">
        <v>0</v>
      </c>
      <c r="JX98">
        <v>-0.40268092994350901</v>
      </c>
      <c r="JY98">
        <v>0</v>
      </c>
      <c r="JZ98">
        <v>1.33439928150345</v>
      </c>
      <c r="KA98">
        <v>1.4097756000839501</v>
      </c>
      <c r="KB98">
        <v>1.4460625895408601</v>
      </c>
      <c r="KC98">
        <v>0</v>
      </c>
      <c r="KD98">
        <v>0</v>
      </c>
      <c r="KE98">
        <v>0</v>
      </c>
      <c r="KF98">
        <v>3.6184881474650901E-3</v>
      </c>
      <c r="KG98">
        <v>2.2981567484764698E-2</v>
      </c>
      <c r="KH98">
        <v>3.7170137778891603E-2</v>
      </c>
      <c r="KI98">
        <v>0</v>
      </c>
      <c r="KJ98">
        <v>0</v>
      </c>
      <c r="KK98">
        <v>0</v>
      </c>
      <c r="KL98">
        <v>0</v>
      </c>
      <c r="KM98">
        <v>0</v>
      </c>
      <c r="KN98">
        <v>0</v>
      </c>
      <c r="KO98">
        <v>0</v>
      </c>
      <c r="KP98">
        <v>0</v>
      </c>
      <c r="KQ98">
        <v>0</v>
      </c>
      <c r="KR98">
        <v>0</v>
      </c>
      <c r="KS98">
        <v>0</v>
      </c>
      <c r="KT98">
        <v>0</v>
      </c>
      <c r="KU98">
        <v>0.34999999999999898</v>
      </c>
      <c r="KV98">
        <v>-0.112269380957078</v>
      </c>
      <c r="KW98">
        <v>1.78379968295458E-3</v>
      </c>
      <c r="KX98">
        <v>35012.732589505002</v>
      </c>
      <c r="KY98">
        <v>0</v>
      </c>
      <c r="KZ98">
        <v>0.21066063912894201</v>
      </c>
      <c r="LA98">
        <v>1.73602675993533E-5</v>
      </c>
      <c r="LB98">
        <v>0</v>
      </c>
      <c r="LC98">
        <v>-12.1255339503318</v>
      </c>
      <c r="LD98">
        <v>1.5723909151932201E-2</v>
      </c>
      <c r="LE98">
        <v>3.4187822188039602E-3</v>
      </c>
      <c r="LF98">
        <v>1.5723909151932201E-2</v>
      </c>
      <c r="LG98">
        <v>0.95649219857980605</v>
      </c>
      <c r="LH98">
        <v>1.2448774983861399</v>
      </c>
      <c r="LI98">
        <v>0</v>
      </c>
      <c r="LJ98">
        <v>0</v>
      </c>
      <c r="LK98">
        <v>0.244860975335041</v>
      </c>
      <c r="LL98">
        <v>0</v>
      </c>
      <c r="LM98">
        <v>0</v>
      </c>
      <c r="LN98">
        <v>0</v>
      </c>
      <c r="LO98">
        <v>0</v>
      </c>
      <c r="LP98">
        <v>0</v>
      </c>
      <c r="LQ98">
        <v>0</v>
      </c>
      <c r="LR98">
        <v>0</v>
      </c>
      <c r="LS98">
        <v>0</v>
      </c>
      <c r="LT98">
        <v>-999</v>
      </c>
      <c r="LU98">
        <v>0.42571236413956398</v>
      </c>
      <c r="LV98">
        <v>97</v>
      </c>
      <c r="LW98">
        <v>380.159999999999</v>
      </c>
      <c r="LX98">
        <v>3.5519999999999898</v>
      </c>
      <c r="LY98">
        <v>0</v>
      </c>
      <c r="LZ98">
        <v>-999</v>
      </c>
      <c r="MA98">
        <v>0</v>
      </c>
      <c r="MB98">
        <v>0</v>
      </c>
      <c r="MC98">
        <v>780.15999999999894</v>
      </c>
      <c r="MD98">
        <v>-23.6999999999999</v>
      </c>
      <c r="ME98">
        <v>-33.6</v>
      </c>
      <c r="MF98">
        <v>0</v>
      </c>
      <c r="MG98">
        <v>8.0706896550000007</v>
      </c>
      <c r="MH98">
        <v>0</v>
      </c>
      <c r="MI98">
        <v>0</v>
      </c>
      <c r="MJ98">
        <v>0</v>
      </c>
      <c r="MK98">
        <v>0</v>
      </c>
      <c r="ML98">
        <v>0</v>
      </c>
      <c r="MM98">
        <v>0</v>
      </c>
      <c r="MN98">
        <v>0</v>
      </c>
      <c r="MO98">
        <v>0</v>
      </c>
      <c r="MP98">
        <v>0</v>
      </c>
      <c r="MQ98">
        <v>0</v>
      </c>
      <c r="MR98">
        <v>0</v>
      </c>
      <c r="MS98">
        <v>0</v>
      </c>
      <c r="MT98">
        <v>0</v>
      </c>
      <c r="MU98">
        <v>0</v>
      </c>
      <c r="MV98">
        <v>0</v>
      </c>
    </row>
    <row r="99" spans="1:360" x14ac:dyDescent="0.25">
      <c r="A99">
        <v>35770</v>
      </c>
      <c r="B99">
        <v>0</v>
      </c>
      <c r="C99">
        <v>-33.6</v>
      </c>
      <c r="D99">
        <v>-23.6999999999999</v>
      </c>
      <c r="E99">
        <v>400</v>
      </c>
      <c r="F99">
        <v>0</v>
      </c>
      <c r="G99">
        <v>0</v>
      </c>
      <c r="H99">
        <v>0</v>
      </c>
      <c r="I99">
        <v>0</v>
      </c>
      <c r="J99">
        <v>0</v>
      </c>
      <c r="K99">
        <v>0</v>
      </c>
      <c r="L99" s="159">
        <v>6.5753399999999896E-6</v>
      </c>
      <c r="M99">
        <v>0</v>
      </c>
      <c r="N99">
        <v>0</v>
      </c>
      <c r="O99">
        <v>0</v>
      </c>
      <c r="P99">
        <v>0</v>
      </c>
      <c r="Q99">
        <v>0</v>
      </c>
      <c r="R99">
        <v>0</v>
      </c>
      <c r="S99">
        <v>0</v>
      </c>
      <c r="T99">
        <v>0</v>
      </c>
      <c r="U99">
        <v>734.003537378538</v>
      </c>
      <c r="V99">
        <v>14.472311058330201</v>
      </c>
      <c r="W99">
        <v>1.40056404309496</v>
      </c>
      <c r="X99">
        <v>0.27456639451702702</v>
      </c>
      <c r="Y99">
        <v>0.26549136259276701</v>
      </c>
      <c r="Z99">
        <v>0.45994224289020502</v>
      </c>
      <c r="AA99">
        <v>0.112621017917143</v>
      </c>
      <c r="AB99">
        <v>0.54983449480376001</v>
      </c>
      <c r="AC99">
        <v>0.33754448727909597</v>
      </c>
      <c r="AD99">
        <v>0.88442949421999595</v>
      </c>
      <c r="AE99">
        <v>3.6812521602392803E-2</v>
      </c>
      <c r="AF99">
        <v>7.8757984177610901E-2</v>
      </c>
      <c r="AG99">
        <v>0</v>
      </c>
      <c r="AH99">
        <v>3449.17857890394</v>
      </c>
      <c r="AI99">
        <v>78.607053088534897</v>
      </c>
      <c r="AJ99">
        <v>8.1635851003641395</v>
      </c>
      <c r="AK99">
        <v>420.50400348064301</v>
      </c>
      <c r="AL99">
        <v>7.8081948030886101</v>
      </c>
      <c r="AM99">
        <v>0.87591481109060598</v>
      </c>
      <c r="AN99">
        <v>8685.8935114230007</v>
      </c>
      <c r="AO99">
        <v>312.41209487900801</v>
      </c>
      <c r="AP99">
        <v>31.241209487900498</v>
      </c>
      <c r="AQ99">
        <v>3.07418583931654E-2</v>
      </c>
      <c r="AR99">
        <v>6.4380621314811997E-3</v>
      </c>
      <c r="AS99">
        <v>1.7935175362802699E-2</v>
      </c>
      <c r="AT99">
        <v>9.48</v>
      </c>
      <c r="AU99">
        <v>5.9590326505706201</v>
      </c>
      <c r="AV99">
        <v>0</v>
      </c>
      <c r="AW99">
        <v>85.711432345894494</v>
      </c>
      <c r="AX99">
        <v>66.788592802374197</v>
      </c>
      <c r="AY99">
        <v>361.41451937473198</v>
      </c>
      <c r="AZ99">
        <v>0.54833294000258403</v>
      </c>
      <c r="BA99">
        <v>0.86107458995367903</v>
      </c>
      <c r="BB99">
        <v>1.43108924503349E-2</v>
      </c>
      <c r="BC99">
        <v>1.2000509759204599E-3</v>
      </c>
      <c r="BD99">
        <v>0.60434312763852804</v>
      </c>
      <c r="BE99">
        <v>9.38504756198239E-3</v>
      </c>
      <c r="BF99">
        <v>7.62464591034881E-4</v>
      </c>
      <c r="BG99">
        <v>766.29999847710098</v>
      </c>
      <c r="BH99">
        <v>-1626.59999865293</v>
      </c>
      <c r="BI99">
        <v>437.91193128441898</v>
      </c>
      <c r="BJ99">
        <v>214.23212976470799</v>
      </c>
      <c r="BK99">
        <v>3.5602694847482099</v>
      </c>
      <c r="BL99">
        <v>4.9384071544246799</v>
      </c>
      <c r="BM99">
        <v>195.91750506836399</v>
      </c>
      <c r="BN99">
        <v>22.714769989272401</v>
      </c>
      <c r="BO99">
        <v>218.63227505763601</v>
      </c>
      <c r="BP99">
        <v>3.5510980955484901</v>
      </c>
      <c r="BQ99">
        <v>0.29947904248169999</v>
      </c>
      <c r="BR99">
        <v>210.67186027995999</v>
      </c>
      <c r="BS99">
        <v>2.1991981556716702</v>
      </c>
      <c r="BT99">
        <v>0.29848593000424201</v>
      </c>
      <c r="BU99">
        <v>3.5604852231217401</v>
      </c>
      <c r="BV99">
        <v>1.7510913004438</v>
      </c>
      <c r="BW99">
        <v>0.47468928634694901</v>
      </c>
      <c r="BX99">
        <v>1.33470463633099</v>
      </c>
      <c r="BY99">
        <v>0</v>
      </c>
      <c r="BZ99">
        <v>3.1293153122324902</v>
      </c>
      <c r="CA99">
        <v>0.42178278331600699</v>
      </c>
      <c r="CB99">
        <v>0.30039455317462499</v>
      </c>
      <c r="CC99">
        <v>0.25216390802534999</v>
      </c>
      <c r="CD99">
        <v>4.7315134456350598E-2</v>
      </c>
      <c r="CE99">
        <v>22.4773899658578</v>
      </c>
      <c r="CF99">
        <v>168.22042342325099</v>
      </c>
      <c r="CG99">
        <v>42.250061011469903</v>
      </c>
      <c r="CH99">
        <v>0.41737495497230498</v>
      </c>
      <c r="CI99">
        <v>7.4395471652387402</v>
      </c>
      <c r="CJ99">
        <v>1.76315123645297</v>
      </c>
      <c r="CK99">
        <v>9.8750136521577705</v>
      </c>
      <c r="CL99">
        <v>1.51963986802283</v>
      </c>
      <c r="CM99">
        <v>0.105882172658063</v>
      </c>
      <c r="CN99">
        <v>4.6820669060908503E-2</v>
      </c>
      <c r="CO99">
        <v>0.52158518454911895</v>
      </c>
      <c r="CP99">
        <v>0.66738282403279903</v>
      </c>
      <c r="CQ99">
        <v>0.15196398680228199</v>
      </c>
      <c r="CR99">
        <v>42.451436856708902</v>
      </c>
      <c r="CS99">
        <v>1.5268829052056401</v>
      </c>
      <c r="CT99">
        <v>0.15268829052056301</v>
      </c>
      <c r="CU99">
        <v>1.46999999999962E-2</v>
      </c>
      <c r="CV99">
        <v>2.19040775096513E-3</v>
      </c>
      <c r="CW99">
        <v>2.2237603539273798</v>
      </c>
      <c r="CX99">
        <v>2.0299999999994701E-2</v>
      </c>
      <c r="CY99">
        <v>6.2168491157210898E-3</v>
      </c>
      <c r="CZ99">
        <v>0</v>
      </c>
      <c r="DA99">
        <v>2.39999910000272E-3</v>
      </c>
      <c r="DB99">
        <v>1.48983868314646E-3</v>
      </c>
      <c r="DC99">
        <v>1.9999999999994701E-3</v>
      </c>
      <c r="DD99">
        <v>3.1477404355530298E-3</v>
      </c>
      <c r="DE99">
        <v>8.7124538216949504E-4</v>
      </c>
      <c r="DF99">
        <v>2.3999990999998698E-3</v>
      </c>
      <c r="DG99">
        <v>0</v>
      </c>
      <c r="DH99">
        <v>0</v>
      </c>
      <c r="DI99">
        <v>0.231807693999939</v>
      </c>
      <c r="DJ99">
        <v>1.8846155199995E-2</v>
      </c>
      <c r="DK99">
        <v>2.5867358934390201</v>
      </c>
      <c r="DL99">
        <v>0.16884699043335699</v>
      </c>
      <c r="DM99">
        <v>54.746053020954697</v>
      </c>
      <c r="DN99">
        <v>244.03523585624399</v>
      </c>
      <c r="DO99">
        <v>327.66000000000003</v>
      </c>
      <c r="DP99">
        <v>28.8643375856883</v>
      </c>
      <c r="DQ99">
        <v>157.94999999999899</v>
      </c>
      <c r="DR99">
        <v>169.71</v>
      </c>
      <c r="DS99">
        <v>156.920680560758</v>
      </c>
      <c r="DT99">
        <v>0</v>
      </c>
      <c r="DU99">
        <v>0</v>
      </c>
      <c r="DV99">
        <v>0</v>
      </c>
      <c r="DW99">
        <v>0</v>
      </c>
      <c r="DX99">
        <v>0</v>
      </c>
      <c r="DY99">
        <v>0</v>
      </c>
      <c r="DZ99">
        <v>0</v>
      </c>
      <c r="EA99">
        <v>0</v>
      </c>
      <c r="EB99">
        <v>0</v>
      </c>
      <c r="EC99">
        <v>0</v>
      </c>
      <c r="ED99">
        <v>0</v>
      </c>
      <c r="EE99">
        <v>0</v>
      </c>
      <c r="EF99">
        <v>1.24127228388123</v>
      </c>
      <c r="EG99">
        <v>0</v>
      </c>
      <c r="EH99">
        <v>0</v>
      </c>
      <c r="EI99">
        <v>0</v>
      </c>
      <c r="EJ99">
        <v>0</v>
      </c>
      <c r="EK99">
        <v>0</v>
      </c>
      <c r="EL99">
        <v>0</v>
      </c>
      <c r="EM99">
        <v>0</v>
      </c>
      <c r="EN99">
        <v>0</v>
      </c>
      <c r="EO99">
        <v>0</v>
      </c>
      <c r="EP99">
        <v>0</v>
      </c>
      <c r="EQ99">
        <v>0</v>
      </c>
      <c r="ER99">
        <v>0</v>
      </c>
      <c r="ES99">
        <v>0</v>
      </c>
      <c r="ET99">
        <v>0</v>
      </c>
      <c r="EU99">
        <v>0</v>
      </c>
      <c r="EV99">
        <v>851.96199543692001</v>
      </c>
      <c r="EW99">
        <v>-28.649999999999899</v>
      </c>
      <c r="EX99">
        <v>1545.2706050074401</v>
      </c>
      <c r="EY99">
        <v>856.56719881118602</v>
      </c>
      <c r="EZ99">
        <v>85.429895461143403</v>
      </c>
      <c r="FA99">
        <v>700.76788560424802</v>
      </c>
      <c r="FB99">
        <v>759.07281494140602</v>
      </c>
      <c r="FC99">
        <v>0.36845913912391098</v>
      </c>
      <c r="FD99">
        <v>0.67196243786152099</v>
      </c>
      <c r="FE99">
        <v>0</v>
      </c>
      <c r="FF99">
        <v>1</v>
      </c>
      <c r="FG99" s="159">
        <v>5.9064838093955401E-13</v>
      </c>
      <c r="FH99">
        <v>0</v>
      </c>
      <c r="FI99">
        <v>5.4512674794765098E-5</v>
      </c>
      <c r="FJ99">
        <v>-4.8573128417891496E-3</v>
      </c>
      <c r="FK99" s="159">
        <v>6.57534000000779E-6</v>
      </c>
      <c r="FL99" s="159">
        <v>2.1552328712238802E-6</v>
      </c>
      <c r="FM99" s="159">
        <v>4.0815402592347597E-6</v>
      </c>
      <c r="FN99">
        <v>0</v>
      </c>
      <c r="FO99">
        <v>0</v>
      </c>
      <c r="FP99">
        <v>0</v>
      </c>
      <c r="FQ99">
        <v>0</v>
      </c>
      <c r="FR99">
        <v>0</v>
      </c>
      <c r="FS99">
        <v>0</v>
      </c>
      <c r="FT99">
        <v>0</v>
      </c>
      <c r="FU99">
        <v>0</v>
      </c>
      <c r="FV99">
        <v>-999</v>
      </c>
      <c r="FW99">
        <v>0.49564296205686198</v>
      </c>
      <c r="FX99">
        <v>3.25743931829147E-3</v>
      </c>
      <c r="FY99">
        <v>1.25006870758434</v>
      </c>
      <c r="FZ99">
        <v>8.4966632302994698E-4</v>
      </c>
      <c r="GA99">
        <v>40.991854314611103</v>
      </c>
      <c r="GB99">
        <v>1.08555283743934E-2</v>
      </c>
      <c r="GC99">
        <v>2.9339265876739099E-3</v>
      </c>
      <c r="GD99">
        <v>0</v>
      </c>
      <c r="GE99">
        <v>7.0410322289953297E-3</v>
      </c>
      <c r="GF99">
        <v>0.34670545523997798</v>
      </c>
      <c r="GG99">
        <v>5.6282972264889096E-4</v>
      </c>
      <c r="GH99">
        <v>9.3655512577750007E-3</v>
      </c>
      <c r="GI99">
        <v>1.8398689713332899E-2</v>
      </c>
      <c r="GJ99">
        <v>9.0635519666033501E-4</v>
      </c>
      <c r="GK99">
        <v>1.76058740534434E-3</v>
      </c>
      <c r="GL99">
        <v>0.414573012069132</v>
      </c>
      <c r="GM99">
        <v>6.9348503425977698E-3</v>
      </c>
      <c r="GN99">
        <v>5.7459753370746097E-4</v>
      </c>
      <c r="GO99">
        <v>0</v>
      </c>
      <c r="GP99">
        <v>0</v>
      </c>
      <c r="GQ99">
        <v>0</v>
      </c>
      <c r="GR99">
        <v>6.2628188984388697E-2</v>
      </c>
      <c r="GS99">
        <v>1.16292138887391E-3</v>
      </c>
      <c r="GT99">
        <v>1.3045525814056399E-4</v>
      </c>
      <c r="GU99">
        <v>3.9689659870652899E-2</v>
      </c>
      <c r="GV99">
        <v>7.36983699021198E-4</v>
      </c>
      <c r="GW99">
        <v>8.2674030782333999E-5</v>
      </c>
      <c r="GX99">
        <v>0.12778585389852001</v>
      </c>
      <c r="GY99">
        <v>0.13837193293990399</v>
      </c>
      <c r="GZ99">
        <v>58.9299398498597</v>
      </c>
      <c r="HA99">
        <v>676.83045379158204</v>
      </c>
      <c r="HB99">
        <v>0</v>
      </c>
      <c r="HC99">
        <v>0.99981308494371102</v>
      </c>
      <c r="HD99">
        <v>0.43702705111385798</v>
      </c>
      <c r="HE99">
        <v>1.1349907061571501E-2</v>
      </c>
      <c r="HF99">
        <v>9.8265533743189105E-4</v>
      </c>
      <c r="HG99">
        <v>1.36322174332635E-2</v>
      </c>
      <c r="HH99" s="159">
        <v>4.7618785764612799E-7</v>
      </c>
      <c r="HI99" s="159">
        <v>3.3333253919684398E-7</v>
      </c>
      <c r="HJ99">
        <v>0</v>
      </c>
      <c r="HK99">
        <v>0</v>
      </c>
      <c r="HL99">
        <v>0</v>
      </c>
      <c r="HM99">
        <v>0</v>
      </c>
      <c r="HN99">
        <v>0</v>
      </c>
      <c r="HO99">
        <v>1.2056778951872901E-2</v>
      </c>
      <c r="HP99">
        <v>0.575398984053763</v>
      </c>
      <c r="HQ99">
        <v>1.1349907061571501E-2</v>
      </c>
      <c r="HR99">
        <v>9.8265533743189105E-4</v>
      </c>
      <c r="HS99">
        <v>0.71164861390371903</v>
      </c>
      <c r="HT99">
        <v>-999</v>
      </c>
      <c r="HU99">
        <v>1</v>
      </c>
      <c r="HV99">
        <v>0.81811197834429195</v>
      </c>
      <c r="HW99">
        <v>0.181888021655707</v>
      </c>
      <c r="HX99">
        <v>12555.5760938075</v>
      </c>
      <c r="HY99">
        <v>398.82734277063099</v>
      </c>
      <c r="HZ99">
        <v>40.280709399355302</v>
      </c>
      <c r="IA99">
        <v>-0.13837193293990399</v>
      </c>
      <c r="IB99">
        <v>0</v>
      </c>
      <c r="IC99">
        <v>0</v>
      </c>
      <c r="ID99">
        <v>0</v>
      </c>
      <c r="IE99">
        <v>0</v>
      </c>
      <c r="IF99">
        <v>0</v>
      </c>
      <c r="IG99">
        <v>0</v>
      </c>
      <c r="IH99">
        <v>0</v>
      </c>
      <c r="II99">
        <v>46.337800049999601</v>
      </c>
      <c r="IJ99">
        <v>463.37800049999902</v>
      </c>
      <c r="IK99">
        <v>1.1132859076217E-2</v>
      </c>
      <c r="IL99">
        <v>2.4568899666983302E-3</v>
      </c>
      <c r="IM99">
        <v>1.35897490429153E-2</v>
      </c>
      <c r="IN99">
        <v>8.1083578234833703E-4</v>
      </c>
      <c r="IO99">
        <v>0.42759860396636601</v>
      </c>
      <c r="IP99">
        <v>1.9427980515693801E-2</v>
      </c>
      <c r="IQ99">
        <v>1.5335461826862099E-3</v>
      </c>
      <c r="IR99">
        <v>0.28891839980174</v>
      </c>
      <c r="IS99">
        <v>0.22871632206187201</v>
      </c>
      <c r="IT99">
        <v>0.28975301160189298</v>
      </c>
      <c r="IU99">
        <v>0.30405749955094502</v>
      </c>
      <c r="IV99">
        <v>1.49844842670546E-2</v>
      </c>
      <c r="IW99">
        <v>1.0891965578223E-3</v>
      </c>
      <c r="IX99">
        <v>7.4978135111115396E-2</v>
      </c>
      <c r="IY99">
        <v>2.69679523809259E-3</v>
      </c>
      <c r="IZ99">
        <v>2.6967952380925697E-4</v>
      </c>
      <c r="JA99">
        <v>7.4973129555063397E-2</v>
      </c>
      <c r="JB99">
        <v>2.69661519947593E-3</v>
      </c>
      <c r="JC99">
        <v>2.6966151994759098E-4</v>
      </c>
      <c r="JD99">
        <v>1.8887554006164799E-4</v>
      </c>
      <c r="JE99">
        <v>3.30546102020207E-3</v>
      </c>
      <c r="JF99" s="159">
        <v>-4.7603251635691602E-19</v>
      </c>
      <c r="JG99">
        <v>0</v>
      </c>
      <c r="JH99">
        <v>4.0913504236152103E-3</v>
      </c>
      <c r="JI99">
        <v>5.4802229542155398E-4</v>
      </c>
      <c r="JJ99">
        <v>-0.51740256204591295</v>
      </c>
      <c r="JK99">
        <v>1.8887554006164799E-4</v>
      </c>
      <c r="JL99" s="159">
        <v>6.5753399999999896E-6</v>
      </c>
      <c r="JM99">
        <v>-0.51740256204591295</v>
      </c>
      <c r="JN99">
        <v>0</v>
      </c>
      <c r="JO99">
        <v>1.2053412853090699</v>
      </c>
      <c r="JP99">
        <v>-1.7525919441994098E-2</v>
      </c>
      <c r="JQ99">
        <v>1.2522586644463101E-3</v>
      </c>
      <c r="JR99">
        <v>1.4373537112032099E-2</v>
      </c>
      <c r="JS99">
        <v>1615.6400227527099</v>
      </c>
      <c r="JT99">
        <v>4.2619328026581603E-2</v>
      </c>
      <c r="JU99">
        <v>0</v>
      </c>
      <c r="JV99">
        <v>365</v>
      </c>
      <c r="JW99">
        <v>0</v>
      </c>
      <c r="JX99">
        <v>-0.40268092994350901</v>
      </c>
      <c r="JY99">
        <v>0</v>
      </c>
      <c r="JZ99">
        <v>1.3346485911614501</v>
      </c>
      <c r="KA99">
        <v>1.40987466029845</v>
      </c>
      <c r="KB99">
        <v>1.4462790637146901</v>
      </c>
      <c r="KC99">
        <v>0</v>
      </c>
      <c r="KD99">
        <v>0</v>
      </c>
      <c r="KE99">
        <v>0</v>
      </c>
      <c r="KF99">
        <v>3.6192359815180198E-3</v>
      </c>
      <c r="KG99">
        <v>2.29905565785807E-2</v>
      </c>
      <c r="KH99">
        <v>3.7145969761565499E-2</v>
      </c>
      <c r="KI99">
        <v>0</v>
      </c>
      <c r="KJ99">
        <v>0</v>
      </c>
      <c r="KK99">
        <v>0</v>
      </c>
      <c r="KL99">
        <v>0</v>
      </c>
      <c r="KM99">
        <v>0</v>
      </c>
      <c r="KN99">
        <v>0</v>
      </c>
      <c r="KO99">
        <v>0</v>
      </c>
      <c r="KP99">
        <v>0</v>
      </c>
      <c r="KQ99">
        <v>0</v>
      </c>
      <c r="KR99">
        <v>0</v>
      </c>
      <c r="KS99">
        <v>0</v>
      </c>
      <c r="KT99">
        <v>0</v>
      </c>
      <c r="KU99">
        <v>0.34999999999999898</v>
      </c>
      <c r="KV99">
        <v>-0.112225108218904</v>
      </c>
      <c r="KW99">
        <v>1.7831463467917999E-3</v>
      </c>
      <c r="KX99">
        <v>35038.3942802124</v>
      </c>
      <c r="KY99">
        <v>0</v>
      </c>
      <c r="KZ99">
        <v>0.21066809882552001</v>
      </c>
      <c r="LA99">
        <v>1.73602675993533E-5</v>
      </c>
      <c r="LB99">
        <v>0</v>
      </c>
      <c r="LC99">
        <v>-12.125296987684999</v>
      </c>
      <c r="LD99">
        <v>1.57240264557576E-2</v>
      </c>
      <c r="LE99">
        <v>3.4188928827902699E-3</v>
      </c>
      <c r="LF99">
        <v>1.57240264557576E-2</v>
      </c>
      <c r="LG99">
        <v>0.95659212772959001</v>
      </c>
      <c r="LH99">
        <v>1.2449910542381699</v>
      </c>
      <c r="LI99">
        <v>0</v>
      </c>
      <c r="LJ99">
        <v>0</v>
      </c>
      <c r="LK99">
        <v>0.244889806702555</v>
      </c>
      <c r="LL99">
        <v>0</v>
      </c>
      <c r="LM99">
        <v>0</v>
      </c>
      <c r="LN99">
        <v>0</v>
      </c>
      <c r="LO99">
        <v>0</v>
      </c>
      <c r="LP99">
        <v>0</v>
      </c>
      <c r="LQ99">
        <v>0</v>
      </c>
      <c r="LR99">
        <v>0</v>
      </c>
      <c r="LS99">
        <v>0</v>
      </c>
      <c r="LT99">
        <v>-999</v>
      </c>
      <c r="LU99">
        <v>0.42571315012150102</v>
      </c>
      <c r="LV99">
        <v>98</v>
      </c>
      <c r="LW99">
        <v>384.12</v>
      </c>
      <c r="LX99">
        <v>3.589</v>
      </c>
      <c r="LY99">
        <v>0</v>
      </c>
      <c r="LZ99">
        <v>-999</v>
      </c>
      <c r="MA99">
        <v>0</v>
      </c>
      <c r="MB99">
        <v>0</v>
      </c>
      <c r="MC99">
        <v>784.12</v>
      </c>
      <c r="MD99">
        <v>-23.6999999999999</v>
      </c>
      <c r="ME99">
        <v>-33.6</v>
      </c>
      <c r="MF99">
        <v>0</v>
      </c>
      <c r="MG99">
        <v>8.0706896550000007</v>
      </c>
      <c r="MH99">
        <v>0</v>
      </c>
      <c r="MI99">
        <v>0</v>
      </c>
      <c r="MJ99">
        <v>0</v>
      </c>
      <c r="MK99">
        <v>0</v>
      </c>
      <c r="ML99">
        <v>0</v>
      </c>
      <c r="MM99">
        <v>0</v>
      </c>
      <c r="MN99">
        <v>0</v>
      </c>
      <c r="MO99">
        <v>0</v>
      </c>
      <c r="MP99">
        <v>0</v>
      </c>
      <c r="MQ99">
        <v>0</v>
      </c>
      <c r="MR99">
        <v>0</v>
      </c>
      <c r="MS99">
        <v>0</v>
      </c>
      <c r="MT99">
        <v>0</v>
      </c>
      <c r="MU99">
        <v>0</v>
      </c>
      <c r="MV99">
        <v>0</v>
      </c>
    </row>
    <row r="100" spans="1:360" x14ac:dyDescent="0.25">
      <c r="A100">
        <v>36135</v>
      </c>
      <c r="B100">
        <v>0</v>
      </c>
      <c r="C100">
        <v>-33.6</v>
      </c>
      <c r="D100">
        <v>-23.6999999999999</v>
      </c>
      <c r="E100">
        <v>400</v>
      </c>
      <c r="F100">
        <v>0</v>
      </c>
      <c r="G100">
        <v>0</v>
      </c>
      <c r="H100">
        <v>0</v>
      </c>
      <c r="I100">
        <v>0</v>
      </c>
      <c r="J100">
        <v>0</v>
      </c>
      <c r="K100">
        <v>0</v>
      </c>
      <c r="L100" s="159">
        <v>6.5753399999999896E-6</v>
      </c>
      <c r="M100">
        <v>0</v>
      </c>
      <c r="N100">
        <v>0</v>
      </c>
      <c r="O100">
        <v>0</v>
      </c>
      <c r="P100">
        <v>0</v>
      </c>
      <c r="Q100">
        <v>0</v>
      </c>
      <c r="R100">
        <v>0</v>
      </c>
      <c r="S100">
        <v>0</v>
      </c>
      <c r="T100">
        <v>0</v>
      </c>
      <c r="U100">
        <v>734.53992710257796</v>
      </c>
      <c r="V100">
        <v>14.481627423892</v>
      </c>
      <c r="W100">
        <v>1.4014728238015299</v>
      </c>
      <c r="X100">
        <v>0.27385424139868098</v>
      </c>
      <c r="Y100">
        <v>0.26536839610277801</v>
      </c>
      <c r="Z100">
        <v>0.46077736249854001</v>
      </c>
      <c r="AA100">
        <v>0.112629733019957</v>
      </c>
      <c r="AB100">
        <v>0.55052269578196</v>
      </c>
      <c r="AC100">
        <v>0.33684757119808101</v>
      </c>
      <c r="AD100">
        <v>0.88442397014833996</v>
      </c>
      <c r="AE100">
        <v>3.6715127014303801E-2</v>
      </c>
      <c r="AF100">
        <v>7.8860902837355099E-2</v>
      </c>
      <c r="AG100">
        <v>0</v>
      </c>
      <c r="AH100">
        <v>3449.8086876115599</v>
      </c>
      <c r="AI100">
        <v>78.582974502692096</v>
      </c>
      <c r="AJ100">
        <v>8.1648154756705509</v>
      </c>
      <c r="AK100">
        <v>420.73952734173298</v>
      </c>
      <c r="AL100">
        <v>7.8125681649899397</v>
      </c>
      <c r="AM100">
        <v>0.876405410077984</v>
      </c>
      <c r="AN100">
        <v>8685.6946140377204</v>
      </c>
      <c r="AO100">
        <v>312.40494098646701</v>
      </c>
      <c r="AP100">
        <v>31.240494098646501</v>
      </c>
      <c r="AQ100">
        <v>3.07489286020616E-2</v>
      </c>
      <c r="AR100">
        <v>6.4409683536500702E-3</v>
      </c>
      <c r="AS100">
        <v>1.7897989553400401E-2</v>
      </c>
      <c r="AT100">
        <v>9.48</v>
      </c>
      <c r="AU100">
        <v>5.9584121942424302</v>
      </c>
      <c r="AV100">
        <v>0</v>
      </c>
      <c r="AW100">
        <v>85.721097414787195</v>
      </c>
      <c r="AX100">
        <v>66.792808611810699</v>
      </c>
      <c r="AY100">
        <v>361.41357306825898</v>
      </c>
      <c r="AZ100">
        <v>0.54833294000258403</v>
      </c>
      <c r="BA100">
        <v>0.86145363090828997</v>
      </c>
      <c r="BB100">
        <v>1.43156328191362E-2</v>
      </c>
      <c r="BC100">
        <v>1.2004996028764901E-3</v>
      </c>
      <c r="BD100">
        <v>0.60447800885392</v>
      </c>
      <c r="BE100">
        <v>9.3873280711584597E-3</v>
      </c>
      <c r="BF100">
        <v>7.6260843316992399E-4</v>
      </c>
      <c r="BG100">
        <v>766.29999847710098</v>
      </c>
      <c r="BH100">
        <v>-1626.59999865293</v>
      </c>
      <c r="BI100">
        <v>438.09169996822999</v>
      </c>
      <c r="BJ100">
        <v>214.29017066091799</v>
      </c>
      <c r="BK100">
        <v>3.5605896277337599</v>
      </c>
      <c r="BL100">
        <v>4.9442661661839002</v>
      </c>
      <c r="BM100">
        <v>195.97221432795001</v>
      </c>
      <c r="BN100">
        <v>22.7258327751126</v>
      </c>
      <c r="BO100">
        <v>218.698047103063</v>
      </c>
      <c r="BP100">
        <v>3.55232716800964</v>
      </c>
      <c r="BQ100">
        <v>0.29959349185795098</v>
      </c>
      <c r="BR100">
        <v>210.72958103318399</v>
      </c>
      <c r="BS100">
        <v>2.1987774641033702</v>
      </c>
      <c r="BT100">
        <v>0.29858790681824998</v>
      </c>
      <c r="BU100">
        <v>3.5616435335714201</v>
      </c>
      <c r="BV100">
        <v>1.75178900948745</v>
      </c>
      <c r="BW100">
        <v>0.47356637106129901</v>
      </c>
      <c r="BX100">
        <v>1.33628815302267</v>
      </c>
      <c r="BY100">
        <v>0</v>
      </c>
      <c r="BZ100">
        <v>3.1303389636127599</v>
      </c>
      <c r="CA100">
        <v>0.42198820439687401</v>
      </c>
      <c r="CB100">
        <v>0.300502272564527</v>
      </c>
      <c r="CC100">
        <v>0.25225531348789498</v>
      </c>
      <c r="CD100">
        <v>4.7338178370056598E-2</v>
      </c>
      <c r="CE100">
        <v>22.490308914021099</v>
      </c>
      <c r="CF100">
        <v>168.278608930686</v>
      </c>
      <c r="CG100">
        <v>42.252074717212601</v>
      </c>
      <c r="CH100">
        <v>0.41761484249554998</v>
      </c>
      <c r="CI100">
        <v>7.4435420194699198</v>
      </c>
      <c r="CJ100">
        <v>1.7639516337455601</v>
      </c>
      <c r="CK100">
        <v>9.8794049282790901</v>
      </c>
      <c r="CL100">
        <v>1.5197122964988099</v>
      </c>
      <c r="CM100">
        <v>0.106045737112065</v>
      </c>
      <c r="CN100">
        <v>4.68475793826802E-2</v>
      </c>
      <c r="CO100">
        <v>0.52048544347875103</v>
      </c>
      <c r="CP100">
        <v>0.66638673139302496</v>
      </c>
      <c r="CQ100">
        <v>0.151971229649879</v>
      </c>
      <c r="CR100">
        <v>42.450972102498298</v>
      </c>
      <c r="CS100">
        <v>1.5268661890397801</v>
      </c>
      <c r="CT100">
        <v>0.152686618903977</v>
      </c>
      <c r="CU100">
        <v>1.47000000000023E-2</v>
      </c>
      <c r="CV100">
        <v>2.19201823299109E-3</v>
      </c>
      <c r="CW100">
        <v>2.2234409999196099</v>
      </c>
      <c r="CX100">
        <v>2.03000000000031E-2</v>
      </c>
      <c r="CY100">
        <v>6.2200888905789599E-3</v>
      </c>
      <c r="CZ100">
        <v>0</v>
      </c>
      <c r="DA100">
        <v>2.3999991000029299E-3</v>
      </c>
      <c r="DB100">
        <v>1.48968380916563E-3</v>
      </c>
      <c r="DC100">
        <v>2.0000000000003101E-3</v>
      </c>
      <c r="DD100">
        <v>3.1432754913140199E-3</v>
      </c>
      <c r="DE100">
        <v>8.6922748098043796E-4</v>
      </c>
      <c r="DF100">
        <v>2.3999991000000801E-3</v>
      </c>
      <c r="DG100">
        <v>0</v>
      </c>
      <c r="DH100">
        <v>0</v>
      </c>
      <c r="DI100">
        <v>0.23180769400003601</v>
      </c>
      <c r="DJ100">
        <v>1.88461552000029E-2</v>
      </c>
      <c r="DK100">
        <v>2.5892724142667798</v>
      </c>
      <c r="DL100">
        <v>0.16901255967798801</v>
      </c>
      <c r="DM100">
        <v>54.496710884868499</v>
      </c>
      <c r="DN100">
        <v>244.301750008385</v>
      </c>
      <c r="DO100">
        <v>327.66000000000003</v>
      </c>
      <c r="DP100">
        <v>28.847663058507301</v>
      </c>
      <c r="DQ100">
        <v>157.94999999999899</v>
      </c>
      <c r="DR100">
        <v>169.71</v>
      </c>
      <c r="DS100">
        <v>156.932018214702</v>
      </c>
      <c r="DT100">
        <v>0</v>
      </c>
      <c r="DU100">
        <v>0</v>
      </c>
      <c r="DV100">
        <v>0</v>
      </c>
      <c r="DW100">
        <v>0</v>
      </c>
      <c r="DX100">
        <v>0</v>
      </c>
      <c r="DY100">
        <v>0</v>
      </c>
      <c r="DZ100">
        <v>0</v>
      </c>
      <c r="EA100">
        <v>0</v>
      </c>
      <c r="EB100">
        <v>0</v>
      </c>
      <c r="EC100">
        <v>0</v>
      </c>
      <c r="ED100">
        <v>0</v>
      </c>
      <c r="EE100">
        <v>0</v>
      </c>
      <c r="EF100">
        <v>1.2408424657591099</v>
      </c>
      <c r="EG100">
        <v>0</v>
      </c>
      <c r="EH100">
        <v>0</v>
      </c>
      <c r="EI100">
        <v>0</v>
      </c>
      <c r="EJ100">
        <v>0</v>
      </c>
      <c r="EK100">
        <v>0</v>
      </c>
      <c r="EL100">
        <v>0</v>
      </c>
      <c r="EM100">
        <v>0</v>
      </c>
      <c r="EN100">
        <v>0</v>
      </c>
      <c r="EO100">
        <v>0</v>
      </c>
      <c r="EP100">
        <v>0</v>
      </c>
      <c r="EQ100">
        <v>0</v>
      </c>
      <c r="ER100">
        <v>0</v>
      </c>
      <c r="ES100">
        <v>0</v>
      </c>
      <c r="ET100">
        <v>0</v>
      </c>
      <c r="EU100">
        <v>0</v>
      </c>
      <c r="EV100">
        <v>852.53198388967598</v>
      </c>
      <c r="EW100">
        <v>-28.649999999999899</v>
      </c>
      <c r="EX100">
        <v>1546.39984653174</v>
      </c>
      <c r="EY100">
        <v>856.89610536688201</v>
      </c>
      <c r="EZ100">
        <v>85.330706446261203</v>
      </c>
      <c r="FA100">
        <v>701.27768411015597</v>
      </c>
      <c r="FB100">
        <v>759.79144287109295</v>
      </c>
      <c r="FC100">
        <v>0.36803133690272399</v>
      </c>
      <c r="FD100">
        <v>0.67118225088025896</v>
      </c>
      <c r="FE100">
        <v>0</v>
      </c>
      <c r="FF100">
        <v>1</v>
      </c>
      <c r="FG100" s="159">
        <v>5.9064838093955401E-13</v>
      </c>
      <c r="FH100">
        <v>0</v>
      </c>
      <c r="FI100">
        <v>5.4512674794765098E-5</v>
      </c>
      <c r="FJ100">
        <v>-4.8526462248792701E-3</v>
      </c>
      <c r="FK100" s="159">
        <v>6.57534000000779E-6</v>
      </c>
      <c r="FL100" s="159">
        <v>2.1507420690109501E-6</v>
      </c>
      <c r="FM100" s="159">
        <v>4.0811152879967899E-6</v>
      </c>
      <c r="FN100">
        <v>0</v>
      </c>
      <c r="FO100">
        <v>0</v>
      </c>
      <c r="FP100">
        <v>0</v>
      </c>
      <c r="FQ100">
        <v>0</v>
      </c>
      <c r="FR100">
        <v>0</v>
      </c>
      <c r="FS100">
        <v>0</v>
      </c>
      <c r="FT100">
        <v>0</v>
      </c>
      <c r="FU100">
        <v>0</v>
      </c>
      <c r="FV100">
        <v>-999</v>
      </c>
      <c r="FW100">
        <v>0.49575594149444102</v>
      </c>
      <c r="FX100">
        <v>3.2580183880991302E-3</v>
      </c>
      <c r="FY100">
        <v>1.25060184466807</v>
      </c>
      <c r="FZ100">
        <v>8.4773395228195396E-4</v>
      </c>
      <c r="GA100">
        <v>40.9671933985598</v>
      </c>
      <c r="GB100">
        <v>1.0862781183315001E-2</v>
      </c>
      <c r="GC100">
        <v>2.9358868063013499E-3</v>
      </c>
      <c r="GD100">
        <v>0</v>
      </c>
      <c r="GE100">
        <v>7.0416391466824298E-3</v>
      </c>
      <c r="GF100">
        <v>0.34598303417522203</v>
      </c>
      <c r="GG100">
        <v>5.6291074833565605E-4</v>
      </c>
      <c r="GH100">
        <v>9.3647367182370794E-3</v>
      </c>
      <c r="GI100">
        <v>1.8397173206374899E-2</v>
      </c>
      <c r="GJ100">
        <v>9.0628101583477695E-4</v>
      </c>
      <c r="GK100">
        <v>1.7604869408872599E-3</v>
      </c>
      <c r="GL100">
        <v>0.41484852829103402</v>
      </c>
      <c r="GM100">
        <v>6.9394652663489704E-3</v>
      </c>
      <c r="GN100">
        <v>5.7497969423692E-4</v>
      </c>
      <c r="GO100">
        <v>0</v>
      </c>
      <c r="GP100">
        <v>0</v>
      </c>
      <c r="GQ100">
        <v>0</v>
      </c>
      <c r="GR100">
        <v>6.2657827589446602E-2</v>
      </c>
      <c r="GS100">
        <v>1.16347173797896E-3</v>
      </c>
      <c r="GT100">
        <v>1.30516995705332E-4</v>
      </c>
      <c r="GU100">
        <v>3.9711968953437003E-2</v>
      </c>
      <c r="GV100">
        <v>7.3739794873776499E-4</v>
      </c>
      <c r="GW100">
        <v>8.2720500865545701E-5</v>
      </c>
      <c r="GX100">
        <v>0.12787732261386101</v>
      </c>
      <c r="GY100">
        <v>0.13846522433255801</v>
      </c>
      <c r="GZ100">
        <v>58.930034335134899</v>
      </c>
      <c r="HA100">
        <v>676.83713146771402</v>
      </c>
      <c r="HB100">
        <v>0</v>
      </c>
      <c r="HC100">
        <v>0.99981308564595195</v>
      </c>
      <c r="HD100">
        <v>0.43730330916944699</v>
      </c>
      <c r="HE100">
        <v>1.13571725763131E-2</v>
      </c>
      <c r="HF100">
        <v>9.8328619760506002E-4</v>
      </c>
      <c r="HG100">
        <v>1.36413255402985E-2</v>
      </c>
      <c r="HH100" s="159">
        <v>4.7618785987184502E-7</v>
      </c>
      <c r="HI100" s="159">
        <v>3.3333253905769002E-7</v>
      </c>
      <c r="HJ100">
        <v>0</v>
      </c>
      <c r="HK100">
        <v>0</v>
      </c>
      <c r="HL100">
        <v>0</v>
      </c>
      <c r="HM100">
        <v>0</v>
      </c>
      <c r="HN100">
        <v>0</v>
      </c>
      <c r="HO100">
        <v>1.2064759062639501E-2</v>
      </c>
      <c r="HP100">
        <v>0.57576853350200496</v>
      </c>
      <c r="HQ100">
        <v>1.13571725763131E-2</v>
      </c>
      <c r="HR100">
        <v>9.8328619760506002E-4</v>
      </c>
      <c r="HS100">
        <v>0.71150919840353399</v>
      </c>
      <c r="HT100">
        <v>-999</v>
      </c>
      <c r="HU100">
        <v>1</v>
      </c>
      <c r="HV100">
        <v>0.81839289467875698</v>
      </c>
      <c r="HW100">
        <v>0.181607105321242</v>
      </c>
      <c r="HX100">
        <v>12556.242828991</v>
      </c>
      <c r="HY100">
        <v>398.80048365414899</v>
      </c>
      <c r="HZ100">
        <v>40.281714984395002</v>
      </c>
      <c r="IA100">
        <v>-0.13846522433255801</v>
      </c>
      <c r="IB100">
        <v>0</v>
      </c>
      <c r="IC100">
        <v>0</v>
      </c>
      <c r="ID100">
        <v>0</v>
      </c>
      <c r="IE100">
        <v>0</v>
      </c>
      <c r="IF100">
        <v>0</v>
      </c>
      <c r="IG100">
        <v>0</v>
      </c>
      <c r="IH100">
        <v>0</v>
      </c>
      <c r="II100">
        <v>46.337800049999601</v>
      </c>
      <c r="IJ100">
        <v>463.37800049999902</v>
      </c>
      <c r="IK100">
        <v>1.1142876101278201E-2</v>
      </c>
      <c r="IL100">
        <v>2.4595686434523301E-3</v>
      </c>
      <c r="IM100">
        <v>1.36024447447306E-2</v>
      </c>
      <c r="IN100">
        <v>8.0935029636503995E-4</v>
      </c>
      <c r="IO100">
        <v>0.427677569458982</v>
      </c>
      <c r="IP100">
        <v>1.9439244053048501E-2</v>
      </c>
      <c r="IQ100">
        <v>1.53217105697608E-3</v>
      </c>
      <c r="IR100">
        <v>0.28885389853580801</v>
      </c>
      <c r="IS100">
        <v>0.22857497074296901</v>
      </c>
      <c r="IT100">
        <v>0.29000186503068298</v>
      </c>
      <c r="IU100">
        <v>0.30414123620443601</v>
      </c>
      <c r="IV100">
        <v>1.49959194123575E-2</v>
      </c>
      <c r="IW100">
        <v>1.0878385929069801E-3</v>
      </c>
      <c r="IX100">
        <v>7.4980309201406206E-2</v>
      </c>
      <c r="IY100">
        <v>2.6968734352407898E-3</v>
      </c>
      <c r="IZ100">
        <v>2.6968734352407698E-4</v>
      </c>
      <c r="JA100">
        <v>7.4971561791989896E-2</v>
      </c>
      <c r="JB100">
        <v>2.6965588105568798E-3</v>
      </c>
      <c r="JC100">
        <v>2.6965588105568597E-4</v>
      </c>
      <c r="JD100">
        <v>1.8916263567341399E-4</v>
      </c>
      <c r="JE100">
        <v>3.30621575807855E-3</v>
      </c>
      <c r="JF100" s="159">
        <v>-1.0520149204898401E-18</v>
      </c>
      <c r="JG100">
        <v>0</v>
      </c>
      <c r="JH100">
        <v>4.0900334781838197E-3</v>
      </c>
      <c r="JI100">
        <v>5.4814417759763601E-4</v>
      </c>
      <c r="JJ100">
        <v>-0.51757802232898398</v>
      </c>
      <c r="JK100">
        <v>1.8916263567341399E-4</v>
      </c>
      <c r="JL100" s="159">
        <v>6.5753399999999896E-6</v>
      </c>
      <c r="JM100">
        <v>-0.51757802232898398</v>
      </c>
      <c r="JN100">
        <v>0</v>
      </c>
      <c r="JO100">
        <v>1.2031249074670101</v>
      </c>
      <c r="JP100">
        <v>-1.7532774489484999E-2</v>
      </c>
      <c r="JQ100">
        <v>1.2567236086863699E-3</v>
      </c>
      <c r="JR100">
        <v>1.38760482386182E-2</v>
      </c>
      <c r="JS100">
        <v>1616.6875613416801</v>
      </c>
      <c r="JT100">
        <v>4.2569844539108302E-2</v>
      </c>
      <c r="JU100">
        <v>0</v>
      </c>
      <c r="JV100">
        <v>365</v>
      </c>
      <c r="JW100">
        <v>0</v>
      </c>
      <c r="JX100">
        <v>-0.40268092994350901</v>
      </c>
      <c r="JY100">
        <v>0</v>
      </c>
      <c r="JZ100">
        <v>1.33488304804638</v>
      </c>
      <c r="KA100">
        <v>1.4099749344391399</v>
      </c>
      <c r="KB100">
        <v>1.44649442599432</v>
      </c>
      <c r="KC100">
        <v>0</v>
      </c>
      <c r="KD100">
        <v>0</v>
      </c>
      <c r="KE100">
        <v>0</v>
      </c>
      <c r="KF100">
        <v>3.6199766793448798E-3</v>
      </c>
      <c r="KG100">
        <v>2.2999457386756801E-2</v>
      </c>
      <c r="KH100">
        <v>3.7122260203736802E-2</v>
      </c>
      <c r="KI100">
        <v>0</v>
      </c>
      <c r="KJ100">
        <v>0</v>
      </c>
      <c r="KK100">
        <v>0</v>
      </c>
      <c r="KL100">
        <v>0</v>
      </c>
      <c r="KM100">
        <v>0</v>
      </c>
      <c r="KN100">
        <v>0</v>
      </c>
      <c r="KO100">
        <v>0</v>
      </c>
      <c r="KP100">
        <v>0</v>
      </c>
      <c r="KQ100">
        <v>0</v>
      </c>
      <c r="KR100">
        <v>0</v>
      </c>
      <c r="KS100">
        <v>0</v>
      </c>
      <c r="KT100">
        <v>0</v>
      </c>
      <c r="KU100">
        <v>0.34999999999999898</v>
      </c>
      <c r="KV100">
        <v>-0.11218116946737</v>
      </c>
      <c r="KW100">
        <v>1.78249809387199E-3</v>
      </c>
      <c r="KX100">
        <v>35063.884205507798</v>
      </c>
      <c r="KY100">
        <v>0</v>
      </c>
      <c r="KZ100">
        <v>0.21067558476946699</v>
      </c>
      <c r="LA100">
        <v>1.73602675993533E-5</v>
      </c>
      <c r="LB100">
        <v>0</v>
      </c>
      <c r="LC100">
        <v>-12.1250667685132</v>
      </c>
      <c r="LD100">
        <v>1.57241372109241E-2</v>
      </c>
      <c r="LE100">
        <v>3.4189973687963199E-3</v>
      </c>
      <c r="LF100">
        <v>1.57241372109241E-2</v>
      </c>
      <c r="LG100">
        <v>0.95668754074856899</v>
      </c>
      <c r="LH100">
        <v>1.24509947812337</v>
      </c>
      <c r="LI100">
        <v>0</v>
      </c>
      <c r="LJ100">
        <v>0</v>
      </c>
      <c r="LK100">
        <v>0.24491742118510601</v>
      </c>
      <c r="LL100">
        <v>0</v>
      </c>
      <c r="LM100">
        <v>0</v>
      </c>
      <c r="LN100">
        <v>0</v>
      </c>
      <c r="LO100">
        <v>0</v>
      </c>
      <c r="LP100">
        <v>0</v>
      </c>
      <c r="LQ100">
        <v>0</v>
      </c>
      <c r="LR100">
        <v>0</v>
      </c>
      <c r="LS100">
        <v>0</v>
      </c>
      <c r="LT100">
        <v>-999</v>
      </c>
      <c r="LU100">
        <v>0.42571399641520902</v>
      </c>
      <c r="LV100">
        <v>99</v>
      </c>
      <c r="LW100">
        <v>388.07999999999902</v>
      </c>
      <c r="LX100">
        <v>3.6259999999999901</v>
      </c>
      <c r="LY100">
        <v>0</v>
      </c>
      <c r="LZ100">
        <v>-999</v>
      </c>
      <c r="MA100">
        <v>0</v>
      </c>
      <c r="MB100">
        <v>0</v>
      </c>
      <c r="MC100">
        <v>788.07999999999902</v>
      </c>
      <c r="MD100">
        <v>-23.6999999999999</v>
      </c>
      <c r="ME100">
        <v>-33.6</v>
      </c>
      <c r="MF100">
        <v>0</v>
      </c>
      <c r="MG100">
        <v>8.0706896550000007</v>
      </c>
      <c r="MH100">
        <v>0</v>
      </c>
      <c r="MI100">
        <v>0</v>
      </c>
      <c r="MJ100">
        <v>0</v>
      </c>
      <c r="MK100">
        <v>0</v>
      </c>
      <c r="ML100">
        <v>0</v>
      </c>
      <c r="MM100">
        <v>0</v>
      </c>
      <c r="MN100">
        <v>0</v>
      </c>
      <c r="MO100">
        <v>0</v>
      </c>
      <c r="MP100">
        <v>0</v>
      </c>
      <c r="MQ100">
        <v>0</v>
      </c>
      <c r="MR100">
        <v>0</v>
      </c>
      <c r="MS100">
        <v>0</v>
      </c>
      <c r="MT100">
        <v>0</v>
      </c>
      <c r="MU100">
        <v>0</v>
      </c>
      <c r="MV100">
        <v>0</v>
      </c>
    </row>
    <row r="101" spans="1:360" x14ac:dyDescent="0.25">
      <c r="A101">
        <v>36500</v>
      </c>
      <c r="B101">
        <v>0</v>
      </c>
      <c r="C101">
        <v>-33.6</v>
      </c>
      <c r="D101">
        <v>-23.6999999999999</v>
      </c>
      <c r="E101">
        <v>400</v>
      </c>
      <c r="F101">
        <v>0</v>
      </c>
      <c r="G101">
        <v>0</v>
      </c>
      <c r="H101">
        <v>0</v>
      </c>
      <c r="I101">
        <v>0</v>
      </c>
      <c r="J101">
        <v>0</v>
      </c>
      <c r="K101">
        <v>0</v>
      </c>
      <c r="L101" s="159">
        <v>6.5753399999999896E-6</v>
      </c>
      <c r="M101">
        <v>0</v>
      </c>
      <c r="N101">
        <v>0</v>
      </c>
      <c r="O101">
        <v>0</v>
      </c>
      <c r="P101">
        <v>0</v>
      </c>
      <c r="Q101">
        <v>0</v>
      </c>
      <c r="R101">
        <v>0</v>
      </c>
      <c r="S101">
        <v>0</v>
      </c>
      <c r="T101">
        <v>0</v>
      </c>
      <c r="U101">
        <v>735.08362231093804</v>
      </c>
      <c r="V101">
        <v>14.490908356509999</v>
      </c>
      <c r="W101">
        <v>1.40237680012371</v>
      </c>
      <c r="X101">
        <v>0.27314010155741397</v>
      </c>
      <c r="Y101">
        <v>0.26525011621641298</v>
      </c>
      <c r="Z101">
        <v>0.46160978222617199</v>
      </c>
      <c r="AA101">
        <v>0.11263836548688901</v>
      </c>
      <c r="AB101">
        <v>0.551207798910747</v>
      </c>
      <c r="AC101">
        <v>0.33615383560236201</v>
      </c>
      <c r="AD101">
        <v>0.88441827762257696</v>
      </c>
      <c r="AE101">
        <v>3.6617704850307499E-2</v>
      </c>
      <c r="AF101">
        <v>7.8964017527115099E-2</v>
      </c>
      <c r="AG101">
        <v>0</v>
      </c>
      <c r="AH101">
        <v>3450.4382352152602</v>
      </c>
      <c r="AI101">
        <v>78.5588721531755</v>
      </c>
      <c r="AJ101">
        <v>8.1660513819296199</v>
      </c>
      <c r="AK101">
        <v>420.97332465050101</v>
      </c>
      <c r="AL101">
        <v>7.8169094671325796</v>
      </c>
      <c r="AM101">
        <v>0.87689241263645701</v>
      </c>
      <c r="AN101">
        <v>8685.4981964844101</v>
      </c>
      <c r="AO101">
        <v>312.39787628791601</v>
      </c>
      <c r="AP101">
        <v>31.239787628791401</v>
      </c>
      <c r="AQ101">
        <v>3.0755436031047901E-2</v>
      </c>
      <c r="AR101">
        <v>6.4437169925571098E-3</v>
      </c>
      <c r="AS101">
        <v>1.7861048948317498E-2</v>
      </c>
      <c r="AT101">
        <v>9.48</v>
      </c>
      <c r="AU101">
        <v>5.95778989946806</v>
      </c>
      <c r="AV101">
        <v>0</v>
      </c>
      <c r="AW101">
        <v>85.7306833892833</v>
      </c>
      <c r="AX101">
        <v>66.797038713633398</v>
      </c>
      <c r="AY101">
        <v>361.41263699424002</v>
      </c>
      <c r="AZ101">
        <v>0.54833294000258403</v>
      </c>
      <c r="BA101">
        <v>0.86183193722367801</v>
      </c>
      <c r="BB101">
        <v>1.43203965057262E-2</v>
      </c>
      <c r="BC101">
        <v>1.2009505595575499E-3</v>
      </c>
      <c r="BD101">
        <v>0.60463253033108999</v>
      </c>
      <c r="BE101">
        <v>9.3896865303992102E-3</v>
      </c>
      <c r="BF101">
        <v>7.6275536178908702E-4</v>
      </c>
      <c r="BG101">
        <v>766.29999847710098</v>
      </c>
      <c r="BH101">
        <v>-1626.59999865293</v>
      </c>
      <c r="BI101">
        <v>438.28313960532103</v>
      </c>
      <c r="BJ101">
        <v>214.35776610765799</v>
      </c>
      <c r="BK101">
        <v>3.5705663202314502</v>
      </c>
      <c r="BL101">
        <v>4.9501979922758403</v>
      </c>
      <c r="BM101">
        <v>196.02733263132899</v>
      </c>
      <c r="BN101">
        <v>22.7369362602454</v>
      </c>
      <c r="BO101">
        <v>218.764268891575</v>
      </c>
      <c r="BP101">
        <v>3.5535380459937498</v>
      </c>
      <c r="BQ101">
        <v>0.29970637861787902</v>
      </c>
      <c r="BR101">
        <v>210.787199787427</v>
      </c>
      <c r="BS101">
        <v>2.1983536000183101</v>
      </c>
      <c r="BT101">
        <v>0.29868993965541901</v>
      </c>
      <c r="BU101">
        <v>3.5628189786117499</v>
      </c>
      <c r="BV101">
        <v>1.7524855279613101</v>
      </c>
      <c r="BW101">
        <v>0.47244210138670001</v>
      </c>
      <c r="BX101">
        <v>1.3378913492637401</v>
      </c>
      <c r="BY101">
        <v>0</v>
      </c>
      <c r="BZ101">
        <v>3.1313436647847901</v>
      </c>
      <c r="CA101">
        <v>0.42219438120896902</v>
      </c>
      <c r="CB101">
        <v>0.300610354940061</v>
      </c>
      <c r="CC101">
        <v>0.25234507155700803</v>
      </c>
      <c r="CD101">
        <v>4.7361307060870703E-2</v>
      </c>
      <c r="CE101">
        <v>22.5031389514773</v>
      </c>
      <c r="CF101">
        <v>168.33666527788401</v>
      </c>
      <c r="CG101">
        <v>42.254116956230199</v>
      </c>
      <c r="CH101">
        <v>0.41785307906633201</v>
      </c>
      <c r="CI101">
        <v>7.4474689426929697</v>
      </c>
      <c r="CJ101">
        <v>1.76473394670759</v>
      </c>
      <c r="CK101">
        <v>9.8837060396155199</v>
      </c>
      <c r="CL101">
        <v>1.51978575125264</v>
      </c>
      <c r="CM101">
        <v>0.10620937858125799</v>
      </c>
      <c r="CN101">
        <v>4.68743045023979E-2</v>
      </c>
      <c r="CO101">
        <v>0.51939909380582705</v>
      </c>
      <c r="CP101">
        <v>0.66540398848091498</v>
      </c>
      <c r="CQ101">
        <v>0.151978575125263</v>
      </c>
      <c r="CR101">
        <v>42.450534509542699</v>
      </c>
      <c r="CS101">
        <v>1.5268504498033</v>
      </c>
      <c r="CT101">
        <v>0.152685044980329</v>
      </c>
      <c r="CU101">
        <v>1.4699999999997E-2</v>
      </c>
      <c r="CV101">
        <v>2.19356513689017E-3</v>
      </c>
      <c r="CW101">
        <v>2.2231019461987098</v>
      </c>
      <c r="CX101">
        <v>2.0299999999995901E-2</v>
      </c>
      <c r="CY101">
        <v>6.2231494655120498E-3</v>
      </c>
      <c r="CZ101">
        <v>0</v>
      </c>
      <c r="DA101">
        <v>2.3999991000029199E-3</v>
      </c>
      <c r="DB101">
        <v>1.4895284727267099E-3</v>
      </c>
      <c r="DC101">
        <v>1.9999999999996002E-3</v>
      </c>
      <c r="DD101">
        <v>3.1388191948110802E-3</v>
      </c>
      <c r="DE101">
        <v>8.6723369835912099E-4</v>
      </c>
      <c r="DF101">
        <v>2.3999991000000702E-3</v>
      </c>
      <c r="DG101">
        <v>0</v>
      </c>
      <c r="DH101">
        <v>0</v>
      </c>
      <c r="DI101">
        <v>0.23180769399995299</v>
      </c>
      <c r="DJ101">
        <v>1.88461551999962E-2</v>
      </c>
      <c r="DK101">
        <v>2.5917514467251799</v>
      </c>
      <c r="DL101">
        <v>0.16917437641809199</v>
      </c>
      <c r="DM101">
        <v>54.252174439017502</v>
      </c>
      <c r="DN101">
        <v>244.56297959851801</v>
      </c>
      <c r="DO101">
        <v>327.66000000000003</v>
      </c>
      <c r="DP101">
        <v>28.8310366233252</v>
      </c>
      <c r="DQ101">
        <v>157.94999999999899</v>
      </c>
      <c r="DR101">
        <v>169.71</v>
      </c>
      <c r="DS101">
        <v>156.94323592111701</v>
      </c>
      <c r="DT101">
        <v>0</v>
      </c>
      <c r="DU101">
        <v>0</v>
      </c>
      <c r="DV101">
        <v>0</v>
      </c>
      <c r="DW101">
        <v>0</v>
      </c>
      <c r="DX101">
        <v>0</v>
      </c>
      <c r="DY101">
        <v>0</v>
      </c>
      <c r="DZ101">
        <v>0</v>
      </c>
      <c r="EA101">
        <v>0</v>
      </c>
      <c r="EB101">
        <v>0</v>
      </c>
      <c r="EC101">
        <v>0</v>
      </c>
      <c r="ED101">
        <v>0</v>
      </c>
      <c r="EE101">
        <v>0</v>
      </c>
      <c r="EF101">
        <v>1.2404118174885701</v>
      </c>
      <c r="EG101">
        <v>0</v>
      </c>
      <c r="EH101">
        <v>0</v>
      </c>
      <c r="EI101">
        <v>0</v>
      </c>
      <c r="EJ101">
        <v>0</v>
      </c>
      <c r="EK101">
        <v>0</v>
      </c>
      <c r="EL101">
        <v>0</v>
      </c>
      <c r="EM101">
        <v>0</v>
      </c>
      <c r="EN101">
        <v>0</v>
      </c>
      <c r="EO101">
        <v>0</v>
      </c>
      <c r="EP101">
        <v>0</v>
      </c>
      <c r="EQ101">
        <v>0</v>
      </c>
      <c r="ER101">
        <v>0</v>
      </c>
      <c r="ES101">
        <v>0</v>
      </c>
      <c r="ET101">
        <v>0</v>
      </c>
      <c r="EU101">
        <v>0</v>
      </c>
      <c r="EV101">
        <v>853.10988959533097</v>
      </c>
      <c r="EW101">
        <v>-28.649999999999899</v>
      </c>
      <c r="EX101">
        <v>1547.54446802302</v>
      </c>
      <c r="EY101">
        <v>857.229367174814</v>
      </c>
      <c r="EZ101">
        <v>85.2303542794875</v>
      </c>
      <c r="FA101">
        <v>701.79395911947097</v>
      </c>
      <c r="FB101">
        <v>760.52014160156205</v>
      </c>
      <c r="FC101">
        <v>0.36759851800742899</v>
      </c>
      <c r="FD101">
        <v>0.67039291494269404</v>
      </c>
      <c r="FE101">
        <v>0</v>
      </c>
      <c r="FF101">
        <v>1</v>
      </c>
      <c r="FG101" s="159">
        <v>5.9064838093955401E-13</v>
      </c>
      <c r="FH101">
        <v>0</v>
      </c>
      <c r="FI101">
        <v>5.4512674794765098E-5</v>
      </c>
      <c r="FJ101">
        <v>-4.8480227448575502E-3</v>
      </c>
      <c r="FK101" s="159">
        <v>6.57534000000779E-6</v>
      </c>
      <c r="FL101" s="159">
        <v>2.1462809912310001E-6</v>
      </c>
      <c r="FM101" s="159">
        <v>4.0806890575457003E-6</v>
      </c>
      <c r="FN101">
        <v>0</v>
      </c>
      <c r="FO101">
        <v>0</v>
      </c>
      <c r="FP101">
        <v>0</v>
      </c>
      <c r="FQ101">
        <v>0</v>
      </c>
      <c r="FR101">
        <v>0</v>
      </c>
      <c r="FS101">
        <v>0</v>
      </c>
      <c r="FT101">
        <v>0</v>
      </c>
      <c r="FU101">
        <v>0</v>
      </c>
      <c r="FV101">
        <v>-999</v>
      </c>
      <c r="FW101">
        <v>0.49585985019870499</v>
      </c>
      <c r="FX101">
        <v>3.2586097562393801E-3</v>
      </c>
      <c r="FY101">
        <v>1.2511045309933</v>
      </c>
      <c r="FZ101">
        <v>8.4579776587439105E-4</v>
      </c>
      <c r="GA101">
        <v>40.9425774073746</v>
      </c>
      <c r="GB101">
        <v>1.08702975721424E-2</v>
      </c>
      <c r="GC101">
        <v>2.9379182627412102E-3</v>
      </c>
      <c r="GD101">
        <v>0</v>
      </c>
      <c r="GE101">
        <v>7.0423257848549903E-3</v>
      </c>
      <c r="GF101">
        <v>0.345265394785433</v>
      </c>
      <c r="GG101">
        <v>5.6299472780643798E-4</v>
      </c>
      <c r="GH101">
        <v>9.3638074096972293E-3</v>
      </c>
      <c r="GI101">
        <v>1.83956408597678E-2</v>
      </c>
      <c r="GJ101">
        <v>9.0619483258871101E-4</v>
      </c>
      <c r="GK101">
        <v>1.7603855945938301E-3</v>
      </c>
      <c r="GL101">
        <v>0.41512763639748901</v>
      </c>
      <c r="GM101">
        <v>6.9440617098870897E-3</v>
      </c>
      <c r="GN101">
        <v>5.7535970174816002E-4</v>
      </c>
      <c r="GO101">
        <v>0</v>
      </c>
      <c r="GP101">
        <v>0</v>
      </c>
      <c r="GQ101">
        <v>0</v>
      </c>
      <c r="GR101">
        <v>6.2687867238841496E-2</v>
      </c>
      <c r="GS101">
        <v>1.16402953393893E-3</v>
      </c>
      <c r="GT101">
        <v>1.3057956865019599E-4</v>
      </c>
      <c r="GU101">
        <v>3.9734118565387402E-2</v>
      </c>
      <c r="GV101">
        <v>7.3780923729504296E-4</v>
      </c>
      <c r="GW101">
        <v>8.2766638769124902E-5</v>
      </c>
      <c r="GX101">
        <v>0.127968532933387</v>
      </c>
      <c r="GY101">
        <v>0.13855846302994601</v>
      </c>
      <c r="GZ101">
        <v>58.930701353437101</v>
      </c>
      <c r="HA101">
        <v>676.85072027045896</v>
      </c>
      <c r="HB101">
        <v>0</v>
      </c>
      <c r="HC101">
        <v>0.99981308636983102</v>
      </c>
      <c r="HD101">
        <v>0.43758057867414002</v>
      </c>
      <c r="HE101">
        <v>1.1364487415891E-2</v>
      </c>
      <c r="HF101">
        <v>9.83921507922087E-4</v>
      </c>
      <c r="HG101">
        <v>1.36502527438733E-2</v>
      </c>
      <c r="HH101" s="159">
        <v>4.7618786204486602E-7</v>
      </c>
      <c r="HI101" s="159">
        <v>3.33332538922914E-7</v>
      </c>
      <c r="HJ101">
        <v>0</v>
      </c>
      <c r="HK101">
        <v>0</v>
      </c>
      <c r="HL101">
        <v>0</v>
      </c>
      <c r="HM101">
        <v>0</v>
      </c>
      <c r="HN101">
        <v>0</v>
      </c>
      <c r="HO101">
        <v>1.20725767790323E-2</v>
      </c>
      <c r="HP101">
        <v>0.57613904170408703</v>
      </c>
      <c r="HQ101">
        <v>1.1364487415891E-2</v>
      </c>
      <c r="HR101">
        <v>9.83921507922087E-4</v>
      </c>
      <c r="HS101">
        <v>0.71137667084928102</v>
      </c>
      <c r="HT101">
        <v>-999</v>
      </c>
      <c r="HU101">
        <v>1</v>
      </c>
      <c r="HV101">
        <v>0.81867699123792903</v>
      </c>
      <c r="HW101">
        <v>0.18132300876207</v>
      </c>
      <c r="HX101">
        <v>12556.9097563501</v>
      </c>
      <c r="HY101">
        <v>398.77365790822398</v>
      </c>
      <c r="HZ101">
        <v>40.282731423357497</v>
      </c>
      <c r="IA101">
        <v>-0.13855846302994601</v>
      </c>
      <c r="IB101">
        <v>0</v>
      </c>
      <c r="IC101">
        <v>0</v>
      </c>
      <c r="ID101">
        <v>0</v>
      </c>
      <c r="IE101">
        <v>0</v>
      </c>
      <c r="IF101">
        <v>0</v>
      </c>
      <c r="IG101">
        <v>0</v>
      </c>
      <c r="IH101">
        <v>0</v>
      </c>
      <c r="II101">
        <v>46.337800049999601</v>
      </c>
      <c r="IJ101">
        <v>463.37800049999902</v>
      </c>
      <c r="IK101">
        <v>1.11527005526311E-2</v>
      </c>
      <c r="IL101">
        <v>2.46219155069496E-3</v>
      </c>
      <c r="IM101">
        <v>1.3614892103326099E-2</v>
      </c>
      <c r="IN101">
        <v>8.07874233018795E-4</v>
      </c>
      <c r="IO101">
        <v>0.42775650234331303</v>
      </c>
      <c r="IP101">
        <v>1.9450258321618102E-2</v>
      </c>
      <c r="IQ101">
        <v>1.53080590591242E-3</v>
      </c>
      <c r="IR101">
        <v>0.28878894538138</v>
      </c>
      <c r="IS101">
        <v>0.228436316971702</v>
      </c>
      <c r="IT101">
        <v>0.29024877405932897</v>
      </c>
      <c r="IU101">
        <v>0.30422515315156001</v>
      </c>
      <c r="IV101">
        <v>1.50071129464794E-2</v>
      </c>
      <c r="IW101">
        <v>1.0864913683985599E-3</v>
      </c>
      <c r="IX101">
        <v>7.4982494444536002E-2</v>
      </c>
      <c r="IY101">
        <v>2.6969520335315801E-3</v>
      </c>
      <c r="IZ101">
        <v>2.6969520335315601E-4</v>
      </c>
      <c r="JA101">
        <v>7.4970021849102397E-2</v>
      </c>
      <c r="JB101">
        <v>2.6965034222674799E-3</v>
      </c>
      <c r="JC101">
        <v>2.6965034222674599E-4</v>
      </c>
      <c r="JD101">
        <v>1.8945003682621999E-4</v>
      </c>
      <c r="JE101">
        <v>3.3069107122084E-3</v>
      </c>
      <c r="JF101" s="159">
        <v>-2.0498197323554001E-19</v>
      </c>
      <c r="JG101">
        <v>0</v>
      </c>
      <c r="JH101">
        <v>4.0887242654208296E-3</v>
      </c>
      <c r="JI101">
        <v>5.4826747760651203E-4</v>
      </c>
      <c r="JJ101">
        <v>-0.51775363803060903</v>
      </c>
      <c r="JK101">
        <v>1.8945003682621999E-4</v>
      </c>
      <c r="JL101" s="159">
        <v>6.5753399999999896E-6</v>
      </c>
      <c r="JM101">
        <v>-0.51775363803060903</v>
      </c>
      <c r="JN101">
        <v>0</v>
      </c>
      <c r="JO101">
        <v>1.21062256750607</v>
      </c>
      <c r="JP101">
        <v>-1.7535557239246699E-2</v>
      </c>
      <c r="JQ101">
        <v>1.26117990518859E-3</v>
      </c>
      <c r="JR101">
        <v>1.38093391385289E-2</v>
      </c>
      <c r="JS101">
        <v>1617.7495217983601</v>
      </c>
      <c r="JT101">
        <v>4.2519780777578203E-2</v>
      </c>
      <c r="JU101">
        <v>0</v>
      </c>
      <c r="JV101">
        <v>365</v>
      </c>
      <c r="JW101">
        <v>0</v>
      </c>
      <c r="JX101">
        <v>-0.40268092994350901</v>
      </c>
      <c r="JY101">
        <v>0</v>
      </c>
      <c r="JZ101">
        <v>1.3350813511381701</v>
      </c>
      <c r="KA101">
        <v>1.4100675718072699</v>
      </c>
      <c r="KB101">
        <v>1.44670724515146</v>
      </c>
      <c r="KC101">
        <v>0</v>
      </c>
      <c r="KD101">
        <v>0</v>
      </c>
      <c r="KE101">
        <v>0</v>
      </c>
      <c r="KF101">
        <v>3.6207311266958199E-3</v>
      </c>
      <c r="KG101">
        <v>2.3008316070948501E-2</v>
      </c>
      <c r="KH101">
        <v>3.70994188877991E-2</v>
      </c>
      <c r="KI101">
        <v>0</v>
      </c>
      <c r="KJ101">
        <v>0</v>
      </c>
      <c r="KK101">
        <v>0</v>
      </c>
      <c r="KL101">
        <v>0</v>
      </c>
      <c r="KM101">
        <v>0</v>
      </c>
      <c r="KN101">
        <v>0</v>
      </c>
      <c r="KO101">
        <v>0</v>
      </c>
      <c r="KP101">
        <v>0</v>
      </c>
      <c r="KQ101">
        <v>0</v>
      </c>
      <c r="KR101">
        <v>0</v>
      </c>
      <c r="KS101">
        <v>0</v>
      </c>
      <c r="KT101">
        <v>0</v>
      </c>
      <c r="KU101">
        <v>0.34999999999999898</v>
      </c>
      <c r="KV101">
        <v>-0.112136710697971</v>
      </c>
      <c r="KW101">
        <v>1.7818423255246E-3</v>
      </c>
      <c r="KX101">
        <v>35089.697955973497</v>
      </c>
      <c r="KY101">
        <v>0</v>
      </c>
      <c r="KZ101">
        <v>0.21068310402304699</v>
      </c>
      <c r="LA101">
        <v>1.73602675993533E-5</v>
      </c>
      <c r="LB101">
        <v>0</v>
      </c>
      <c r="LC101">
        <v>-12.124836875981099</v>
      </c>
      <c r="LD101">
        <v>1.57242466692065E-2</v>
      </c>
      <c r="LE101">
        <v>3.4191006313269599E-3</v>
      </c>
      <c r="LF101">
        <v>1.57242466692065E-2</v>
      </c>
      <c r="LG101">
        <v>0.95678210000674002</v>
      </c>
      <c r="LH101">
        <v>1.2452069318258401</v>
      </c>
      <c r="LI101">
        <v>0</v>
      </c>
      <c r="LJ101">
        <v>0</v>
      </c>
      <c r="LK101">
        <v>0.244944809683666</v>
      </c>
      <c r="LL101">
        <v>0</v>
      </c>
      <c r="LM101">
        <v>0</v>
      </c>
      <c r="LN101">
        <v>0</v>
      </c>
      <c r="LO101">
        <v>0</v>
      </c>
      <c r="LP101">
        <v>0</v>
      </c>
      <c r="LQ101">
        <v>0</v>
      </c>
      <c r="LR101">
        <v>0</v>
      </c>
      <c r="LS101">
        <v>0</v>
      </c>
      <c r="LT101">
        <v>-999</v>
      </c>
      <c r="LU101">
        <v>0.42571487917613898</v>
      </c>
      <c r="LV101">
        <v>100</v>
      </c>
      <c r="LW101">
        <v>392.04</v>
      </c>
      <c r="LX101">
        <v>3.66299999999999</v>
      </c>
      <c r="LY101">
        <v>0</v>
      </c>
      <c r="LZ101">
        <v>-999</v>
      </c>
      <c r="MA101">
        <v>0</v>
      </c>
      <c r="MB101">
        <v>0</v>
      </c>
      <c r="MC101">
        <v>792.03999999999905</v>
      </c>
      <c r="MD101">
        <v>-23.6999999999999</v>
      </c>
      <c r="ME101">
        <v>-33.6</v>
      </c>
      <c r="MF101">
        <v>0</v>
      </c>
      <c r="MG101">
        <v>8.0706896550000007</v>
      </c>
      <c r="MH101">
        <v>0</v>
      </c>
      <c r="MI101">
        <v>0</v>
      </c>
      <c r="MJ101">
        <v>0</v>
      </c>
      <c r="MK101">
        <v>0</v>
      </c>
      <c r="ML101">
        <v>0</v>
      </c>
      <c r="MM101">
        <v>0</v>
      </c>
      <c r="MN101">
        <v>0</v>
      </c>
      <c r="MO101">
        <v>0</v>
      </c>
      <c r="MP101">
        <v>0</v>
      </c>
      <c r="MQ101">
        <v>0</v>
      </c>
      <c r="MR101">
        <v>0</v>
      </c>
      <c r="MS101">
        <v>0</v>
      </c>
      <c r="MT101">
        <v>0</v>
      </c>
      <c r="MU101">
        <v>0</v>
      </c>
      <c r="MV101">
        <v>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798"/>
  <sheetViews>
    <sheetView zoomScale="96" zoomScaleNormal="96" workbookViewId="0">
      <selection activeCell="R124" sqref="R124"/>
    </sheetView>
  </sheetViews>
  <sheetFormatPr defaultRowHeight="12.5" x14ac:dyDescent="0.25"/>
  <cols>
    <col min="2" max="2" width="26.54296875" customWidth="1"/>
    <col min="3" max="3" width="51.81640625" customWidth="1"/>
    <col min="4" max="4" width="11.7265625" customWidth="1"/>
    <col min="5" max="5" width="13.81640625" customWidth="1"/>
  </cols>
  <sheetData>
    <row r="1" spans="1:18" ht="13" x14ac:dyDescent="0.3">
      <c r="A1" s="131" t="s">
        <v>259</v>
      </c>
      <c r="B1" s="12"/>
    </row>
    <row r="2" spans="1:18" ht="32" x14ac:dyDescent="0.3">
      <c r="A2" s="70" t="s">
        <v>261</v>
      </c>
      <c r="B2" s="71" t="s">
        <v>652</v>
      </c>
      <c r="C2" s="71" t="s">
        <v>262</v>
      </c>
      <c r="D2" s="72" t="s">
        <v>263</v>
      </c>
      <c r="E2" s="72" t="s">
        <v>264</v>
      </c>
      <c r="F2" s="91" t="s">
        <v>265</v>
      </c>
      <c r="G2" s="71" t="s">
        <v>266</v>
      </c>
      <c r="H2" s="71" t="s">
        <v>267</v>
      </c>
      <c r="I2" s="71" t="s">
        <v>268</v>
      </c>
      <c r="J2" s="87" t="s">
        <v>1352</v>
      </c>
      <c r="K2" s="71" t="s">
        <v>653</v>
      </c>
      <c r="R2" s="130" t="s">
        <v>33</v>
      </c>
    </row>
    <row r="3" spans="1:18" ht="12.75" customHeight="1" x14ac:dyDescent="0.25">
      <c r="A3" s="92">
        <v>1169</v>
      </c>
      <c r="B3" s="93" t="s">
        <v>721</v>
      </c>
      <c r="C3" s="93" t="str">
        <f>B3</f>
        <v xml:space="preserve">2304 Tower </v>
      </c>
      <c r="D3" s="94">
        <v>68.99666666666667</v>
      </c>
      <c r="E3" s="76">
        <v>-150.21250000000001</v>
      </c>
      <c r="F3" s="95"/>
      <c r="G3" s="93" t="s">
        <v>619</v>
      </c>
      <c r="H3" s="93" t="s">
        <v>625</v>
      </c>
      <c r="I3" s="93" t="s">
        <v>284</v>
      </c>
      <c r="J3" s="76" t="s">
        <v>946</v>
      </c>
      <c r="K3" s="73" t="str">
        <f t="shared" ref="K3:K66" si="0">HYPERLINK("http://maps.google.com/maps?q="&amp;D3&amp;","&amp;E3,"View on Google Map")</f>
        <v>View on Google Map</v>
      </c>
      <c r="R3" s="12"/>
    </row>
    <row r="4" spans="1:18" ht="12.75" customHeight="1" x14ac:dyDescent="0.25">
      <c r="A4" s="92">
        <v>1170</v>
      </c>
      <c r="B4" s="93" t="s">
        <v>722</v>
      </c>
      <c r="C4" s="93" t="str">
        <f>B4</f>
        <v xml:space="preserve">2308 Tower </v>
      </c>
      <c r="D4" s="94">
        <v>68.952222222222218</v>
      </c>
      <c r="E4" s="76">
        <v>-150.21250000000001</v>
      </c>
      <c r="F4" s="95"/>
      <c r="G4" s="93" t="s">
        <v>619</v>
      </c>
      <c r="H4" s="93" t="s">
        <v>625</v>
      </c>
      <c r="I4" s="93" t="s">
        <v>284</v>
      </c>
      <c r="J4" s="76" t="s">
        <v>946</v>
      </c>
      <c r="K4" s="73" t="str">
        <f t="shared" si="0"/>
        <v>View on Google Map</v>
      </c>
      <c r="R4" s="12" t="s">
        <v>114</v>
      </c>
    </row>
    <row r="5" spans="1:18" ht="12.75" customHeight="1" x14ac:dyDescent="0.25">
      <c r="A5" s="92">
        <v>1171</v>
      </c>
      <c r="B5" s="93" t="s">
        <v>723</v>
      </c>
      <c r="C5" s="93" t="str">
        <f>B5</f>
        <v xml:space="preserve">2309 Tower </v>
      </c>
      <c r="D5" s="94">
        <v>68.934444444444452</v>
      </c>
      <c r="E5" s="76">
        <v>-150.272777777778</v>
      </c>
      <c r="F5" s="92"/>
      <c r="G5" s="93" t="s">
        <v>619</v>
      </c>
      <c r="H5" s="93" t="s">
        <v>625</v>
      </c>
      <c r="I5" s="93" t="s">
        <v>284</v>
      </c>
      <c r="J5" s="76" t="s">
        <v>946</v>
      </c>
      <c r="K5" s="73" t="str">
        <f t="shared" si="0"/>
        <v>View on Google Map</v>
      </c>
      <c r="R5" s="12" t="s">
        <v>34</v>
      </c>
    </row>
    <row r="6" spans="1:18" s="76" customFormat="1" ht="12.75" customHeight="1" x14ac:dyDescent="0.25">
      <c r="A6" s="96">
        <v>596</v>
      </c>
      <c r="B6" s="113" t="s">
        <v>724</v>
      </c>
      <c r="C6" s="93" t="str">
        <f>B6</f>
        <v>Ahaliorak</v>
      </c>
      <c r="D6" s="114">
        <v>68.901968999999994</v>
      </c>
      <c r="E6" s="76">
        <v>-151.305262</v>
      </c>
      <c r="F6" s="106">
        <v>350</v>
      </c>
      <c r="G6" s="97" t="s">
        <v>301</v>
      </c>
      <c r="H6" s="97" t="s">
        <v>516</v>
      </c>
      <c r="I6" s="97"/>
      <c r="J6" s="76" t="s">
        <v>998</v>
      </c>
      <c r="K6" s="73" t="str">
        <f t="shared" si="0"/>
        <v>View on Google Map</v>
      </c>
      <c r="R6" s="12" t="s">
        <v>132</v>
      </c>
    </row>
    <row r="7" spans="1:18" ht="12.75" customHeight="1" x14ac:dyDescent="0.25">
      <c r="A7" s="92">
        <v>7</v>
      </c>
      <c r="B7" s="93" t="s">
        <v>277</v>
      </c>
      <c r="C7" s="93" t="s">
        <v>725</v>
      </c>
      <c r="D7" s="94">
        <v>68.95</v>
      </c>
      <c r="E7" s="76">
        <v>-148.86666666666699</v>
      </c>
      <c r="F7" s="95">
        <v>360</v>
      </c>
      <c r="G7" s="93" t="s">
        <v>269</v>
      </c>
      <c r="H7" s="93" t="s">
        <v>726</v>
      </c>
      <c r="I7" s="93" t="s">
        <v>272</v>
      </c>
      <c r="J7" s="76" t="s">
        <v>946</v>
      </c>
      <c r="K7" s="73" t="str">
        <f t="shared" si="0"/>
        <v>View on Google Map</v>
      </c>
      <c r="R7" s="12" t="s">
        <v>35</v>
      </c>
    </row>
    <row r="8" spans="1:18" ht="12.75" customHeight="1" x14ac:dyDescent="0.25">
      <c r="A8" s="96">
        <v>517</v>
      </c>
      <c r="B8" s="93" t="s">
        <v>580</v>
      </c>
      <c r="C8" s="93" t="s">
        <v>570</v>
      </c>
      <c r="D8" s="109">
        <v>68.467830000000006</v>
      </c>
      <c r="E8" s="76">
        <v>-151.47917000000001</v>
      </c>
      <c r="F8" s="106">
        <v>732</v>
      </c>
      <c r="G8" s="93" t="s">
        <v>301</v>
      </c>
      <c r="H8" s="93" t="s">
        <v>516</v>
      </c>
      <c r="I8" s="93" t="s">
        <v>571</v>
      </c>
      <c r="J8" s="76" t="s">
        <v>946</v>
      </c>
      <c r="K8" s="73" t="str">
        <f t="shared" si="0"/>
        <v>View on Google Map</v>
      </c>
      <c r="R8" s="12" t="s">
        <v>36</v>
      </c>
    </row>
    <row r="9" spans="1:18" ht="12.75" customHeight="1" x14ac:dyDescent="0.25">
      <c r="A9" s="96">
        <v>516</v>
      </c>
      <c r="B9" s="93" t="s">
        <v>579</v>
      </c>
      <c r="C9" s="93" t="s">
        <v>570</v>
      </c>
      <c r="D9" s="109">
        <v>68.467500000000001</v>
      </c>
      <c r="E9" s="76">
        <v>-151.49432999999999</v>
      </c>
      <c r="F9" s="106">
        <v>769</v>
      </c>
      <c r="G9" s="93" t="s">
        <v>301</v>
      </c>
      <c r="H9" s="93" t="s">
        <v>516</v>
      </c>
      <c r="I9" s="93" t="s">
        <v>571</v>
      </c>
      <c r="J9" s="76" t="s">
        <v>946</v>
      </c>
      <c r="K9" s="73" t="str">
        <f t="shared" si="0"/>
        <v>View on Google Map</v>
      </c>
      <c r="R9" s="12" t="s">
        <v>37</v>
      </c>
    </row>
    <row r="10" spans="1:18" x14ac:dyDescent="0.25">
      <c r="A10" s="96">
        <v>515</v>
      </c>
      <c r="B10" s="93" t="s">
        <v>578</v>
      </c>
      <c r="C10" s="93" t="s">
        <v>570</v>
      </c>
      <c r="D10" s="109">
        <v>68.463999999999999</v>
      </c>
      <c r="E10" s="76">
        <v>-151.51517000000001</v>
      </c>
      <c r="F10" s="106">
        <v>809</v>
      </c>
      <c r="G10" s="93" t="s">
        <v>301</v>
      </c>
      <c r="H10" s="93" t="s">
        <v>516</v>
      </c>
      <c r="I10" s="93" t="s">
        <v>571</v>
      </c>
      <c r="J10" s="76" t="s">
        <v>946</v>
      </c>
      <c r="K10" s="73" t="str">
        <f t="shared" si="0"/>
        <v>View on Google Map</v>
      </c>
      <c r="R10" s="12" t="s">
        <v>133</v>
      </c>
    </row>
    <row r="11" spans="1:18" x14ac:dyDescent="0.25">
      <c r="A11" s="102">
        <v>1177</v>
      </c>
      <c r="B11" s="101" t="s">
        <v>631</v>
      </c>
      <c r="C11" s="101" t="s">
        <v>630</v>
      </c>
      <c r="D11" s="99">
        <v>68.99539</v>
      </c>
      <c r="E11" s="76">
        <v>-150.28278</v>
      </c>
      <c r="F11" s="92"/>
      <c r="G11" s="93" t="s">
        <v>619</v>
      </c>
      <c r="H11" s="93" t="s">
        <v>625</v>
      </c>
      <c r="I11" s="93" t="s">
        <v>284</v>
      </c>
      <c r="J11" s="76" t="s">
        <v>946</v>
      </c>
      <c r="K11" s="73" t="str">
        <f t="shared" si="0"/>
        <v>View on Google Map</v>
      </c>
      <c r="R11" s="12" t="s">
        <v>134</v>
      </c>
    </row>
    <row r="12" spans="1:18" x14ac:dyDescent="0.25">
      <c r="A12" s="102">
        <v>1178</v>
      </c>
      <c r="B12" s="101" t="s">
        <v>632</v>
      </c>
      <c r="C12" s="101" t="s">
        <v>630</v>
      </c>
      <c r="D12" s="99">
        <v>68.996089999999995</v>
      </c>
      <c r="E12" s="76">
        <v>-150.29223999999999</v>
      </c>
      <c r="F12" s="92"/>
      <c r="G12" s="93" t="s">
        <v>619</v>
      </c>
      <c r="H12" s="93" t="s">
        <v>625</v>
      </c>
      <c r="I12" s="93" t="s">
        <v>284</v>
      </c>
      <c r="J12" s="76" t="s">
        <v>946</v>
      </c>
      <c r="K12" s="73" t="str">
        <f t="shared" si="0"/>
        <v>View on Google Map</v>
      </c>
      <c r="R12" s="12" t="s">
        <v>135</v>
      </c>
    </row>
    <row r="13" spans="1:18" x14ac:dyDescent="0.25">
      <c r="A13" s="102">
        <v>1179</v>
      </c>
      <c r="B13" s="101" t="s">
        <v>633</v>
      </c>
      <c r="C13" s="101" t="s">
        <v>634</v>
      </c>
      <c r="D13" s="99">
        <v>68.953829999999996</v>
      </c>
      <c r="E13" s="76">
        <v>-150.20697000000001</v>
      </c>
      <c r="F13" s="92"/>
      <c r="G13" s="93" t="s">
        <v>619</v>
      </c>
      <c r="H13" s="93" t="s">
        <v>625</v>
      </c>
      <c r="I13" s="93" t="s">
        <v>284</v>
      </c>
      <c r="J13" s="76" t="s">
        <v>946</v>
      </c>
      <c r="K13" s="73" t="str">
        <f t="shared" si="0"/>
        <v>View on Google Map</v>
      </c>
      <c r="R13" s="12" t="s">
        <v>136</v>
      </c>
    </row>
    <row r="14" spans="1:18" x14ac:dyDescent="0.25">
      <c r="A14" s="102">
        <v>1180</v>
      </c>
      <c r="B14" s="101" t="s">
        <v>635</v>
      </c>
      <c r="C14" s="101" t="s">
        <v>634</v>
      </c>
      <c r="D14" s="99">
        <v>68.951099999999997</v>
      </c>
      <c r="E14" s="76">
        <v>-150.20966000000001</v>
      </c>
      <c r="F14" s="92"/>
      <c r="G14" s="93" t="s">
        <v>619</v>
      </c>
      <c r="H14" s="93" t="s">
        <v>625</v>
      </c>
      <c r="I14" s="93" t="s">
        <v>284</v>
      </c>
      <c r="J14" s="76" t="s">
        <v>946</v>
      </c>
      <c r="K14" s="73" t="str">
        <f t="shared" si="0"/>
        <v>View on Google Map</v>
      </c>
      <c r="R14" s="12" t="s">
        <v>38</v>
      </c>
    </row>
    <row r="15" spans="1:18" x14ac:dyDescent="0.25">
      <c r="A15" s="102">
        <v>1181</v>
      </c>
      <c r="B15" s="101" t="s">
        <v>636</v>
      </c>
      <c r="C15" s="101" t="s">
        <v>634</v>
      </c>
      <c r="D15" s="99">
        <v>68.950720000000004</v>
      </c>
      <c r="E15" s="76">
        <v>-150.19745</v>
      </c>
      <c r="F15" s="92"/>
      <c r="G15" s="93" t="s">
        <v>619</v>
      </c>
      <c r="H15" s="93" t="s">
        <v>625</v>
      </c>
      <c r="I15" s="93" t="s">
        <v>284</v>
      </c>
      <c r="J15" s="76" t="s">
        <v>946</v>
      </c>
      <c r="K15" s="73" t="str">
        <f t="shared" si="0"/>
        <v>View on Google Map</v>
      </c>
      <c r="R15" s="12" t="s">
        <v>137</v>
      </c>
    </row>
    <row r="16" spans="1:18" x14ac:dyDescent="0.25">
      <c r="A16" s="102">
        <v>1182</v>
      </c>
      <c r="B16" s="101" t="s">
        <v>637</v>
      </c>
      <c r="C16" s="101" t="s">
        <v>634</v>
      </c>
      <c r="D16" s="99">
        <v>68.950149999999994</v>
      </c>
      <c r="E16" s="76">
        <v>-150.19701000000001</v>
      </c>
      <c r="F16" s="92"/>
      <c r="G16" s="93" t="s">
        <v>619</v>
      </c>
      <c r="H16" s="93" t="s">
        <v>625</v>
      </c>
      <c r="I16" s="93" t="s">
        <v>284</v>
      </c>
      <c r="J16" s="76" t="s">
        <v>946</v>
      </c>
      <c r="K16" s="73" t="str">
        <f t="shared" si="0"/>
        <v>View on Google Map</v>
      </c>
      <c r="R16" s="12" t="s">
        <v>138</v>
      </c>
    </row>
    <row r="17" spans="1:18" x14ac:dyDescent="0.25">
      <c r="A17" s="102">
        <v>1183</v>
      </c>
      <c r="B17" s="123" t="s">
        <v>638</v>
      </c>
      <c r="C17" s="101" t="s">
        <v>634</v>
      </c>
      <c r="D17" s="99">
        <v>68.949629999999999</v>
      </c>
      <c r="E17" s="76">
        <v>-150.19672</v>
      </c>
      <c r="F17" s="92"/>
      <c r="G17" s="93" t="s">
        <v>619</v>
      </c>
      <c r="H17" s="93" t="s">
        <v>625</v>
      </c>
      <c r="I17" s="93" t="s">
        <v>284</v>
      </c>
      <c r="J17" s="76" t="s">
        <v>946</v>
      </c>
      <c r="K17" s="73" t="str">
        <f t="shared" si="0"/>
        <v>View on Google Map</v>
      </c>
      <c r="R17" s="12" t="s">
        <v>39</v>
      </c>
    </row>
    <row r="18" spans="1:18" x14ac:dyDescent="0.25">
      <c r="A18" s="102">
        <v>1184</v>
      </c>
      <c r="B18" s="123" t="s">
        <v>639</v>
      </c>
      <c r="C18" s="101" t="s">
        <v>634</v>
      </c>
      <c r="D18" s="99">
        <v>68.952349999999996</v>
      </c>
      <c r="E18" s="76">
        <v>-150.20769999999999</v>
      </c>
      <c r="F18" s="92"/>
      <c r="G18" s="93" t="s">
        <v>619</v>
      </c>
      <c r="H18" s="93" t="s">
        <v>625</v>
      </c>
      <c r="I18" s="93" t="s">
        <v>284</v>
      </c>
      <c r="J18" s="76" t="s">
        <v>946</v>
      </c>
      <c r="K18" s="73" t="str">
        <f t="shared" si="0"/>
        <v>View on Google Map</v>
      </c>
      <c r="R18" s="12" t="s">
        <v>115</v>
      </c>
    </row>
    <row r="19" spans="1:18" x14ac:dyDescent="0.25">
      <c r="A19" s="102">
        <v>1185</v>
      </c>
      <c r="B19" s="123" t="s">
        <v>640</v>
      </c>
      <c r="C19" s="101" t="s">
        <v>634</v>
      </c>
      <c r="D19" s="99">
        <v>68.933340000000001</v>
      </c>
      <c r="E19" s="76">
        <v>-150.27288999999999</v>
      </c>
      <c r="F19" s="92"/>
      <c r="G19" s="93" t="s">
        <v>619</v>
      </c>
      <c r="H19" s="93" t="s">
        <v>625</v>
      </c>
      <c r="I19" s="93" t="s">
        <v>284</v>
      </c>
      <c r="J19" s="76" t="s">
        <v>946</v>
      </c>
      <c r="K19" s="73" t="str">
        <f t="shared" si="0"/>
        <v>View on Google Map</v>
      </c>
      <c r="R19" s="12" t="s">
        <v>40</v>
      </c>
    </row>
    <row r="20" spans="1:18" x14ac:dyDescent="0.25">
      <c r="A20" s="102">
        <v>1186</v>
      </c>
      <c r="B20" s="123" t="s">
        <v>641</v>
      </c>
      <c r="C20" s="101" t="s">
        <v>634</v>
      </c>
      <c r="D20" s="99">
        <v>68.935190000000006</v>
      </c>
      <c r="E20" s="76">
        <v>-150.26884000000001</v>
      </c>
      <c r="F20" s="92"/>
      <c r="G20" s="93" t="s">
        <v>619</v>
      </c>
      <c r="H20" s="93" t="s">
        <v>625</v>
      </c>
      <c r="I20" s="93" t="s">
        <v>284</v>
      </c>
      <c r="J20" s="76" t="s">
        <v>946</v>
      </c>
      <c r="K20" s="73" t="str">
        <f t="shared" si="0"/>
        <v>View on Google Map</v>
      </c>
      <c r="R20" s="12" t="s">
        <v>139</v>
      </c>
    </row>
    <row r="21" spans="1:18" x14ac:dyDescent="0.25">
      <c r="A21" s="102">
        <v>1187</v>
      </c>
      <c r="B21" s="123" t="s">
        <v>642</v>
      </c>
      <c r="C21" s="101" t="s">
        <v>634</v>
      </c>
      <c r="D21" s="108">
        <v>68.997339999999994</v>
      </c>
      <c r="E21" s="76">
        <v>-150.30745999999999</v>
      </c>
      <c r="F21" s="92"/>
      <c r="G21" s="93" t="s">
        <v>619</v>
      </c>
      <c r="H21" s="93" t="s">
        <v>625</v>
      </c>
      <c r="I21" s="93" t="s">
        <v>284</v>
      </c>
      <c r="J21" s="76" t="s">
        <v>946</v>
      </c>
      <c r="K21" s="73" t="str">
        <f t="shared" si="0"/>
        <v>View on Google Map</v>
      </c>
      <c r="R21" s="12" t="s">
        <v>685</v>
      </c>
    </row>
    <row r="22" spans="1:18" x14ac:dyDescent="0.25">
      <c r="A22" s="102">
        <v>1188</v>
      </c>
      <c r="B22" s="123" t="s">
        <v>643</v>
      </c>
      <c r="C22" s="101" t="s">
        <v>634</v>
      </c>
      <c r="D22" s="99">
        <v>68.950779999999995</v>
      </c>
      <c r="E22" s="76">
        <v>-150.19788</v>
      </c>
      <c r="F22" s="92"/>
      <c r="G22" s="93" t="s">
        <v>619</v>
      </c>
      <c r="H22" s="93" t="s">
        <v>625</v>
      </c>
      <c r="I22" s="93" t="s">
        <v>284</v>
      </c>
      <c r="J22" s="76" t="s">
        <v>946</v>
      </c>
      <c r="K22" s="73" t="str">
        <f t="shared" si="0"/>
        <v>View on Google Map</v>
      </c>
      <c r="R22" s="12" t="s">
        <v>140</v>
      </c>
    </row>
    <row r="23" spans="1:18" x14ac:dyDescent="0.25">
      <c r="A23" s="102">
        <v>1189</v>
      </c>
      <c r="B23" s="123" t="s">
        <v>644</v>
      </c>
      <c r="C23" s="101" t="s">
        <v>634</v>
      </c>
      <c r="D23" s="99">
        <v>68.954440000000005</v>
      </c>
      <c r="E23" s="76">
        <v>-150.20644999999999</v>
      </c>
      <c r="F23" s="92"/>
      <c r="G23" s="93" t="s">
        <v>619</v>
      </c>
      <c r="H23" s="93" t="s">
        <v>625</v>
      </c>
      <c r="I23" s="93" t="s">
        <v>284</v>
      </c>
      <c r="J23" s="76" t="s">
        <v>946</v>
      </c>
      <c r="K23" s="73" t="str">
        <f t="shared" si="0"/>
        <v>View on Google Map</v>
      </c>
      <c r="R23" s="12" t="s">
        <v>41</v>
      </c>
    </row>
    <row r="24" spans="1:18" x14ac:dyDescent="0.25">
      <c r="A24" s="102">
        <v>1190</v>
      </c>
      <c r="B24" s="123" t="s">
        <v>645</v>
      </c>
      <c r="C24" s="101" t="s">
        <v>634</v>
      </c>
      <c r="D24" s="99">
        <v>69.116330000000005</v>
      </c>
      <c r="E24" s="76">
        <v>-150.79077000000001</v>
      </c>
      <c r="F24" s="92"/>
      <c r="G24" s="93" t="s">
        <v>619</v>
      </c>
      <c r="H24" s="93" t="s">
        <v>625</v>
      </c>
      <c r="I24" s="93" t="s">
        <v>284</v>
      </c>
      <c r="J24" s="76" t="s">
        <v>946</v>
      </c>
      <c r="K24" s="73" t="str">
        <f t="shared" si="0"/>
        <v>View on Google Map</v>
      </c>
      <c r="R24" s="12" t="s">
        <v>141</v>
      </c>
    </row>
    <row r="25" spans="1:18" x14ac:dyDescent="0.25">
      <c r="A25" s="102">
        <v>1191</v>
      </c>
      <c r="B25" s="123" t="s">
        <v>646</v>
      </c>
      <c r="C25" s="101" t="s">
        <v>634</v>
      </c>
      <c r="D25" s="99">
        <v>69.116150000000005</v>
      </c>
      <c r="E25" s="76">
        <v>-150.79553999999999</v>
      </c>
      <c r="F25" s="92"/>
      <c r="G25" s="93" t="s">
        <v>619</v>
      </c>
      <c r="H25" s="93" t="s">
        <v>625</v>
      </c>
      <c r="I25" s="93" t="s">
        <v>284</v>
      </c>
      <c r="J25" s="76" t="s">
        <v>946</v>
      </c>
      <c r="K25" s="73" t="str">
        <f t="shared" si="0"/>
        <v>View on Google Map</v>
      </c>
      <c r="R25" s="12" t="s">
        <v>142</v>
      </c>
    </row>
    <row r="26" spans="1:18" x14ac:dyDescent="0.25">
      <c r="A26" s="92">
        <v>3</v>
      </c>
      <c r="B26" s="93" t="s">
        <v>273</v>
      </c>
      <c r="C26" s="93" t="s">
        <v>274</v>
      </c>
      <c r="D26" s="94">
        <v>68.266666666666666</v>
      </c>
      <c r="E26" s="76">
        <v>-149.44999999999999</v>
      </c>
      <c r="F26" s="95">
        <v>914</v>
      </c>
      <c r="G26" s="93" t="s">
        <v>269</v>
      </c>
      <c r="H26" s="93" t="s">
        <v>726</v>
      </c>
      <c r="I26" s="93" t="s">
        <v>272</v>
      </c>
      <c r="J26" s="76" t="s">
        <v>946</v>
      </c>
      <c r="K26" s="73" t="str">
        <f t="shared" si="0"/>
        <v>View on Google Map</v>
      </c>
      <c r="R26" s="12" t="s">
        <v>143</v>
      </c>
    </row>
    <row r="27" spans="1:18" x14ac:dyDescent="0.25">
      <c r="A27" s="92">
        <v>2</v>
      </c>
      <c r="B27" s="93" t="s">
        <v>270</v>
      </c>
      <c r="C27" s="93" t="s">
        <v>271</v>
      </c>
      <c r="D27" s="94">
        <v>68.266666666666666</v>
      </c>
      <c r="E27" s="76">
        <v>-149.46666666666701</v>
      </c>
      <c r="F27" s="95">
        <v>914</v>
      </c>
      <c r="G27" s="93" t="s">
        <v>269</v>
      </c>
      <c r="H27" s="93" t="s">
        <v>726</v>
      </c>
      <c r="I27" s="93" t="s">
        <v>272</v>
      </c>
      <c r="J27" s="76" t="s">
        <v>946</v>
      </c>
      <c r="K27" s="73" t="str">
        <f t="shared" si="0"/>
        <v>View on Google Map</v>
      </c>
      <c r="R27" s="12" t="s">
        <v>144</v>
      </c>
    </row>
    <row r="28" spans="1:18" x14ac:dyDescent="0.25">
      <c r="A28" s="92">
        <v>25</v>
      </c>
      <c r="B28" s="93" t="s">
        <v>1369</v>
      </c>
      <c r="C28" s="93" t="str">
        <f t="shared" ref="C28:C34" si="1">B28</f>
        <v>Atigun tributary station 01</v>
      </c>
      <c r="D28" s="94"/>
      <c r="E28" s="76"/>
      <c r="F28" s="92">
        <v>1097</v>
      </c>
      <c r="G28" s="93" t="s">
        <v>269</v>
      </c>
      <c r="H28" s="93" t="s">
        <v>726</v>
      </c>
      <c r="I28" s="93"/>
      <c r="J28" s="76" t="s">
        <v>1370</v>
      </c>
      <c r="K28" s="73" t="str">
        <f t="shared" si="0"/>
        <v>View on Google Map</v>
      </c>
      <c r="R28" s="12" t="s">
        <v>116</v>
      </c>
    </row>
    <row r="29" spans="1:18" x14ac:dyDescent="0.25">
      <c r="A29" s="92">
        <v>26</v>
      </c>
      <c r="B29" s="93" t="s">
        <v>1371</v>
      </c>
      <c r="C29" s="93" t="str">
        <f t="shared" si="1"/>
        <v>Atigun tributary station 02</v>
      </c>
      <c r="D29" s="94"/>
      <c r="E29" s="76"/>
      <c r="F29" s="92">
        <v>1280</v>
      </c>
      <c r="G29" s="93" t="s">
        <v>269</v>
      </c>
      <c r="H29" s="93" t="s">
        <v>726</v>
      </c>
      <c r="I29" s="93"/>
      <c r="J29" s="76" t="s">
        <v>1372</v>
      </c>
      <c r="K29" s="73" t="str">
        <f t="shared" si="0"/>
        <v>View on Google Map</v>
      </c>
      <c r="R29" s="12" t="s">
        <v>117</v>
      </c>
    </row>
    <row r="30" spans="1:18" x14ac:dyDescent="0.25">
      <c r="A30" s="92">
        <v>27</v>
      </c>
      <c r="B30" s="93" t="s">
        <v>1373</v>
      </c>
      <c r="C30" s="93" t="str">
        <f t="shared" si="1"/>
        <v>Atigun tributary station 03</v>
      </c>
      <c r="D30" s="94"/>
      <c r="E30" s="76"/>
      <c r="F30" s="92">
        <v>1555</v>
      </c>
      <c r="G30" s="93" t="s">
        <v>269</v>
      </c>
      <c r="H30" s="93" t="s">
        <v>726</v>
      </c>
      <c r="I30" s="93"/>
      <c r="J30" s="76" t="s">
        <v>1374</v>
      </c>
      <c r="K30" s="73" t="str">
        <f t="shared" si="0"/>
        <v>View on Google Map</v>
      </c>
      <c r="R30" s="12" t="s">
        <v>707</v>
      </c>
    </row>
    <row r="31" spans="1:18" x14ac:dyDescent="0.25">
      <c r="A31" s="92">
        <v>138</v>
      </c>
      <c r="B31" s="93" t="s">
        <v>338</v>
      </c>
      <c r="C31" s="93" t="str">
        <f t="shared" si="1"/>
        <v>Bern Lake</v>
      </c>
      <c r="D31" s="94">
        <v>70.283330000000007</v>
      </c>
      <c r="E31" s="76">
        <v>-148.30000000000001</v>
      </c>
      <c r="F31" s="95">
        <v>6</v>
      </c>
      <c r="G31" s="93" t="s">
        <v>301</v>
      </c>
      <c r="H31" s="93" t="s">
        <v>726</v>
      </c>
      <c r="I31" s="93" t="s">
        <v>272</v>
      </c>
      <c r="J31" s="76" t="s">
        <v>999</v>
      </c>
      <c r="K31" s="73" t="str">
        <f t="shared" si="0"/>
        <v>View on Google Map</v>
      </c>
      <c r="R31" s="12" t="s">
        <v>671</v>
      </c>
    </row>
    <row r="32" spans="1:18" x14ac:dyDescent="0.25">
      <c r="A32" s="92">
        <v>31</v>
      </c>
      <c r="B32" s="98" t="s">
        <v>282</v>
      </c>
      <c r="C32" s="93" t="str">
        <f t="shared" si="1"/>
        <v>Birthday Creek</v>
      </c>
      <c r="D32" s="99">
        <v>68.957566666999995</v>
      </c>
      <c r="E32" s="76">
        <v>-150.236266667</v>
      </c>
      <c r="F32" s="96">
        <v>386.18</v>
      </c>
      <c r="G32" s="93" t="s">
        <v>269</v>
      </c>
      <c r="H32" s="93" t="s">
        <v>283</v>
      </c>
      <c r="I32" s="93" t="s">
        <v>284</v>
      </c>
      <c r="J32" s="76" t="s">
        <v>946</v>
      </c>
      <c r="K32" s="73" t="str">
        <f t="shared" si="0"/>
        <v>View on Google Map</v>
      </c>
      <c r="R32" s="12" t="s">
        <v>42</v>
      </c>
    </row>
    <row r="33" spans="1:18" x14ac:dyDescent="0.25">
      <c r="A33" s="92">
        <v>131</v>
      </c>
      <c r="B33" s="93" t="s">
        <v>331</v>
      </c>
      <c r="C33" s="93" t="str">
        <f t="shared" si="1"/>
        <v>Borrow Pit  1</v>
      </c>
      <c r="D33" s="94">
        <v>70.333330000000004</v>
      </c>
      <c r="E33" s="76">
        <v>-148.93333000000001</v>
      </c>
      <c r="F33" s="95">
        <v>3</v>
      </c>
      <c r="G33" s="93" t="s">
        <v>301</v>
      </c>
      <c r="H33" s="93" t="s">
        <v>726</v>
      </c>
      <c r="I33" s="93" t="s">
        <v>272</v>
      </c>
      <c r="J33" s="76" t="s">
        <v>1000</v>
      </c>
      <c r="K33" s="73" t="str">
        <f t="shared" si="0"/>
        <v>View on Google Map</v>
      </c>
      <c r="R33" s="12" t="s">
        <v>43</v>
      </c>
    </row>
    <row r="34" spans="1:18" x14ac:dyDescent="0.25">
      <c r="A34" s="92">
        <v>132</v>
      </c>
      <c r="B34" s="93" t="s">
        <v>332</v>
      </c>
      <c r="C34" s="93" t="str">
        <f t="shared" si="1"/>
        <v>Borrow Pit  2</v>
      </c>
      <c r="D34" s="94">
        <v>70.333330000000004</v>
      </c>
      <c r="E34" s="76">
        <v>-148.93333000000001</v>
      </c>
      <c r="F34" s="95">
        <v>3</v>
      </c>
      <c r="G34" s="93" t="s">
        <v>301</v>
      </c>
      <c r="H34" s="93" t="s">
        <v>726</v>
      </c>
      <c r="I34" s="93" t="s">
        <v>272</v>
      </c>
      <c r="J34" s="76" t="s">
        <v>1001</v>
      </c>
      <c r="K34" s="73" t="str">
        <f t="shared" si="0"/>
        <v>View on Google Map</v>
      </c>
      <c r="R34" s="12" t="s">
        <v>44</v>
      </c>
    </row>
    <row r="35" spans="1:18" x14ac:dyDescent="0.25">
      <c r="A35" s="92">
        <v>141</v>
      </c>
      <c r="B35" s="93" t="s">
        <v>341</v>
      </c>
      <c r="C35" s="93" t="s">
        <v>342</v>
      </c>
      <c r="D35" s="94">
        <v>68.638439000000005</v>
      </c>
      <c r="E35" s="76">
        <v>-149.592377</v>
      </c>
      <c r="F35" s="95">
        <v>720</v>
      </c>
      <c r="G35" s="93" t="s">
        <v>301</v>
      </c>
      <c r="H35" s="93" t="s">
        <v>726</v>
      </c>
      <c r="I35" s="93" t="s">
        <v>272</v>
      </c>
      <c r="J35" s="76" t="s">
        <v>1002</v>
      </c>
      <c r="K35" s="73" t="str">
        <f t="shared" si="0"/>
        <v>View on Google Map</v>
      </c>
      <c r="R35" s="12" t="s">
        <v>45</v>
      </c>
    </row>
    <row r="36" spans="1:18" x14ac:dyDescent="0.25">
      <c r="A36" s="96">
        <v>160</v>
      </c>
      <c r="B36" s="97" t="s">
        <v>362</v>
      </c>
      <c r="C36" s="93" t="str">
        <f>B36</f>
        <v>Campsite Lake</v>
      </c>
      <c r="D36" s="94">
        <v>68.596586299999998</v>
      </c>
      <c r="E36" s="76">
        <v>-149.18178499999999</v>
      </c>
      <c r="F36" s="95">
        <v>865</v>
      </c>
      <c r="G36" s="93" t="s">
        <v>301</v>
      </c>
      <c r="H36" s="93" t="s">
        <v>726</v>
      </c>
      <c r="I36" s="93" t="s">
        <v>272</v>
      </c>
      <c r="J36" s="76" t="s">
        <v>1003</v>
      </c>
      <c r="K36" s="73" t="str">
        <f t="shared" si="0"/>
        <v>View on Google Map</v>
      </c>
      <c r="R36" s="12" t="s">
        <v>46</v>
      </c>
    </row>
    <row r="37" spans="1:18" x14ac:dyDescent="0.25">
      <c r="A37" s="92">
        <v>481</v>
      </c>
      <c r="B37" s="93" t="s">
        <v>546</v>
      </c>
      <c r="C37" s="93" t="str">
        <f>B37</f>
        <v>Clem Lake</v>
      </c>
      <c r="D37" s="99">
        <v>68.97672</v>
      </c>
      <c r="E37" s="76">
        <v>-150.20383000000001</v>
      </c>
      <c r="F37" s="92">
        <v>362</v>
      </c>
      <c r="G37" s="93" t="s">
        <v>301</v>
      </c>
      <c r="H37" s="93" t="s">
        <v>283</v>
      </c>
      <c r="I37" s="93" t="s">
        <v>284</v>
      </c>
      <c r="J37" s="76" t="s">
        <v>946</v>
      </c>
      <c r="K37" s="73" t="str">
        <f t="shared" si="0"/>
        <v>View on Google Map</v>
      </c>
      <c r="R37" s="12" t="s">
        <v>47</v>
      </c>
    </row>
    <row r="38" spans="1:18" x14ac:dyDescent="0.25">
      <c r="A38" s="92">
        <v>242</v>
      </c>
      <c r="B38" s="93" t="s">
        <v>1386</v>
      </c>
      <c r="C38" s="93" t="str">
        <f>B38</f>
        <v>Coastal Plain Lake  00</v>
      </c>
      <c r="D38" s="94" t="s">
        <v>946</v>
      </c>
      <c r="E38" s="76" t="s">
        <v>946</v>
      </c>
      <c r="F38" s="95">
        <v>390.2439024390244</v>
      </c>
      <c r="G38" s="93" t="s">
        <v>301</v>
      </c>
      <c r="H38" s="93" t="s">
        <v>726</v>
      </c>
      <c r="I38" s="93" t="s">
        <v>1387</v>
      </c>
      <c r="J38" s="76" t="s">
        <v>946</v>
      </c>
      <c r="K38" s="73" t="str">
        <f t="shared" si="0"/>
        <v>View on Google Map</v>
      </c>
      <c r="R38" s="12" t="s">
        <v>145</v>
      </c>
    </row>
    <row r="39" spans="1:18" x14ac:dyDescent="0.25">
      <c r="A39" s="92">
        <v>239</v>
      </c>
      <c r="B39" s="93" t="s">
        <v>1383</v>
      </c>
      <c r="C39" s="93" t="s">
        <v>1384</v>
      </c>
      <c r="D39" s="94" t="s">
        <v>946</v>
      </c>
      <c r="E39" s="76" t="s">
        <v>946</v>
      </c>
      <c r="F39" s="95"/>
      <c r="G39" s="93" t="s">
        <v>301</v>
      </c>
      <c r="H39" s="93" t="s">
        <v>726</v>
      </c>
      <c r="I39" s="93" t="s">
        <v>1385</v>
      </c>
      <c r="J39" s="76" t="s">
        <v>946</v>
      </c>
      <c r="K39" s="73" t="str">
        <f t="shared" si="0"/>
        <v>View on Google Map</v>
      </c>
      <c r="R39" s="12" t="s">
        <v>48</v>
      </c>
    </row>
    <row r="40" spans="1:18" x14ac:dyDescent="0.25">
      <c r="A40" s="92">
        <v>192</v>
      </c>
      <c r="B40" s="93" t="s">
        <v>890</v>
      </c>
      <c r="C40" s="93" t="str">
        <f t="shared" ref="C40:C71" si="2">B40</f>
        <v>Coastal Plain Lake 01</v>
      </c>
      <c r="D40" s="94">
        <v>69.233329999999995</v>
      </c>
      <c r="E40" s="76">
        <v>-148.94999999999999</v>
      </c>
      <c r="F40" s="95">
        <v>325</v>
      </c>
      <c r="G40" s="93" t="s">
        <v>301</v>
      </c>
      <c r="H40" s="93" t="s">
        <v>726</v>
      </c>
      <c r="I40" s="93" t="s">
        <v>388</v>
      </c>
      <c r="J40" s="76" t="s">
        <v>1004</v>
      </c>
      <c r="K40" s="73" t="str">
        <f t="shared" si="0"/>
        <v>View on Google Map</v>
      </c>
      <c r="R40" s="12" t="s">
        <v>146</v>
      </c>
    </row>
    <row r="41" spans="1:18" x14ac:dyDescent="0.25">
      <c r="A41" s="92">
        <v>277</v>
      </c>
      <c r="B41" s="93" t="s">
        <v>890</v>
      </c>
      <c r="C41" s="93" t="str">
        <f t="shared" si="2"/>
        <v>Coastal Plain Lake 01</v>
      </c>
      <c r="D41" s="94">
        <v>70.374600000000001</v>
      </c>
      <c r="E41" s="76">
        <v>-149.06383</v>
      </c>
      <c r="F41" s="95">
        <v>6</v>
      </c>
      <c r="G41" s="93" t="s">
        <v>301</v>
      </c>
      <c r="H41" s="93" t="s">
        <v>726</v>
      </c>
      <c r="I41" s="93" t="s">
        <v>427</v>
      </c>
      <c r="J41" s="76" t="s">
        <v>1005</v>
      </c>
      <c r="K41" s="73" t="str">
        <f t="shared" si="0"/>
        <v>View on Google Map</v>
      </c>
      <c r="R41" s="12" t="s">
        <v>147</v>
      </c>
    </row>
    <row r="42" spans="1:18" x14ac:dyDescent="0.25">
      <c r="A42" s="92">
        <v>193</v>
      </c>
      <c r="B42" s="93" t="s">
        <v>891</v>
      </c>
      <c r="C42" s="93" t="str">
        <f t="shared" si="2"/>
        <v>Coastal Plain Lake 02</v>
      </c>
      <c r="D42" s="94">
        <v>69.283330000000007</v>
      </c>
      <c r="E42" s="76">
        <v>-148.9</v>
      </c>
      <c r="F42" s="95">
        <v>346</v>
      </c>
      <c r="G42" s="93" t="s">
        <v>301</v>
      </c>
      <c r="H42" s="93" t="s">
        <v>726</v>
      </c>
      <c r="I42" s="93" t="s">
        <v>388</v>
      </c>
      <c r="J42" s="76" t="s">
        <v>1006</v>
      </c>
      <c r="K42" s="73" t="str">
        <f t="shared" si="0"/>
        <v>View on Google Map</v>
      </c>
      <c r="R42" s="12" t="s">
        <v>148</v>
      </c>
    </row>
    <row r="43" spans="1:18" x14ac:dyDescent="0.25">
      <c r="A43" s="92">
        <v>278</v>
      </c>
      <c r="B43" s="93" t="s">
        <v>891</v>
      </c>
      <c r="C43" s="93" t="str">
        <f t="shared" si="2"/>
        <v>Coastal Plain Lake 02</v>
      </c>
      <c r="D43" s="94">
        <v>70.374600000000001</v>
      </c>
      <c r="E43" s="76">
        <v>-149.06383</v>
      </c>
      <c r="F43" s="95">
        <v>6</v>
      </c>
      <c r="G43" s="93" t="s">
        <v>301</v>
      </c>
      <c r="H43" s="93" t="s">
        <v>726</v>
      </c>
      <c r="I43" s="93" t="s">
        <v>427</v>
      </c>
      <c r="J43" s="76" t="s">
        <v>1007</v>
      </c>
      <c r="K43" s="73" t="str">
        <f t="shared" si="0"/>
        <v>View on Google Map</v>
      </c>
      <c r="R43" s="12" t="s">
        <v>149</v>
      </c>
    </row>
    <row r="44" spans="1:18" x14ac:dyDescent="0.25">
      <c r="A44" s="92">
        <v>194</v>
      </c>
      <c r="B44" s="93" t="s">
        <v>892</v>
      </c>
      <c r="C44" s="93" t="str">
        <f t="shared" si="2"/>
        <v>Coastal Plain Lake 03</v>
      </c>
      <c r="D44" s="94">
        <v>69.716669999999993</v>
      </c>
      <c r="E44" s="76">
        <v>-149.44999999999999</v>
      </c>
      <c r="F44" s="95">
        <v>91</v>
      </c>
      <c r="G44" s="93" t="s">
        <v>301</v>
      </c>
      <c r="H44" s="93" t="s">
        <v>726</v>
      </c>
      <c r="I44" s="93" t="s">
        <v>388</v>
      </c>
      <c r="J44" s="76" t="s">
        <v>1008</v>
      </c>
      <c r="K44" s="73" t="str">
        <f t="shared" si="0"/>
        <v>View on Google Map</v>
      </c>
      <c r="R44" s="12" t="s">
        <v>150</v>
      </c>
    </row>
    <row r="45" spans="1:18" x14ac:dyDescent="0.25">
      <c r="A45" s="92">
        <v>279</v>
      </c>
      <c r="B45" s="93" t="s">
        <v>892</v>
      </c>
      <c r="C45" s="93" t="str">
        <f t="shared" si="2"/>
        <v>Coastal Plain Lake 03</v>
      </c>
      <c r="D45" s="94">
        <v>70.367750000000001</v>
      </c>
      <c r="E45" s="76">
        <v>-148.8357</v>
      </c>
      <c r="F45" s="95">
        <v>6</v>
      </c>
      <c r="G45" s="93" t="s">
        <v>301</v>
      </c>
      <c r="H45" s="93" t="s">
        <v>726</v>
      </c>
      <c r="I45" s="93" t="s">
        <v>427</v>
      </c>
      <c r="J45" s="76" t="s">
        <v>1009</v>
      </c>
      <c r="K45" s="73" t="str">
        <f t="shared" si="0"/>
        <v>View on Google Map</v>
      </c>
      <c r="R45" s="12" t="s">
        <v>151</v>
      </c>
    </row>
    <row r="46" spans="1:18" x14ac:dyDescent="0.25">
      <c r="A46" s="92">
        <v>195</v>
      </c>
      <c r="B46" s="93" t="s">
        <v>893</v>
      </c>
      <c r="C46" s="93" t="str">
        <f t="shared" si="2"/>
        <v>Coastal Plain Lake 04</v>
      </c>
      <c r="D46" s="94">
        <v>69.716669999999993</v>
      </c>
      <c r="E46" s="76">
        <v>-149.44999999999999</v>
      </c>
      <c r="F46" s="95">
        <v>91</v>
      </c>
      <c r="G46" s="93" t="s">
        <v>301</v>
      </c>
      <c r="H46" s="93" t="s">
        <v>726</v>
      </c>
      <c r="I46" s="93" t="s">
        <v>388</v>
      </c>
      <c r="J46" s="76" t="s">
        <v>1010</v>
      </c>
      <c r="K46" s="73" t="str">
        <f t="shared" si="0"/>
        <v>View on Google Map</v>
      </c>
      <c r="R46" s="12" t="s">
        <v>152</v>
      </c>
    </row>
    <row r="47" spans="1:18" x14ac:dyDescent="0.25">
      <c r="A47" s="92">
        <v>280</v>
      </c>
      <c r="B47" s="93" t="s">
        <v>893</v>
      </c>
      <c r="C47" s="93" t="str">
        <f t="shared" si="2"/>
        <v>Coastal Plain Lake 04</v>
      </c>
      <c r="D47" s="94">
        <v>70.367750000000001</v>
      </c>
      <c r="E47" s="76">
        <v>-148.8357</v>
      </c>
      <c r="F47" s="95">
        <v>6</v>
      </c>
      <c r="G47" s="93" t="s">
        <v>301</v>
      </c>
      <c r="H47" s="93" t="s">
        <v>726</v>
      </c>
      <c r="I47" s="93" t="s">
        <v>427</v>
      </c>
      <c r="J47" s="76" t="s">
        <v>1011</v>
      </c>
      <c r="K47" s="73" t="str">
        <f t="shared" si="0"/>
        <v>View on Google Map</v>
      </c>
      <c r="R47" s="12" t="s">
        <v>153</v>
      </c>
    </row>
    <row r="48" spans="1:18" x14ac:dyDescent="0.25">
      <c r="A48" s="92">
        <v>196</v>
      </c>
      <c r="B48" s="93" t="s">
        <v>894</v>
      </c>
      <c r="C48" s="93" t="str">
        <f t="shared" si="2"/>
        <v>Coastal Plain Lake 05</v>
      </c>
      <c r="D48" s="94">
        <v>69.833330000000004</v>
      </c>
      <c r="E48" s="76">
        <v>-149.75</v>
      </c>
      <c r="F48" s="95">
        <v>80</v>
      </c>
      <c r="G48" s="93" t="s">
        <v>301</v>
      </c>
      <c r="H48" s="93" t="s">
        <v>726</v>
      </c>
      <c r="I48" s="93" t="s">
        <v>388</v>
      </c>
      <c r="J48" s="76" t="s">
        <v>1012</v>
      </c>
      <c r="K48" s="73" t="str">
        <f t="shared" si="0"/>
        <v>View on Google Map</v>
      </c>
      <c r="R48" s="12" t="s">
        <v>154</v>
      </c>
    </row>
    <row r="49" spans="1:18" x14ac:dyDescent="0.25">
      <c r="A49" s="92">
        <v>281</v>
      </c>
      <c r="B49" s="93" t="s">
        <v>894</v>
      </c>
      <c r="C49" s="93" t="str">
        <f t="shared" si="2"/>
        <v>Coastal Plain Lake 05</v>
      </c>
      <c r="D49" s="94">
        <v>70.268219999999999</v>
      </c>
      <c r="E49" s="76">
        <v>-149.20859999999999</v>
      </c>
      <c r="F49" s="95">
        <v>15</v>
      </c>
      <c r="G49" s="93" t="s">
        <v>301</v>
      </c>
      <c r="H49" s="93" t="s">
        <v>726</v>
      </c>
      <c r="I49" s="93" t="s">
        <v>427</v>
      </c>
      <c r="J49" s="76" t="s">
        <v>1013</v>
      </c>
      <c r="K49" s="73" t="str">
        <f t="shared" si="0"/>
        <v>View on Google Map</v>
      </c>
      <c r="R49" s="12" t="s">
        <v>155</v>
      </c>
    </row>
    <row r="50" spans="1:18" x14ac:dyDescent="0.25">
      <c r="A50" s="92">
        <v>197</v>
      </c>
      <c r="B50" s="93" t="s">
        <v>895</v>
      </c>
      <c r="C50" s="93" t="str">
        <f t="shared" si="2"/>
        <v>Coastal Plain Lake 06</v>
      </c>
      <c r="D50" s="94">
        <v>70.283330000000007</v>
      </c>
      <c r="E50" s="76">
        <v>-150.19999999999999</v>
      </c>
      <c r="F50" s="95">
        <v>12</v>
      </c>
      <c r="G50" s="93" t="s">
        <v>301</v>
      </c>
      <c r="H50" s="93" t="s">
        <v>726</v>
      </c>
      <c r="I50" s="93" t="s">
        <v>388</v>
      </c>
      <c r="J50" s="76" t="s">
        <v>1014</v>
      </c>
      <c r="K50" s="73" t="str">
        <f t="shared" si="0"/>
        <v>View on Google Map</v>
      </c>
      <c r="R50" s="12" t="s">
        <v>156</v>
      </c>
    </row>
    <row r="51" spans="1:18" x14ac:dyDescent="0.25">
      <c r="A51" s="92">
        <v>282</v>
      </c>
      <c r="B51" s="93" t="s">
        <v>895</v>
      </c>
      <c r="C51" s="93" t="str">
        <f t="shared" si="2"/>
        <v>Coastal Plain Lake 06</v>
      </c>
      <c r="D51" s="94">
        <v>70.268219999999999</v>
      </c>
      <c r="E51" s="76">
        <v>-149.20859999999999</v>
      </c>
      <c r="F51" s="95">
        <v>15</v>
      </c>
      <c r="G51" s="93" t="s">
        <v>301</v>
      </c>
      <c r="H51" s="93" t="s">
        <v>726</v>
      </c>
      <c r="I51" s="93" t="s">
        <v>427</v>
      </c>
      <c r="J51" s="76" t="s">
        <v>1015</v>
      </c>
      <c r="K51" s="73" t="str">
        <f t="shared" si="0"/>
        <v>View on Google Map</v>
      </c>
      <c r="R51" s="12" t="s">
        <v>708</v>
      </c>
    </row>
    <row r="52" spans="1:18" x14ac:dyDescent="0.25">
      <c r="A52" s="92">
        <v>198</v>
      </c>
      <c r="B52" s="93" t="s">
        <v>896</v>
      </c>
      <c r="C52" s="93" t="str">
        <f t="shared" si="2"/>
        <v>Coastal Plain Lake 07</v>
      </c>
      <c r="D52" s="94">
        <v>70.283330000000007</v>
      </c>
      <c r="E52" s="76">
        <v>-150.19999999999999</v>
      </c>
      <c r="F52" s="95">
        <v>12</v>
      </c>
      <c r="G52" s="93" t="s">
        <v>301</v>
      </c>
      <c r="H52" s="93" t="s">
        <v>726</v>
      </c>
      <c r="I52" s="93" t="s">
        <v>388</v>
      </c>
      <c r="J52" s="76" t="s">
        <v>1016</v>
      </c>
      <c r="K52" s="73" t="str">
        <f t="shared" si="0"/>
        <v>View on Google Map</v>
      </c>
      <c r="R52" s="12" t="s">
        <v>157</v>
      </c>
    </row>
    <row r="53" spans="1:18" x14ac:dyDescent="0.25">
      <c r="A53" s="92">
        <v>283</v>
      </c>
      <c r="B53" s="93" t="s">
        <v>896</v>
      </c>
      <c r="C53" s="93" t="str">
        <f t="shared" si="2"/>
        <v>Coastal Plain Lake 07</v>
      </c>
      <c r="D53" s="94">
        <v>70.184269999999998</v>
      </c>
      <c r="E53" s="76">
        <v>-149.15442999999999</v>
      </c>
      <c r="F53" s="95">
        <v>15</v>
      </c>
      <c r="G53" s="93" t="s">
        <v>301</v>
      </c>
      <c r="H53" s="93" t="s">
        <v>726</v>
      </c>
      <c r="I53" s="93" t="s">
        <v>427</v>
      </c>
      <c r="J53" s="76" t="s">
        <v>1017</v>
      </c>
      <c r="K53" s="73" t="str">
        <f t="shared" si="0"/>
        <v>View on Google Map</v>
      </c>
      <c r="R53" s="12" t="s">
        <v>158</v>
      </c>
    </row>
    <row r="54" spans="1:18" x14ac:dyDescent="0.25">
      <c r="A54" s="92">
        <v>199</v>
      </c>
      <c r="B54" s="93" t="s">
        <v>897</v>
      </c>
      <c r="C54" s="93" t="str">
        <f t="shared" si="2"/>
        <v>Coastal Plain Lake 08</v>
      </c>
      <c r="D54" s="94">
        <v>70.416669999999996</v>
      </c>
      <c r="E54" s="76">
        <v>-150.19999999999999</v>
      </c>
      <c r="F54" s="95">
        <v>4</v>
      </c>
      <c r="G54" s="93" t="s">
        <v>301</v>
      </c>
      <c r="H54" s="93" t="s">
        <v>726</v>
      </c>
      <c r="I54" s="93" t="s">
        <v>388</v>
      </c>
      <c r="J54" s="76" t="s">
        <v>1018</v>
      </c>
      <c r="K54" s="73" t="str">
        <f t="shared" si="0"/>
        <v>View on Google Map</v>
      </c>
      <c r="R54" s="12" t="s">
        <v>159</v>
      </c>
    </row>
    <row r="55" spans="1:18" x14ac:dyDescent="0.25">
      <c r="A55" s="92">
        <v>284</v>
      </c>
      <c r="B55" s="93" t="s">
        <v>897</v>
      </c>
      <c r="C55" s="93" t="str">
        <f t="shared" si="2"/>
        <v>Coastal Plain Lake 08</v>
      </c>
      <c r="D55" s="94">
        <v>70.184269999999998</v>
      </c>
      <c r="E55" s="76">
        <v>-149.15442999999999</v>
      </c>
      <c r="F55" s="95">
        <v>15</v>
      </c>
      <c r="G55" s="93" t="s">
        <v>301</v>
      </c>
      <c r="H55" s="93" t="s">
        <v>726</v>
      </c>
      <c r="I55" s="93" t="s">
        <v>427</v>
      </c>
      <c r="J55" s="76" t="s">
        <v>1019</v>
      </c>
      <c r="K55" s="73" t="str">
        <f t="shared" si="0"/>
        <v>View on Google Map</v>
      </c>
      <c r="R55" s="12" t="s">
        <v>160</v>
      </c>
    </row>
    <row r="56" spans="1:18" x14ac:dyDescent="0.25">
      <c r="A56" s="92">
        <v>200</v>
      </c>
      <c r="B56" s="93" t="s">
        <v>898</v>
      </c>
      <c r="C56" s="93" t="str">
        <f t="shared" si="2"/>
        <v>Coastal Plain Lake 09</v>
      </c>
      <c r="D56" s="94">
        <v>70.283330000000007</v>
      </c>
      <c r="E56" s="76">
        <v>-149.81666999999999</v>
      </c>
      <c r="F56" s="95">
        <v>28.963414634146343</v>
      </c>
      <c r="G56" s="93" t="s">
        <v>301</v>
      </c>
      <c r="H56" s="93" t="s">
        <v>726</v>
      </c>
      <c r="I56" s="93" t="s">
        <v>388</v>
      </c>
      <c r="J56" s="76" t="s">
        <v>1020</v>
      </c>
      <c r="K56" s="73" t="str">
        <f t="shared" si="0"/>
        <v>View on Google Map</v>
      </c>
      <c r="R56" s="12" t="s">
        <v>672</v>
      </c>
    </row>
    <row r="57" spans="1:18" x14ac:dyDescent="0.25">
      <c r="A57" s="92">
        <v>285</v>
      </c>
      <c r="B57" s="93" t="s">
        <v>898</v>
      </c>
      <c r="C57" s="93" t="str">
        <f t="shared" si="2"/>
        <v>Coastal Plain Lake 09</v>
      </c>
      <c r="D57" s="94">
        <v>70.126099999999994</v>
      </c>
      <c r="E57" s="76">
        <v>-149.33772999999999</v>
      </c>
      <c r="F57" s="95">
        <v>30</v>
      </c>
      <c r="G57" s="93" t="s">
        <v>301</v>
      </c>
      <c r="H57" s="93" t="s">
        <v>726</v>
      </c>
      <c r="I57" s="93" t="s">
        <v>427</v>
      </c>
      <c r="J57" s="76" t="s">
        <v>1021</v>
      </c>
      <c r="K57" s="73" t="str">
        <f t="shared" si="0"/>
        <v>View on Google Map</v>
      </c>
      <c r="R57" s="12" t="s">
        <v>49</v>
      </c>
    </row>
    <row r="58" spans="1:18" x14ac:dyDescent="0.25">
      <c r="A58" s="92">
        <v>201</v>
      </c>
      <c r="B58" s="93" t="s">
        <v>899</v>
      </c>
      <c r="C58" s="93" t="str">
        <f t="shared" si="2"/>
        <v>Coastal Plain Lake 10</v>
      </c>
      <c r="D58" s="94">
        <v>70.283330000000007</v>
      </c>
      <c r="E58" s="76">
        <v>-149.81666999999999</v>
      </c>
      <c r="F58" s="95">
        <v>28.963414634146343</v>
      </c>
      <c r="G58" s="93" t="s">
        <v>301</v>
      </c>
      <c r="H58" s="93" t="s">
        <v>726</v>
      </c>
      <c r="I58" s="93" t="s">
        <v>388</v>
      </c>
      <c r="J58" s="76" t="s">
        <v>1022</v>
      </c>
      <c r="K58" s="73" t="str">
        <f t="shared" si="0"/>
        <v>View on Google Map</v>
      </c>
      <c r="R58" s="12" t="s">
        <v>161</v>
      </c>
    </row>
    <row r="59" spans="1:18" x14ac:dyDescent="0.25">
      <c r="A59" s="92">
        <v>286</v>
      </c>
      <c r="B59" s="93" t="s">
        <v>899</v>
      </c>
      <c r="C59" s="93" t="str">
        <f t="shared" si="2"/>
        <v>Coastal Plain Lake 10</v>
      </c>
      <c r="D59" s="94">
        <v>70.126099999999994</v>
      </c>
      <c r="E59" s="76">
        <v>-149.33772999999999</v>
      </c>
      <c r="F59" s="95">
        <v>30</v>
      </c>
      <c r="G59" s="93" t="s">
        <v>301</v>
      </c>
      <c r="H59" s="93" t="s">
        <v>726</v>
      </c>
      <c r="I59" s="93" t="s">
        <v>427</v>
      </c>
      <c r="J59" s="76" t="s">
        <v>1023</v>
      </c>
      <c r="K59" s="73" t="str">
        <f t="shared" si="0"/>
        <v>View on Google Map</v>
      </c>
      <c r="R59" s="12" t="s">
        <v>162</v>
      </c>
    </row>
    <row r="60" spans="1:18" x14ac:dyDescent="0.25">
      <c r="A60" s="92">
        <v>202</v>
      </c>
      <c r="B60" s="93" t="s">
        <v>900</v>
      </c>
      <c r="C60" s="93" t="str">
        <f t="shared" si="2"/>
        <v>Coastal Plain Lake 11</v>
      </c>
      <c r="D60" s="94">
        <v>70.45</v>
      </c>
      <c r="E60" s="76">
        <v>-149.16667000000001</v>
      </c>
      <c r="F60" s="95">
        <v>4.8780487804878048</v>
      </c>
      <c r="G60" s="93" t="s">
        <v>301</v>
      </c>
      <c r="H60" s="93" t="s">
        <v>726</v>
      </c>
      <c r="I60" s="93" t="s">
        <v>388</v>
      </c>
      <c r="J60" s="76" t="s">
        <v>1024</v>
      </c>
      <c r="K60" s="73" t="str">
        <f t="shared" si="0"/>
        <v>View on Google Map</v>
      </c>
      <c r="R60" s="12" t="s">
        <v>118</v>
      </c>
    </row>
    <row r="61" spans="1:18" x14ac:dyDescent="0.25">
      <c r="A61" s="92">
        <v>287</v>
      </c>
      <c r="B61" s="93" t="s">
        <v>900</v>
      </c>
      <c r="C61" s="93" t="str">
        <f t="shared" si="2"/>
        <v>Coastal Plain Lake 11</v>
      </c>
      <c r="D61" s="94">
        <v>69.9221</v>
      </c>
      <c r="E61" s="76">
        <v>-149.34522999999999</v>
      </c>
      <c r="F61" s="95">
        <v>61</v>
      </c>
      <c r="G61" s="93" t="s">
        <v>301</v>
      </c>
      <c r="H61" s="93" t="s">
        <v>726</v>
      </c>
      <c r="I61" s="93" t="s">
        <v>427</v>
      </c>
      <c r="J61" s="76" t="s">
        <v>1025</v>
      </c>
      <c r="K61" s="73" t="str">
        <f t="shared" si="0"/>
        <v>View on Google Map</v>
      </c>
      <c r="R61" s="12" t="s">
        <v>163</v>
      </c>
    </row>
    <row r="62" spans="1:18" x14ac:dyDescent="0.25">
      <c r="A62" s="92">
        <v>203</v>
      </c>
      <c r="B62" s="93" t="s">
        <v>901</v>
      </c>
      <c r="C62" s="93" t="str">
        <f t="shared" si="2"/>
        <v>Coastal Plain Lake 12</v>
      </c>
      <c r="D62" s="94">
        <v>70.233329999999995</v>
      </c>
      <c r="E62" s="76">
        <v>-148.88333</v>
      </c>
      <c r="F62" s="95">
        <v>17.682926829268293</v>
      </c>
      <c r="G62" s="93" t="s">
        <v>301</v>
      </c>
      <c r="H62" s="93" t="s">
        <v>726</v>
      </c>
      <c r="I62" s="93" t="s">
        <v>388</v>
      </c>
      <c r="J62" s="76" t="s">
        <v>1026</v>
      </c>
      <c r="K62" s="73" t="str">
        <f t="shared" si="0"/>
        <v>View on Google Map</v>
      </c>
      <c r="R62" s="12" t="s">
        <v>50</v>
      </c>
    </row>
    <row r="63" spans="1:18" x14ac:dyDescent="0.25">
      <c r="A63" s="92">
        <v>288</v>
      </c>
      <c r="B63" s="93" t="s">
        <v>901</v>
      </c>
      <c r="C63" s="93" t="str">
        <f t="shared" si="2"/>
        <v>Coastal Plain Lake 12</v>
      </c>
      <c r="D63" s="94">
        <v>69.9221</v>
      </c>
      <c r="E63" s="76">
        <v>-149.34522999999999</v>
      </c>
      <c r="F63" s="95">
        <v>61</v>
      </c>
      <c r="G63" s="93" t="s">
        <v>301</v>
      </c>
      <c r="H63" s="93" t="s">
        <v>726</v>
      </c>
      <c r="I63" s="93" t="s">
        <v>427</v>
      </c>
      <c r="J63" s="76" t="s">
        <v>1027</v>
      </c>
      <c r="K63" s="73" t="str">
        <f t="shared" si="0"/>
        <v>View on Google Map</v>
      </c>
      <c r="R63" s="12" t="s">
        <v>51</v>
      </c>
    </row>
    <row r="64" spans="1:18" x14ac:dyDescent="0.25">
      <c r="A64" s="92">
        <v>204</v>
      </c>
      <c r="B64" s="93" t="s">
        <v>902</v>
      </c>
      <c r="C64" s="93" t="str">
        <f t="shared" si="2"/>
        <v>Coastal Plain Lake 13</v>
      </c>
      <c r="D64" s="94">
        <v>70.233329999999995</v>
      </c>
      <c r="E64" s="76">
        <v>-148.88333</v>
      </c>
      <c r="F64" s="95">
        <v>17.682926829268293</v>
      </c>
      <c r="G64" s="93" t="s">
        <v>301</v>
      </c>
      <c r="H64" s="93" t="s">
        <v>726</v>
      </c>
      <c r="I64" s="93" t="s">
        <v>388</v>
      </c>
      <c r="J64" s="76" t="s">
        <v>1028</v>
      </c>
      <c r="K64" s="73" t="str">
        <f t="shared" si="0"/>
        <v>View on Google Map</v>
      </c>
      <c r="R64" s="12" t="s">
        <v>52</v>
      </c>
    </row>
    <row r="65" spans="1:18" x14ac:dyDescent="0.25">
      <c r="A65" s="92">
        <v>289</v>
      </c>
      <c r="B65" s="93" t="s">
        <v>902</v>
      </c>
      <c r="C65" s="93" t="str">
        <f t="shared" si="2"/>
        <v>Coastal Plain Lake 13</v>
      </c>
      <c r="D65" s="94">
        <v>69.986530000000002</v>
      </c>
      <c r="E65" s="76">
        <v>-150.08543</v>
      </c>
      <c r="F65" s="95">
        <v>125</v>
      </c>
      <c r="G65" s="93" t="s">
        <v>301</v>
      </c>
      <c r="H65" s="93" t="s">
        <v>726</v>
      </c>
      <c r="I65" s="93" t="s">
        <v>427</v>
      </c>
      <c r="J65" s="76" t="s">
        <v>1029</v>
      </c>
      <c r="K65" s="73" t="str">
        <f t="shared" si="0"/>
        <v>View on Google Map</v>
      </c>
      <c r="R65" s="12" t="s">
        <v>53</v>
      </c>
    </row>
    <row r="66" spans="1:18" x14ac:dyDescent="0.25">
      <c r="A66" s="92">
        <v>205</v>
      </c>
      <c r="B66" s="93" t="s">
        <v>903</v>
      </c>
      <c r="C66" s="93" t="str">
        <f t="shared" si="2"/>
        <v>Coastal Plain Lake 14</v>
      </c>
      <c r="D66" s="94">
        <v>70.133330000000001</v>
      </c>
      <c r="E66" s="76">
        <v>-148.6</v>
      </c>
      <c r="F66" s="95">
        <v>24.390243902439025</v>
      </c>
      <c r="G66" s="93" t="s">
        <v>301</v>
      </c>
      <c r="H66" s="93" t="s">
        <v>726</v>
      </c>
      <c r="I66" s="93" t="s">
        <v>388</v>
      </c>
      <c r="J66" s="76" t="s">
        <v>1030</v>
      </c>
      <c r="K66" s="73" t="str">
        <f t="shared" si="0"/>
        <v>View on Google Map</v>
      </c>
      <c r="R66" s="12" t="s">
        <v>164</v>
      </c>
    </row>
    <row r="67" spans="1:18" x14ac:dyDescent="0.25">
      <c r="A67" s="92">
        <v>290</v>
      </c>
      <c r="B67" s="93" t="s">
        <v>903</v>
      </c>
      <c r="C67" s="93" t="str">
        <f t="shared" si="2"/>
        <v>Coastal Plain Lake 14</v>
      </c>
      <c r="D67" s="94">
        <v>69.986530000000002</v>
      </c>
      <c r="E67" s="76">
        <v>-150.08543</v>
      </c>
      <c r="F67" s="95">
        <v>125</v>
      </c>
      <c r="G67" s="93" t="s">
        <v>301</v>
      </c>
      <c r="H67" s="93" t="s">
        <v>726</v>
      </c>
      <c r="I67" s="93" t="s">
        <v>427</v>
      </c>
      <c r="J67" s="76" t="s">
        <v>1031</v>
      </c>
      <c r="K67" s="73" t="str">
        <f t="shared" ref="K67:K130" si="3">HYPERLINK("http://maps.google.com/maps?q="&amp;D67&amp;","&amp;E67,"View on Google Map")</f>
        <v>View on Google Map</v>
      </c>
      <c r="R67" s="12" t="s">
        <v>165</v>
      </c>
    </row>
    <row r="68" spans="1:18" x14ac:dyDescent="0.25">
      <c r="A68" s="92">
        <v>291</v>
      </c>
      <c r="B68" s="93" t="s">
        <v>904</v>
      </c>
      <c r="C68" s="93" t="str">
        <f t="shared" si="2"/>
        <v>Coastal Plain Lake 15</v>
      </c>
      <c r="D68" s="94">
        <v>69.639169999999993</v>
      </c>
      <c r="E68" s="76">
        <v>-149.73947000000001</v>
      </c>
      <c r="F68" s="95">
        <v>91</v>
      </c>
      <c r="G68" s="93" t="s">
        <v>301</v>
      </c>
      <c r="H68" s="93" t="s">
        <v>726</v>
      </c>
      <c r="I68" s="93" t="s">
        <v>427</v>
      </c>
      <c r="J68" s="76" t="s">
        <v>1032</v>
      </c>
      <c r="K68" s="73" t="str">
        <f t="shared" si="3"/>
        <v>View on Google Map</v>
      </c>
      <c r="R68" s="12" t="s">
        <v>166</v>
      </c>
    </row>
    <row r="69" spans="1:18" x14ac:dyDescent="0.25">
      <c r="A69" s="92">
        <v>206</v>
      </c>
      <c r="B69" s="93" t="s">
        <v>905</v>
      </c>
      <c r="C69" s="93" t="str">
        <f t="shared" si="2"/>
        <v>Coastal Plain Lake 16</v>
      </c>
      <c r="D69" s="94">
        <v>70.116669999999999</v>
      </c>
      <c r="E69" s="76">
        <v>-146.16667000000001</v>
      </c>
      <c r="F69" s="95">
        <v>3.0487804878048781</v>
      </c>
      <c r="G69" s="93" t="s">
        <v>301</v>
      </c>
      <c r="H69" s="93" t="s">
        <v>726</v>
      </c>
      <c r="I69" s="93" t="s">
        <v>388</v>
      </c>
      <c r="J69" s="76" t="s">
        <v>1033</v>
      </c>
      <c r="K69" s="73" t="str">
        <f t="shared" si="3"/>
        <v>View on Google Map</v>
      </c>
      <c r="R69" s="12" t="s">
        <v>686</v>
      </c>
    </row>
    <row r="70" spans="1:18" x14ac:dyDescent="0.25">
      <c r="A70" s="92">
        <v>292</v>
      </c>
      <c r="B70" s="93" t="s">
        <v>905</v>
      </c>
      <c r="C70" s="93" t="str">
        <f t="shared" si="2"/>
        <v>Coastal Plain Lake 16</v>
      </c>
      <c r="D70" s="94">
        <v>69.639169999999993</v>
      </c>
      <c r="E70" s="76">
        <v>-149.73947000000001</v>
      </c>
      <c r="F70" s="95">
        <v>91</v>
      </c>
      <c r="G70" s="93" t="s">
        <v>301</v>
      </c>
      <c r="H70" s="93" t="s">
        <v>726</v>
      </c>
      <c r="I70" s="93" t="s">
        <v>427</v>
      </c>
      <c r="J70" s="76" t="s">
        <v>1034</v>
      </c>
      <c r="K70" s="73" t="str">
        <f t="shared" si="3"/>
        <v>View on Google Map</v>
      </c>
      <c r="R70" s="12" t="s">
        <v>54</v>
      </c>
    </row>
    <row r="71" spans="1:18" x14ac:dyDescent="0.25">
      <c r="A71" s="92">
        <v>207</v>
      </c>
      <c r="B71" s="93" t="s">
        <v>906</v>
      </c>
      <c r="C71" s="93" t="str">
        <f t="shared" si="2"/>
        <v>Coastal Plain Lake 17</v>
      </c>
      <c r="D71" s="94">
        <v>70.099999999999994</v>
      </c>
      <c r="E71" s="76">
        <v>-146.26667</v>
      </c>
      <c r="F71" s="95">
        <v>9.1463414634146343</v>
      </c>
      <c r="G71" s="93" t="s">
        <v>301</v>
      </c>
      <c r="H71" s="93" t="s">
        <v>726</v>
      </c>
      <c r="I71" s="93" t="s">
        <v>388</v>
      </c>
      <c r="J71" s="76" t="s">
        <v>1035</v>
      </c>
      <c r="K71" s="73" t="str">
        <f t="shared" si="3"/>
        <v>View on Google Map</v>
      </c>
      <c r="R71" s="12" t="s">
        <v>55</v>
      </c>
    </row>
    <row r="72" spans="1:18" x14ac:dyDescent="0.25">
      <c r="A72" s="92">
        <v>293</v>
      </c>
      <c r="B72" s="93" t="s">
        <v>906</v>
      </c>
      <c r="C72" s="93" t="str">
        <f t="shared" ref="C72:C97" si="4">B72</f>
        <v>Coastal Plain Lake 17</v>
      </c>
      <c r="D72" s="94">
        <v>68.820779999999999</v>
      </c>
      <c r="E72" s="76">
        <v>-149.7646</v>
      </c>
      <c r="F72" s="95">
        <v>579</v>
      </c>
      <c r="G72" s="93" t="s">
        <v>301</v>
      </c>
      <c r="H72" s="93" t="s">
        <v>726</v>
      </c>
      <c r="I72" s="93" t="s">
        <v>427</v>
      </c>
      <c r="J72" s="76" t="s">
        <v>1036</v>
      </c>
      <c r="K72" s="73" t="str">
        <f t="shared" si="3"/>
        <v>View on Google Map</v>
      </c>
      <c r="R72" s="12" t="s">
        <v>167</v>
      </c>
    </row>
    <row r="73" spans="1:18" x14ac:dyDescent="0.25">
      <c r="A73" s="92">
        <v>208</v>
      </c>
      <c r="B73" s="93" t="s">
        <v>907</v>
      </c>
      <c r="C73" s="93" t="str">
        <f t="shared" si="4"/>
        <v>Coastal Plain Lake 18</v>
      </c>
      <c r="D73" s="94">
        <v>70.05</v>
      </c>
      <c r="E73" s="76">
        <v>-146.98333</v>
      </c>
      <c r="F73" s="95">
        <v>24.390243902439025</v>
      </c>
      <c r="G73" s="93" t="s">
        <v>301</v>
      </c>
      <c r="H73" s="93" t="s">
        <v>726</v>
      </c>
      <c r="I73" s="93" t="s">
        <v>388</v>
      </c>
      <c r="J73" s="76" t="s">
        <v>1037</v>
      </c>
      <c r="K73" s="73" t="str">
        <f t="shared" si="3"/>
        <v>View on Google Map</v>
      </c>
      <c r="R73" s="12" t="s">
        <v>168</v>
      </c>
    </row>
    <row r="74" spans="1:18" x14ac:dyDescent="0.25">
      <c r="A74" s="92">
        <v>294</v>
      </c>
      <c r="B74" s="93" t="s">
        <v>907</v>
      </c>
      <c r="C74" s="93" t="str">
        <f t="shared" si="4"/>
        <v>Coastal Plain Lake 18</v>
      </c>
      <c r="D74" s="94">
        <v>68.820620000000005</v>
      </c>
      <c r="E74" s="76">
        <v>-149.74383</v>
      </c>
      <c r="F74" s="95">
        <v>579</v>
      </c>
      <c r="G74" s="93" t="s">
        <v>301</v>
      </c>
      <c r="H74" s="93" t="s">
        <v>726</v>
      </c>
      <c r="I74" s="93" t="s">
        <v>427</v>
      </c>
      <c r="J74" s="76" t="s">
        <v>1038</v>
      </c>
      <c r="K74" s="73" t="str">
        <f t="shared" si="3"/>
        <v>View on Google Map</v>
      </c>
      <c r="R74" s="12" t="s">
        <v>169</v>
      </c>
    </row>
    <row r="75" spans="1:18" x14ac:dyDescent="0.25">
      <c r="A75" s="92">
        <v>209</v>
      </c>
      <c r="B75" s="93" t="s">
        <v>908</v>
      </c>
      <c r="C75" s="93" t="str">
        <f t="shared" si="4"/>
        <v>Coastal Plain Lake 19</v>
      </c>
      <c r="D75" s="94">
        <v>70.05</v>
      </c>
      <c r="E75" s="76">
        <v>-146.98333</v>
      </c>
      <c r="F75" s="95">
        <v>24.390243902439025</v>
      </c>
      <c r="G75" s="93" t="s">
        <v>301</v>
      </c>
      <c r="H75" s="93" t="s">
        <v>726</v>
      </c>
      <c r="I75" s="93" t="s">
        <v>388</v>
      </c>
      <c r="J75" s="76" t="s">
        <v>1039</v>
      </c>
      <c r="K75" s="73" t="str">
        <f t="shared" si="3"/>
        <v>View on Google Map</v>
      </c>
      <c r="R75" s="12" t="s">
        <v>709</v>
      </c>
    </row>
    <row r="76" spans="1:18" x14ac:dyDescent="0.25">
      <c r="A76" s="92">
        <v>295</v>
      </c>
      <c r="B76" s="93" t="s">
        <v>908</v>
      </c>
      <c r="C76" s="93" t="str">
        <f t="shared" si="4"/>
        <v>Coastal Plain Lake 19</v>
      </c>
      <c r="D76" s="107">
        <v>68.821529999999996</v>
      </c>
      <c r="E76" s="76">
        <v>-149.05867000000001</v>
      </c>
      <c r="F76" s="95">
        <v>518</v>
      </c>
      <c r="G76" s="93" t="s">
        <v>301</v>
      </c>
      <c r="H76" s="93" t="s">
        <v>726</v>
      </c>
      <c r="I76" s="93" t="s">
        <v>427</v>
      </c>
      <c r="J76" s="76" t="s">
        <v>1040</v>
      </c>
      <c r="K76" s="73" t="str">
        <f t="shared" si="3"/>
        <v>View on Google Map</v>
      </c>
      <c r="R76" s="12" t="s">
        <v>170</v>
      </c>
    </row>
    <row r="77" spans="1:18" x14ac:dyDescent="0.25">
      <c r="A77" s="92">
        <v>210</v>
      </c>
      <c r="B77" s="93" t="s">
        <v>909</v>
      </c>
      <c r="C77" s="93" t="str">
        <f t="shared" si="4"/>
        <v>Coastal Plain Lake 20</v>
      </c>
      <c r="D77" s="94">
        <v>70.150000000000006</v>
      </c>
      <c r="E77" s="76">
        <v>-147.36667</v>
      </c>
      <c r="F77" s="95">
        <v>6.7073170731707323</v>
      </c>
      <c r="G77" s="93" t="s">
        <v>301</v>
      </c>
      <c r="H77" s="93" t="s">
        <v>726</v>
      </c>
      <c r="I77" s="93" t="s">
        <v>388</v>
      </c>
      <c r="J77" s="76" t="s">
        <v>1041</v>
      </c>
      <c r="K77" s="73" t="str">
        <f t="shared" si="3"/>
        <v>View on Google Map</v>
      </c>
      <c r="R77" s="12" t="s">
        <v>171</v>
      </c>
    </row>
    <row r="78" spans="1:18" x14ac:dyDescent="0.25">
      <c r="A78" s="92">
        <v>296</v>
      </c>
      <c r="B78" s="93" t="s">
        <v>909</v>
      </c>
      <c r="C78" s="93" t="str">
        <f t="shared" si="4"/>
        <v>Coastal Plain Lake 20</v>
      </c>
      <c r="D78" s="94">
        <v>68.817120000000003</v>
      </c>
      <c r="E78" s="76">
        <v>-149.05957000000001</v>
      </c>
      <c r="F78" s="95">
        <v>518</v>
      </c>
      <c r="G78" s="93" t="s">
        <v>301</v>
      </c>
      <c r="H78" s="93" t="s">
        <v>726</v>
      </c>
      <c r="I78" s="93" t="s">
        <v>427</v>
      </c>
      <c r="J78" s="76" t="s">
        <v>1042</v>
      </c>
      <c r="K78" s="73" t="str">
        <f t="shared" si="3"/>
        <v>View on Google Map</v>
      </c>
      <c r="R78" s="12" t="s">
        <v>172</v>
      </c>
    </row>
    <row r="79" spans="1:18" x14ac:dyDescent="0.25">
      <c r="A79" s="92">
        <v>211</v>
      </c>
      <c r="B79" s="93" t="s">
        <v>910</v>
      </c>
      <c r="C79" s="93" t="str">
        <f t="shared" si="4"/>
        <v>Coastal Plain Lake 21</v>
      </c>
      <c r="D79" s="94">
        <v>70.150000000000006</v>
      </c>
      <c r="E79" s="76">
        <v>-147.36667</v>
      </c>
      <c r="F79" s="95">
        <v>6.7073170731707323</v>
      </c>
      <c r="G79" s="93" t="s">
        <v>301</v>
      </c>
      <c r="H79" s="93" t="s">
        <v>726</v>
      </c>
      <c r="I79" s="93" t="s">
        <v>388</v>
      </c>
      <c r="J79" s="76" t="s">
        <v>1043</v>
      </c>
      <c r="K79" s="73" t="str">
        <f t="shared" si="3"/>
        <v>View on Google Map</v>
      </c>
      <c r="R79" s="12" t="s">
        <v>173</v>
      </c>
    </row>
    <row r="80" spans="1:18" x14ac:dyDescent="0.25">
      <c r="A80" s="92">
        <v>297</v>
      </c>
      <c r="B80" s="93" t="s">
        <v>910</v>
      </c>
      <c r="C80" s="93" t="str">
        <f t="shared" si="4"/>
        <v>Coastal Plain Lake 21</v>
      </c>
      <c r="D80" s="94">
        <v>69.356179999999995</v>
      </c>
      <c r="E80" s="76">
        <v>-150.21899999999999</v>
      </c>
      <c r="F80" s="95">
        <v>168</v>
      </c>
      <c r="G80" s="93" t="s">
        <v>301</v>
      </c>
      <c r="H80" s="93" t="s">
        <v>726</v>
      </c>
      <c r="I80" s="93" t="s">
        <v>427</v>
      </c>
      <c r="J80" s="76" t="s">
        <v>1044</v>
      </c>
      <c r="K80" s="73" t="str">
        <f t="shared" si="3"/>
        <v>View on Google Map</v>
      </c>
      <c r="R80" s="12" t="s">
        <v>656</v>
      </c>
    </row>
    <row r="81" spans="1:18" x14ac:dyDescent="0.25">
      <c r="A81" s="92">
        <v>212</v>
      </c>
      <c r="B81" s="93" t="s">
        <v>911</v>
      </c>
      <c r="C81" s="93" t="str">
        <f t="shared" si="4"/>
        <v>Coastal Plain Lake 22</v>
      </c>
      <c r="D81" s="94">
        <v>70.033330000000007</v>
      </c>
      <c r="E81" s="76">
        <v>-147.65</v>
      </c>
      <c r="F81" s="95">
        <v>28.04878048780488</v>
      </c>
      <c r="G81" s="93" t="s">
        <v>301</v>
      </c>
      <c r="H81" s="93" t="s">
        <v>726</v>
      </c>
      <c r="I81" s="93" t="s">
        <v>388</v>
      </c>
      <c r="J81" s="76" t="s">
        <v>1045</v>
      </c>
      <c r="K81" s="73" t="str">
        <f t="shared" si="3"/>
        <v>View on Google Map</v>
      </c>
      <c r="R81" s="12" t="s">
        <v>56</v>
      </c>
    </row>
    <row r="82" spans="1:18" x14ac:dyDescent="0.25">
      <c r="A82" s="92">
        <v>298</v>
      </c>
      <c r="B82" s="93" t="s">
        <v>911</v>
      </c>
      <c r="C82" s="93" t="str">
        <f t="shared" si="4"/>
        <v>Coastal Plain Lake 22</v>
      </c>
      <c r="D82" s="94">
        <v>69.356179999999995</v>
      </c>
      <c r="E82" s="76">
        <v>-150.21899999999999</v>
      </c>
      <c r="F82" s="95">
        <v>168</v>
      </c>
      <c r="G82" s="93" t="s">
        <v>301</v>
      </c>
      <c r="H82" s="93" t="s">
        <v>726</v>
      </c>
      <c r="I82" s="93" t="s">
        <v>427</v>
      </c>
      <c r="J82" s="76" t="s">
        <v>1046</v>
      </c>
      <c r="K82" s="73" t="str">
        <f t="shared" si="3"/>
        <v>View on Google Map</v>
      </c>
      <c r="R82" s="12" t="s">
        <v>57</v>
      </c>
    </row>
    <row r="83" spans="1:18" x14ac:dyDescent="0.25">
      <c r="A83" s="92">
        <v>213</v>
      </c>
      <c r="B83" s="93" t="s">
        <v>912</v>
      </c>
      <c r="C83" s="93" t="str">
        <f t="shared" si="4"/>
        <v>Coastal Plain Lake 23</v>
      </c>
      <c r="D83" s="94">
        <v>70.033330000000007</v>
      </c>
      <c r="E83" s="76">
        <v>-147.65</v>
      </c>
      <c r="F83" s="95">
        <v>28.04878048780488</v>
      </c>
      <c r="G83" s="93" t="s">
        <v>301</v>
      </c>
      <c r="H83" s="93" t="s">
        <v>726</v>
      </c>
      <c r="I83" s="93" t="s">
        <v>388</v>
      </c>
      <c r="J83" s="76" t="s">
        <v>1047</v>
      </c>
      <c r="K83" s="73" t="str">
        <f t="shared" si="3"/>
        <v>View on Google Map</v>
      </c>
      <c r="R83" s="12" t="s">
        <v>58</v>
      </c>
    </row>
    <row r="84" spans="1:18" x14ac:dyDescent="0.25">
      <c r="A84" s="92">
        <v>299</v>
      </c>
      <c r="B84" s="93" t="s">
        <v>912</v>
      </c>
      <c r="C84" s="93" t="str">
        <f t="shared" si="4"/>
        <v>Coastal Plain Lake 23</v>
      </c>
      <c r="D84" s="94">
        <v>69.5458</v>
      </c>
      <c r="E84" s="76">
        <v>-150.37882999999999</v>
      </c>
      <c r="F84" s="95">
        <v>107</v>
      </c>
      <c r="G84" s="93" t="s">
        <v>301</v>
      </c>
      <c r="H84" s="93" t="s">
        <v>726</v>
      </c>
      <c r="I84" s="93" t="s">
        <v>427</v>
      </c>
      <c r="J84" s="76" t="s">
        <v>1048</v>
      </c>
      <c r="K84" s="73" t="str">
        <f t="shared" si="3"/>
        <v>View on Google Map</v>
      </c>
      <c r="R84" s="12" t="s">
        <v>174</v>
      </c>
    </row>
    <row r="85" spans="1:18" x14ac:dyDescent="0.25">
      <c r="A85" s="92">
        <v>214</v>
      </c>
      <c r="B85" s="93" t="s">
        <v>913</v>
      </c>
      <c r="C85" s="93" t="str">
        <f t="shared" si="4"/>
        <v>Coastal Plain Lake 24</v>
      </c>
      <c r="D85" s="94">
        <v>69.833330000000004</v>
      </c>
      <c r="E85" s="76">
        <v>-147.93333000000001</v>
      </c>
      <c r="F85" s="95">
        <v>92.987804878048792</v>
      </c>
      <c r="G85" s="93" t="s">
        <v>301</v>
      </c>
      <c r="H85" s="93" t="s">
        <v>726</v>
      </c>
      <c r="I85" s="93" t="s">
        <v>388</v>
      </c>
      <c r="J85" s="76" t="s">
        <v>1049</v>
      </c>
      <c r="K85" s="73" t="str">
        <f t="shared" si="3"/>
        <v>View on Google Map</v>
      </c>
      <c r="R85" s="12" t="s">
        <v>175</v>
      </c>
    </row>
    <row r="86" spans="1:18" x14ac:dyDescent="0.25">
      <c r="A86" s="92">
        <v>300</v>
      </c>
      <c r="B86" s="93" t="s">
        <v>913</v>
      </c>
      <c r="C86" s="93" t="str">
        <f t="shared" si="4"/>
        <v>Coastal Plain Lake 24</v>
      </c>
      <c r="D86" s="94">
        <v>69.5458</v>
      </c>
      <c r="E86" s="76">
        <v>-150.37882999999999</v>
      </c>
      <c r="F86" s="95">
        <v>107</v>
      </c>
      <c r="G86" s="93" t="s">
        <v>301</v>
      </c>
      <c r="H86" s="93" t="s">
        <v>726</v>
      </c>
      <c r="I86" s="93" t="s">
        <v>427</v>
      </c>
      <c r="J86" s="76" t="s">
        <v>1050</v>
      </c>
      <c r="K86" s="73" t="str">
        <f t="shared" si="3"/>
        <v>View on Google Map</v>
      </c>
      <c r="R86" s="12" t="s">
        <v>59</v>
      </c>
    </row>
    <row r="87" spans="1:18" x14ac:dyDescent="0.25">
      <c r="A87" s="92">
        <v>215</v>
      </c>
      <c r="B87" s="93" t="s">
        <v>914</v>
      </c>
      <c r="C87" s="93" t="str">
        <f t="shared" si="4"/>
        <v>Coastal Plain Lake 25</v>
      </c>
      <c r="D87" s="94">
        <v>69.833330000000004</v>
      </c>
      <c r="E87" s="76">
        <v>-147.93333000000001</v>
      </c>
      <c r="F87" s="95">
        <v>92.987804878048792</v>
      </c>
      <c r="G87" s="93" t="s">
        <v>301</v>
      </c>
      <c r="H87" s="93" t="s">
        <v>726</v>
      </c>
      <c r="I87" s="93" t="s">
        <v>388</v>
      </c>
      <c r="J87" s="76" t="s">
        <v>1051</v>
      </c>
      <c r="K87" s="73" t="str">
        <f t="shared" si="3"/>
        <v>View on Google Map</v>
      </c>
      <c r="R87" s="12" t="s">
        <v>60</v>
      </c>
    </row>
    <row r="88" spans="1:18" x14ac:dyDescent="0.25">
      <c r="A88" s="92">
        <v>301</v>
      </c>
      <c r="B88" s="93" t="s">
        <v>914</v>
      </c>
      <c r="C88" s="93" t="str">
        <f t="shared" si="4"/>
        <v>Coastal Plain Lake 25</v>
      </c>
      <c r="D88" s="94">
        <v>69.523700000000005</v>
      </c>
      <c r="E88" s="76">
        <v>-150.55269999999999</v>
      </c>
      <c r="F88" s="95">
        <v>107</v>
      </c>
      <c r="G88" s="93" t="s">
        <v>301</v>
      </c>
      <c r="H88" s="93" t="s">
        <v>726</v>
      </c>
      <c r="I88" s="93" t="s">
        <v>427</v>
      </c>
      <c r="J88" s="76" t="s">
        <v>1052</v>
      </c>
      <c r="K88" s="73" t="str">
        <f t="shared" si="3"/>
        <v>View on Google Map</v>
      </c>
      <c r="R88" s="12" t="s">
        <v>61</v>
      </c>
    </row>
    <row r="89" spans="1:18" x14ac:dyDescent="0.25">
      <c r="A89" s="92">
        <v>216</v>
      </c>
      <c r="B89" s="93" t="s">
        <v>915</v>
      </c>
      <c r="C89" s="93" t="str">
        <f t="shared" si="4"/>
        <v>Coastal Plain Lake 26</v>
      </c>
      <c r="D89" s="94">
        <v>69.883330000000001</v>
      </c>
      <c r="E89" s="76">
        <v>-148.63333</v>
      </c>
      <c r="F89" s="95">
        <v>118.90243902439025</v>
      </c>
      <c r="G89" s="93" t="s">
        <v>301</v>
      </c>
      <c r="H89" s="93" t="s">
        <v>726</v>
      </c>
      <c r="I89" s="93" t="s">
        <v>388</v>
      </c>
      <c r="J89" s="76" t="s">
        <v>1053</v>
      </c>
      <c r="K89" s="73" t="str">
        <f t="shared" si="3"/>
        <v>View on Google Map</v>
      </c>
      <c r="R89" s="12" t="s">
        <v>62</v>
      </c>
    </row>
    <row r="90" spans="1:18" x14ac:dyDescent="0.25">
      <c r="A90" s="92">
        <v>302</v>
      </c>
      <c r="B90" s="93" t="s">
        <v>915</v>
      </c>
      <c r="C90" s="93" t="str">
        <f t="shared" si="4"/>
        <v>Coastal Plain Lake 26</v>
      </c>
      <c r="D90" s="94">
        <v>69.523700000000005</v>
      </c>
      <c r="E90" s="76">
        <v>-150.55269999999999</v>
      </c>
      <c r="F90" s="95">
        <v>107</v>
      </c>
      <c r="G90" s="93" t="s">
        <v>301</v>
      </c>
      <c r="H90" s="93" t="s">
        <v>726</v>
      </c>
      <c r="I90" s="93" t="s">
        <v>427</v>
      </c>
      <c r="J90" s="76" t="s">
        <v>1054</v>
      </c>
      <c r="K90" s="73" t="str">
        <f t="shared" si="3"/>
        <v>View on Google Map</v>
      </c>
      <c r="R90" s="12" t="s">
        <v>119</v>
      </c>
    </row>
    <row r="91" spans="1:18" x14ac:dyDescent="0.25">
      <c r="A91" s="92">
        <v>217</v>
      </c>
      <c r="B91" s="93" t="s">
        <v>916</v>
      </c>
      <c r="C91" s="93" t="str">
        <f t="shared" si="4"/>
        <v>Coastal Plain Lake 27</v>
      </c>
      <c r="D91" s="94">
        <v>69.7</v>
      </c>
      <c r="E91" s="76">
        <v>-148.48333</v>
      </c>
      <c r="F91" s="95">
        <v>125</v>
      </c>
      <c r="G91" s="93" t="s">
        <v>301</v>
      </c>
      <c r="H91" s="93" t="s">
        <v>726</v>
      </c>
      <c r="I91" s="93" t="s">
        <v>388</v>
      </c>
      <c r="J91" s="76" t="s">
        <v>1055</v>
      </c>
      <c r="K91" s="73" t="str">
        <f t="shared" si="3"/>
        <v>View on Google Map</v>
      </c>
      <c r="R91" s="12" t="s">
        <v>673</v>
      </c>
    </row>
    <row r="92" spans="1:18" x14ac:dyDescent="0.25">
      <c r="A92" s="92">
        <v>303</v>
      </c>
      <c r="B92" s="93" t="s">
        <v>916</v>
      </c>
      <c r="C92" s="93" t="str">
        <f t="shared" si="4"/>
        <v>Coastal Plain Lake 27</v>
      </c>
      <c r="D92" s="94">
        <v>69.610399999999998</v>
      </c>
      <c r="E92" s="76">
        <v>-148.82113000000001</v>
      </c>
      <c r="F92" s="95">
        <v>107</v>
      </c>
      <c r="G92" s="93" t="s">
        <v>301</v>
      </c>
      <c r="H92" s="93" t="s">
        <v>726</v>
      </c>
      <c r="I92" s="93" t="s">
        <v>427</v>
      </c>
      <c r="J92" s="76" t="s">
        <v>1056</v>
      </c>
      <c r="K92" s="73" t="str">
        <f t="shared" si="3"/>
        <v>View on Google Map</v>
      </c>
      <c r="R92" s="12" t="s">
        <v>63</v>
      </c>
    </row>
    <row r="93" spans="1:18" x14ac:dyDescent="0.25">
      <c r="A93" s="92">
        <v>218</v>
      </c>
      <c r="B93" s="93" t="s">
        <v>917</v>
      </c>
      <c r="C93" s="93" t="str">
        <f t="shared" si="4"/>
        <v>Coastal Plain Lake 28</v>
      </c>
      <c r="D93" s="94">
        <v>69.7</v>
      </c>
      <c r="E93" s="76">
        <v>-148.48333</v>
      </c>
      <c r="F93" s="95">
        <v>125</v>
      </c>
      <c r="G93" s="93" t="s">
        <v>301</v>
      </c>
      <c r="H93" s="93" t="s">
        <v>726</v>
      </c>
      <c r="I93" s="93" t="s">
        <v>388</v>
      </c>
      <c r="J93" s="76" t="s">
        <v>1057</v>
      </c>
      <c r="K93" s="73" t="str">
        <f t="shared" si="3"/>
        <v>View on Google Map</v>
      </c>
      <c r="R93" s="12" t="s">
        <v>710</v>
      </c>
    </row>
    <row r="94" spans="1:18" x14ac:dyDescent="0.25">
      <c r="A94" s="92">
        <v>304</v>
      </c>
      <c r="B94" s="93" t="s">
        <v>917</v>
      </c>
      <c r="C94" s="93" t="str">
        <f t="shared" si="4"/>
        <v>Coastal Plain Lake 28</v>
      </c>
      <c r="D94" s="94">
        <v>69.610399999999998</v>
      </c>
      <c r="E94" s="76">
        <v>-148.82113000000001</v>
      </c>
      <c r="F94" s="95">
        <v>107</v>
      </c>
      <c r="G94" s="93" t="s">
        <v>301</v>
      </c>
      <c r="H94" s="93" t="s">
        <v>726</v>
      </c>
      <c r="I94" s="93" t="s">
        <v>427</v>
      </c>
      <c r="J94" s="76" t="s">
        <v>1058</v>
      </c>
      <c r="K94" s="73" t="str">
        <f t="shared" si="3"/>
        <v>View on Google Map</v>
      </c>
      <c r="R94" s="12" t="s">
        <v>176</v>
      </c>
    </row>
    <row r="95" spans="1:18" x14ac:dyDescent="0.25">
      <c r="A95" s="92">
        <v>21</v>
      </c>
      <c r="B95" s="93" t="s">
        <v>1364</v>
      </c>
      <c r="C95" s="93" t="str">
        <f t="shared" si="4"/>
        <v>Cobblestone Creek</v>
      </c>
      <c r="D95" s="94"/>
      <c r="E95" s="76"/>
      <c r="F95" s="95"/>
      <c r="G95" s="93" t="s">
        <v>269</v>
      </c>
      <c r="H95" s="93" t="s">
        <v>726</v>
      </c>
      <c r="I95" s="93"/>
      <c r="J95" s="76" t="s">
        <v>946</v>
      </c>
      <c r="K95" s="73" t="str">
        <f t="shared" si="3"/>
        <v>View on Google Map</v>
      </c>
      <c r="R95" s="12" t="s">
        <v>687</v>
      </c>
    </row>
    <row r="96" spans="1:18" x14ac:dyDescent="0.25">
      <c r="A96" s="102">
        <v>1174</v>
      </c>
      <c r="B96" s="101" t="s">
        <v>627</v>
      </c>
      <c r="C96" s="93" t="str">
        <f t="shared" si="4"/>
        <v>Control CALM grid, NW corner</v>
      </c>
      <c r="D96" s="99">
        <v>68.933938330000004</v>
      </c>
      <c r="E96" s="76">
        <v>-150.27111830000001</v>
      </c>
      <c r="F96" s="92"/>
      <c r="G96" s="93" t="s">
        <v>619</v>
      </c>
      <c r="H96" s="93" t="s">
        <v>625</v>
      </c>
      <c r="I96" s="93" t="s">
        <v>284</v>
      </c>
      <c r="J96" s="76" t="s">
        <v>946</v>
      </c>
      <c r="K96" s="73" t="str">
        <f t="shared" si="3"/>
        <v>View on Google Map</v>
      </c>
      <c r="R96" s="12" t="s">
        <v>177</v>
      </c>
    </row>
    <row r="97" spans="1:18" x14ac:dyDescent="0.25">
      <c r="A97" s="92">
        <v>232</v>
      </c>
      <c r="B97" s="93" t="s">
        <v>918</v>
      </c>
      <c r="C97" s="93" t="str">
        <f t="shared" si="4"/>
        <v>Costal Plain Lake 29</v>
      </c>
      <c r="D97" s="94">
        <v>69.266670000000005</v>
      </c>
      <c r="E97" s="76">
        <v>-148.46666999999999</v>
      </c>
      <c r="F97" s="95">
        <v>338.71951219512198</v>
      </c>
      <c r="G97" s="93" t="s">
        <v>301</v>
      </c>
      <c r="H97" s="93" t="s">
        <v>726</v>
      </c>
      <c r="I97" s="93" t="s">
        <v>388</v>
      </c>
      <c r="J97" s="76" t="s">
        <v>1059</v>
      </c>
      <c r="K97" s="73" t="str">
        <f t="shared" si="3"/>
        <v>View on Google Map</v>
      </c>
      <c r="R97" s="12" t="s">
        <v>64</v>
      </c>
    </row>
    <row r="98" spans="1:18" x14ac:dyDescent="0.25">
      <c r="A98" s="92">
        <v>144</v>
      </c>
      <c r="B98" s="93" t="s">
        <v>347</v>
      </c>
      <c r="C98" s="93" t="s">
        <v>348</v>
      </c>
      <c r="D98" s="94">
        <v>68.633330000000001</v>
      </c>
      <c r="E98" s="76">
        <v>-149.6</v>
      </c>
      <c r="F98" s="95">
        <v>719</v>
      </c>
      <c r="G98" s="93" t="s">
        <v>301</v>
      </c>
      <c r="H98" s="93" t="s">
        <v>726</v>
      </c>
      <c r="I98" s="93" t="s">
        <v>272</v>
      </c>
      <c r="J98" s="76" t="s">
        <v>946</v>
      </c>
      <c r="K98" s="73" t="str">
        <f t="shared" si="3"/>
        <v>View on Google Map</v>
      </c>
      <c r="R98" s="12" t="s">
        <v>65</v>
      </c>
    </row>
    <row r="99" spans="1:18" x14ac:dyDescent="0.25">
      <c r="A99" s="92">
        <v>401</v>
      </c>
      <c r="B99" s="93" t="s">
        <v>491</v>
      </c>
      <c r="C99" s="93" t="str">
        <f>B99</f>
        <v>Dennis Lake</v>
      </c>
      <c r="D99" s="94">
        <v>68.659270000000006</v>
      </c>
      <c r="E99" s="76">
        <v>-149.57997</v>
      </c>
      <c r="F99" s="95"/>
      <c r="G99" s="93" t="s">
        <v>301</v>
      </c>
      <c r="H99" s="93" t="s">
        <v>726</v>
      </c>
      <c r="I99" s="93" t="s">
        <v>490</v>
      </c>
      <c r="J99" s="76" t="s">
        <v>946</v>
      </c>
      <c r="K99" s="73" t="str">
        <f t="shared" si="3"/>
        <v>View on Google Map</v>
      </c>
      <c r="R99" s="12" t="s">
        <v>66</v>
      </c>
    </row>
    <row r="100" spans="1:18" x14ac:dyDescent="0.25">
      <c r="A100" s="92">
        <v>403</v>
      </c>
      <c r="B100" s="93" t="s">
        <v>1404</v>
      </c>
      <c r="C100" s="93" t="str">
        <f>B100</f>
        <v>Desert Lake</v>
      </c>
      <c r="D100" s="94" t="s">
        <v>946</v>
      </c>
      <c r="E100" s="76" t="s">
        <v>946</v>
      </c>
      <c r="F100" s="95"/>
      <c r="G100" s="93" t="s">
        <v>301</v>
      </c>
      <c r="H100" s="93" t="s">
        <v>726</v>
      </c>
      <c r="I100" s="93" t="s">
        <v>493</v>
      </c>
      <c r="J100" s="76" t="s">
        <v>946</v>
      </c>
      <c r="K100" s="73" t="str">
        <f t="shared" si="3"/>
        <v>View on Google Map</v>
      </c>
      <c r="R100" s="12" t="s">
        <v>67</v>
      </c>
    </row>
    <row r="101" spans="1:18" x14ac:dyDescent="0.25">
      <c r="A101" s="96">
        <v>608</v>
      </c>
      <c r="B101" s="117" t="s">
        <v>727</v>
      </c>
      <c r="C101" s="93" t="str">
        <f>B101</f>
        <v>Devil Mountain Lake</v>
      </c>
      <c r="D101" s="118">
        <v>66.4054</v>
      </c>
      <c r="E101" s="76">
        <v>-164.5145</v>
      </c>
      <c r="F101" s="119">
        <v>24</v>
      </c>
      <c r="G101" s="97" t="s">
        <v>301</v>
      </c>
      <c r="H101" s="97" t="s">
        <v>728</v>
      </c>
      <c r="I101" s="97"/>
      <c r="J101" s="76" t="s">
        <v>946</v>
      </c>
      <c r="K101" s="73" t="str">
        <f t="shared" si="3"/>
        <v>View on Google Map</v>
      </c>
      <c r="R101" s="12" t="s">
        <v>657</v>
      </c>
    </row>
    <row r="102" spans="1:18" x14ac:dyDescent="0.25">
      <c r="A102" s="102">
        <v>1209</v>
      </c>
      <c r="B102" s="123" t="s">
        <v>649</v>
      </c>
      <c r="C102" s="101" t="s">
        <v>647</v>
      </c>
      <c r="D102" s="99">
        <v>68.934420000000003</v>
      </c>
      <c r="E102" s="76">
        <v>-150.21242000000001</v>
      </c>
      <c r="F102" s="92"/>
      <c r="G102" s="93" t="s">
        <v>619</v>
      </c>
      <c r="H102" s="93" t="s">
        <v>625</v>
      </c>
      <c r="I102" s="93" t="s">
        <v>284</v>
      </c>
      <c r="J102" s="76" t="s">
        <v>946</v>
      </c>
      <c r="K102" s="73" t="str">
        <f t="shared" si="3"/>
        <v>View on Google Map</v>
      </c>
      <c r="R102" s="12" t="s">
        <v>68</v>
      </c>
    </row>
    <row r="103" spans="1:18" x14ac:dyDescent="0.25">
      <c r="A103" s="92">
        <v>482</v>
      </c>
      <c r="B103" s="97" t="s">
        <v>547</v>
      </c>
      <c r="C103" s="93" t="str">
        <f>B103</f>
        <v>Dimple Lake</v>
      </c>
      <c r="D103" s="99">
        <v>68.951480000000004</v>
      </c>
      <c r="E103" s="76">
        <v>-150.19433000000001</v>
      </c>
      <c r="F103" s="92">
        <v>399</v>
      </c>
      <c r="G103" s="93" t="s">
        <v>301</v>
      </c>
      <c r="H103" s="93" t="s">
        <v>283</v>
      </c>
      <c r="I103" s="93" t="s">
        <v>284</v>
      </c>
      <c r="J103" s="76" t="s">
        <v>946</v>
      </c>
      <c r="K103" s="73" t="str">
        <f t="shared" si="3"/>
        <v>View on Google Map</v>
      </c>
      <c r="R103" s="12" t="s">
        <v>69</v>
      </c>
    </row>
    <row r="104" spans="1:18" x14ac:dyDescent="0.25">
      <c r="A104" s="92">
        <v>483</v>
      </c>
      <c r="B104" s="97" t="s">
        <v>548</v>
      </c>
      <c r="C104" s="93" t="str">
        <f>B104</f>
        <v>Dimple Lake Inlet</v>
      </c>
      <c r="D104" s="99">
        <v>68.950779999999995</v>
      </c>
      <c r="E104" s="76">
        <v>-150.19835</v>
      </c>
      <c r="F104" s="92">
        <v>399</v>
      </c>
      <c r="G104" s="93" t="s">
        <v>269</v>
      </c>
      <c r="H104" s="93" t="s">
        <v>283</v>
      </c>
      <c r="I104" s="93" t="s">
        <v>284</v>
      </c>
      <c r="J104" s="76" t="s">
        <v>1060</v>
      </c>
      <c r="K104" s="73" t="str">
        <f t="shared" si="3"/>
        <v>View on Google Map</v>
      </c>
      <c r="R104" s="12" t="s">
        <v>70</v>
      </c>
    </row>
    <row r="105" spans="1:18" x14ac:dyDescent="0.25">
      <c r="A105" s="92">
        <v>484</v>
      </c>
      <c r="B105" s="97" t="s">
        <v>549</v>
      </c>
      <c r="C105" s="93" t="str">
        <f>B105</f>
        <v>Dimple Lake Outlet</v>
      </c>
      <c r="D105" s="99">
        <v>68.957549999999998</v>
      </c>
      <c r="E105" s="76">
        <v>-150.20092</v>
      </c>
      <c r="F105" s="92">
        <v>399</v>
      </c>
      <c r="G105" s="93" t="s">
        <v>301</v>
      </c>
      <c r="H105" s="93" t="s">
        <v>283</v>
      </c>
      <c r="I105" s="93" t="s">
        <v>284</v>
      </c>
      <c r="J105" s="76" t="s">
        <v>1061</v>
      </c>
      <c r="K105" s="73" t="str">
        <f t="shared" si="3"/>
        <v>View on Google Map</v>
      </c>
      <c r="R105" s="12" t="s">
        <v>71</v>
      </c>
    </row>
    <row r="106" spans="1:18" x14ac:dyDescent="0.25">
      <c r="A106" s="92">
        <v>485</v>
      </c>
      <c r="B106" s="93" t="s">
        <v>550</v>
      </c>
      <c r="C106" s="93" t="str">
        <f>B106</f>
        <v>Dimple Lake Outlet Stream</v>
      </c>
      <c r="D106" s="99">
        <v>68.95675</v>
      </c>
      <c r="E106" s="76">
        <v>-150.19701000000001</v>
      </c>
      <c r="F106" s="92">
        <v>399</v>
      </c>
      <c r="G106" s="93" t="s">
        <v>301</v>
      </c>
      <c r="H106" s="93" t="s">
        <v>283</v>
      </c>
      <c r="I106" s="93" t="s">
        <v>284</v>
      </c>
      <c r="J106" s="76" t="s">
        <v>1062</v>
      </c>
      <c r="K106" s="73" t="str">
        <f t="shared" si="3"/>
        <v>View on Google Map</v>
      </c>
      <c r="R106" s="12" t="s">
        <v>72</v>
      </c>
    </row>
    <row r="107" spans="1:18" x14ac:dyDescent="0.25">
      <c r="A107" s="92">
        <v>514</v>
      </c>
      <c r="B107" s="93" t="s">
        <v>577</v>
      </c>
      <c r="C107" s="93" t="s">
        <v>570</v>
      </c>
      <c r="D107" s="109">
        <v>68.418130000000005</v>
      </c>
      <c r="E107" s="76">
        <v>-151.58454</v>
      </c>
      <c r="F107" s="106">
        <v>876</v>
      </c>
      <c r="G107" s="93" t="s">
        <v>301</v>
      </c>
      <c r="H107" s="93" t="s">
        <v>516</v>
      </c>
      <c r="I107" s="93" t="s">
        <v>571</v>
      </c>
      <c r="J107" s="76" t="s">
        <v>946</v>
      </c>
      <c r="K107" s="73" t="str">
        <f t="shared" si="3"/>
        <v>View on Google Map</v>
      </c>
      <c r="R107" s="12" t="s">
        <v>73</v>
      </c>
    </row>
    <row r="108" spans="1:18" x14ac:dyDescent="0.25">
      <c r="A108" s="92">
        <v>400</v>
      </c>
      <c r="B108" s="93" t="s">
        <v>489</v>
      </c>
      <c r="C108" s="93" t="str">
        <f t="shared" ref="C108:C120" si="5">B108</f>
        <v>Duckling pond</v>
      </c>
      <c r="D108" s="94">
        <v>68.663529999999994</v>
      </c>
      <c r="E108" s="76">
        <v>-149.56764999999999</v>
      </c>
      <c r="F108" s="95"/>
      <c r="G108" s="93" t="s">
        <v>301</v>
      </c>
      <c r="H108" s="93" t="s">
        <v>726</v>
      </c>
      <c r="I108" s="93" t="s">
        <v>490</v>
      </c>
      <c r="J108" s="76" t="s">
        <v>946</v>
      </c>
      <c r="K108" s="73" t="str">
        <f t="shared" si="3"/>
        <v>View on Google Map</v>
      </c>
      <c r="R108" s="12" t="s">
        <v>178</v>
      </c>
    </row>
    <row r="109" spans="1:18" x14ac:dyDescent="0.25">
      <c r="A109" s="92">
        <v>137</v>
      </c>
      <c r="B109" s="93" t="s">
        <v>337</v>
      </c>
      <c r="C109" s="93" t="str">
        <f t="shared" si="5"/>
        <v>Dune Pond</v>
      </c>
      <c r="D109" s="94">
        <v>70.3</v>
      </c>
      <c r="E109" s="76">
        <v>-148.28333000000001</v>
      </c>
      <c r="F109" s="95">
        <v>6</v>
      </c>
      <c r="G109" s="93" t="s">
        <v>301</v>
      </c>
      <c r="H109" s="93" t="s">
        <v>726</v>
      </c>
      <c r="I109" s="93" t="s">
        <v>272</v>
      </c>
      <c r="J109" s="76" t="s">
        <v>1063</v>
      </c>
      <c r="K109" s="73" t="str">
        <f t="shared" si="3"/>
        <v>View on Google Map</v>
      </c>
      <c r="R109" s="12" t="s">
        <v>658</v>
      </c>
    </row>
    <row r="110" spans="1:18" x14ac:dyDescent="0.25">
      <c r="A110" s="92">
        <v>146</v>
      </c>
      <c r="B110" s="93" t="s">
        <v>350</v>
      </c>
      <c r="C110" s="93" t="str">
        <f t="shared" si="5"/>
        <v>E 01</v>
      </c>
      <c r="D110" s="94">
        <v>68.626230000000007</v>
      </c>
      <c r="E110" s="76">
        <v>-149.55568</v>
      </c>
      <c r="F110" s="95">
        <v>762</v>
      </c>
      <c r="G110" s="93" t="s">
        <v>301</v>
      </c>
      <c r="H110" s="93" t="s">
        <v>726</v>
      </c>
      <c r="I110" s="93"/>
      <c r="J110" s="76" t="s">
        <v>1064</v>
      </c>
      <c r="K110" s="73" t="str">
        <f t="shared" si="3"/>
        <v>View on Google Map</v>
      </c>
      <c r="R110" s="12" t="s">
        <v>711</v>
      </c>
    </row>
    <row r="111" spans="1:18" x14ac:dyDescent="0.25">
      <c r="A111" s="92">
        <v>18</v>
      </c>
      <c r="B111" s="93" t="s">
        <v>947</v>
      </c>
      <c r="C111" s="93" t="str">
        <f t="shared" si="5"/>
        <v>E 01 Outlet</v>
      </c>
      <c r="D111" s="94">
        <v>68.626523000000006</v>
      </c>
      <c r="E111" s="76">
        <v>-149.55820299999999</v>
      </c>
      <c r="F111" s="95">
        <v>762</v>
      </c>
      <c r="G111" s="93" t="s">
        <v>269</v>
      </c>
      <c r="H111" s="93" t="s">
        <v>726</v>
      </c>
      <c r="I111" s="93"/>
      <c r="J111" s="76" t="s">
        <v>1065</v>
      </c>
      <c r="K111" s="73" t="str">
        <f t="shared" si="3"/>
        <v>View on Google Map</v>
      </c>
      <c r="R111" s="12" t="s">
        <v>179</v>
      </c>
    </row>
    <row r="112" spans="1:18" x14ac:dyDescent="0.25">
      <c r="A112" s="92">
        <v>310</v>
      </c>
      <c r="B112" s="93" t="s">
        <v>431</v>
      </c>
      <c r="C112" s="93" t="str">
        <f t="shared" si="5"/>
        <v>E 02</v>
      </c>
      <c r="D112" s="94">
        <v>68.622879999999995</v>
      </c>
      <c r="E112" s="76">
        <v>-149.54298</v>
      </c>
      <c r="F112" s="95"/>
      <c r="G112" s="93" t="s">
        <v>301</v>
      </c>
      <c r="H112" s="93" t="s">
        <v>726</v>
      </c>
      <c r="I112" s="93"/>
      <c r="J112" s="76" t="s">
        <v>1066</v>
      </c>
      <c r="K112" s="73" t="str">
        <f t="shared" si="3"/>
        <v>View on Google Map</v>
      </c>
      <c r="R112" s="12" t="s">
        <v>180</v>
      </c>
    </row>
    <row r="113" spans="1:18" x14ac:dyDescent="0.25">
      <c r="A113" s="92">
        <v>311</v>
      </c>
      <c r="B113" s="93" t="s">
        <v>432</v>
      </c>
      <c r="C113" s="93" t="str">
        <f t="shared" si="5"/>
        <v>E 03</v>
      </c>
      <c r="D113" s="94">
        <v>68.623940000000005</v>
      </c>
      <c r="E113" s="76">
        <v>-149.53112999999999</v>
      </c>
      <c r="F113" s="95"/>
      <c r="G113" s="93" t="s">
        <v>301</v>
      </c>
      <c r="H113" s="93" t="s">
        <v>726</v>
      </c>
      <c r="I113" s="93"/>
      <c r="J113" s="76" t="s">
        <v>1067</v>
      </c>
      <c r="K113" s="73" t="str">
        <f t="shared" si="3"/>
        <v>View on Google Map</v>
      </c>
      <c r="R113" s="12" t="s">
        <v>181</v>
      </c>
    </row>
    <row r="114" spans="1:18" x14ac:dyDescent="0.25">
      <c r="A114" s="92">
        <v>312</v>
      </c>
      <c r="B114" s="93" t="s">
        <v>433</v>
      </c>
      <c r="C114" s="93" t="str">
        <f t="shared" si="5"/>
        <v>E 04</v>
      </c>
      <c r="D114" s="94">
        <v>68.627520000000004</v>
      </c>
      <c r="E114" s="76">
        <v>-149.49744000000001</v>
      </c>
      <c r="F114" s="95"/>
      <c r="G114" s="93" t="s">
        <v>301</v>
      </c>
      <c r="H114" s="93" t="s">
        <v>726</v>
      </c>
      <c r="I114" s="93"/>
      <c r="J114" s="76" t="s">
        <v>1068</v>
      </c>
      <c r="K114" s="73" t="str">
        <f t="shared" si="3"/>
        <v>View on Google Map</v>
      </c>
      <c r="R114" s="12" t="s">
        <v>659</v>
      </c>
    </row>
    <row r="115" spans="1:18" x14ac:dyDescent="0.25">
      <c r="A115" s="92">
        <v>145</v>
      </c>
      <c r="B115" s="97" t="s">
        <v>349</v>
      </c>
      <c r="C115" s="93" t="str">
        <f t="shared" si="5"/>
        <v>E 05</v>
      </c>
      <c r="D115" s="94">
        <v>68.642610000000005</v>
      </c>
      <c r="E115" s="76">
        <v>-149.45808</v>
      </c>
      <c r="F115" s="92">
        <v>800</v>
      </c>
      <c r="G115" s="93" t="s">
        <v>301</v>
      </c>
      <c r="H115" s="93" t="s">
        <v>726</v>
      </c>
      <c r="I115" s="93"/>
      <c r="J115" s="76" t="s">
        <v>1069</v>
      </c>
      <c r="K115" s="73" t="str">
        <f t="shared" si="3"/>
        <v>View on Google Map</v>
      </c>
      <c r="R115" s="12" t="s">
        <v>182</v>
      </c>
    </row>
    <row r="116" spans="1:18" x14ac:dyDescent="0.25">
      <c r="A116" s="92">
        <v>399</v>
      </c>
      <c r="B116" s="93" t="s">
        <v>488</v>
      </c>
      <c r="C116" s="93" t="str">
        <f t="shared" si="5"/>
        <v>E 06</v>
      </c>
      <c r="D116" s="94">
        <v>68.643460000000005</v>
      </c>
      <c r="E116" s="76">
        <v>-149.44002</v>
      </c>
      <c r="F116" s="95">
        <v>792</v>
      </c>
      <c r="G116" s="93" t="s">
        <v>301</v>
      </c>
      <c r="H116" s="93" t="s">
        <v>726</v>
      </c>
      <c r="I116" s="93"/>
      <c r="J116" s="76" t="s">
        <v>1070</v>
      </c>
      <c r="K116" s="73" t="str">
        <f t="shared" si="3"/>
        <v>View on Google Map</v>
      </c>
      <c r="R116" s="12" t="s">
        <v>183</v>
      </c>
    </row>
    <row r="117" spans="1:18" x14ac:dyDescent="0.25">
      <c r="A117" s="92">
        <v>1605</v>
      </c>
      <c r="B117" s="126" t="s">
        <v>1645</v>
      </c>
      <c r="C117" s="93" t="str">
        <f t="shared" si="5"/>
        <v>E 5 Inlet South</v>
      </c>
      <c r="D117" s="94"/>
      <c r="E117" s="94"/>
      <c r="F117" s="95"/>
      <c r="G117" s="93" t="s">
        <v>269</v>
      </c>
      <c r="H117" s="93" t="s">
        <v>726</v>
      </c>
      <c r="I117" s="93"/>
      <c r="J117" s="76" t="s">
        <v>1646</v>
      </c>
      <c r="K117" s="73" t="str">
        <f t="shared" si="3"/>
        <v>View on Google Map</v>
      </c>
      <c r="R117" s="12" t="s">
        <v>712</v>
      </c>
    </row>
    <row r="118" spans="1:18" x14ac:dyDescent="0.25">
      <c r="A118" s="92">
        <v>1606</v>
      </c>
      <c r="B118" s="126" t="s">
        <v>1647</v>
      </c>
      <c r="C118" s="93" t="str">
        <f t="shared" si="5"/>
        <v>E 5 Inlet West</v>
      </c>
      <c r="D118" s="94"/>
      <c r="E118" s="94"/>
      <c r="F118" s="95"/>
      <c r="G118" s="93" t="s">
        <v>269</v>
      </c>
      <c r="H118" s="93" t="s">
        <v>726</v>
      </c>
      <c r="I118" s="93"/>
      <c r="J118" s="76" t="s">
        <v>1648</v>
      </c>
      <c r="K118" s="73" t="str">
        <f t="shared" si="3"/>
        <v>View on Google Map</v>
      </c>
      <c r="R118" s="12" t="s">
        <v>674</v>
      </c>
    </row>
    <row r="119" spans="1:18" x14ac:dyDescent="0.25">
      <c r="A119" s="92">
        <v>1604</v>
      </c>
      <c r="B119" s="126" t="s">
        <v>1643</v>
      </c>
      <c r="C119" s="93" t="str">
        <f t="shared" si="5"/>
        <v>E 5 Outlet</v>
      </c>
      <c r="D119" s="94"/>
      <c r="E119" s="94"/>
      <c r="F119" s="95"/>
      <c r="G119" s="93" t="s">
        <v>269</v>
      </c>
      <c r="H119" s="93" t="s">
        <v>726</v>
      </c>
      <c r="I119" s="93"/>
      <c r="J119" s="76" t="s">
        <v>1644</v>
      </c>
      <c r="K119" s="73" t="str">
        <f t="shared" si="3"/>
        <v>View on Google Map</v>
      </c>
      <c r="R119" s="12" t="s">
        <v>184</v>
      </c>
    </row>
    <row r="120" spans="1:18" x14ac:dyDescent="0.25">
      <c r="A120" s="92">
        <v>24</v>
      </c>
      <c r="B120" s="93" t="s">
        <v>1368</v>
      </c>
      <c r="C120" s="93" t="str">
        <f t="shared" si="5"/>
        <v>Echooka River</v>
      </c>
      <c r="D120" s="94"/>
      <c r="E120" s="76"/>
      <c r="F120" s="95"/>
      <c r="G120" s="93" t="s">
        <v>269</v>
      </c>
      <c r="H120" s="93" t="s">
        <v>726</v>
      </c>
      <c r="I120" s="93"/>
      <c r="J120" s="76" t="s">
        <v>946</v>
      </c>
      <c r="K120" s="73" t="str">
        <f t="shared" si="3"/>
        <v>View on Google Map</v>
      </c>
      <c r="R120" s="12" t="s">
        <v>185</v>
      </c>
    </row>
    <row r="121" spans="1:18" x14ac:dyDescent="0.25">
      <c r="A121" s="92">
        <v>143</v>
      </c>
      <c r="B121" s="93" t="s">
        <v>345</v>
      </c>
      <c r="C121" s="93" t="s">
        <v>346</v>
      </c>
      <c r="D121" s="94">
        <v>68.653249299999999</v>
      </c>
      <c r="E121" s="76">
        <v>-148.4984551</v>
      </c>
      <c r="F121" s="95">
        <v>525</v>
      </c>
      <c r="G121" s="93" t="s">
        <v>301</v>
      </c>
      <c r="H121" s="93" t="s">
        <v>726</v>
      </c>
      <c r="I121" s="93" t="s">
        <v>272</v>
      </c>
      <c r="J121" s="76" t="s">
        <v>946</v>
      </c>
      <c r="K121" s="73" t="str">
        <f t="shared" si="3"/>
        <v>View on Google Map</v>
      </c>
      <c r="R121" s="12" t="s">
        <v>186</v>
      </c>
    </row>
    <row r="122" spans="1:18" x14ac:dyDescent="0.25">
      <c r="A122" s="92">
        <v>403</v>
      </c>
      <c r="B122" s="93" t="s">
        <v>948</v>
      </c>
      <c r="C122" s="93" t="str">
        <f>B122</f>
        <v>Fantasy Lake</v>
      </c>
      <c r="D122" s="94">
        <v>67.842410000000001</v>
      </c>
      <c r="E122" s="76">
        <v>-148.25516999999999</v>
      </c>
      <c r="F122" s="95"/>
      <c r="G122" s="93" t="s">
        <v>301</v>
      </c>
      <c r="H122" s="93" t="s">
        <v>726</v>
      </c>
      <c r="I122" s="93" t="s">
        <v>493</v>
      </c>
      <c r="J122" s="76" t="s">
        <v>946</v>
      </c>
      <c r="K122" s="73" t="str">
        <f t="shared" si="3"/>
        <v>View on Google Map</v>
      </c>
      <c r="R122" s="12" t="s">
        <v>187</v>
      </c>
    </row>
    <row r="123" spans="1:18" x14ac:dyDescent="0.25">
      <c r="A123" s="92">
        <v>406</v>
      </c>
      <c r="B123" s="93" t="s">
        <v>1405</v>
      </c>
      <c r="C123" s="93" t="str">
        <f>B123</f>
        <v>Far South Lake  04</v>
      </c>
      <c r="D123" s="94" t="s">
        <v>946</v>
      </c>
      <c r="E123" s="76" t="s">
        <v>946</v>
      </c>
      <c r="F123" s="95"/>
      <c r="G123" s="93" t="s">
        <v>301</v>
      </c>
      <c r="H123" s="93" t="s">
        <v>726</v>
      </c>
      <c r="I123" s="93" t="s">
        <v>493</v>
      </c>
      <c r="J123" s="76" t="s">
        <v>946</v>
      </c>
      <c r="K123" s="73" t="str">
        <f t="shared" si="3"/>
        <v>View on Google Map</v>
      </c>
      <c r="R123" s="12" t="s">
        <v>188</v>
      </c>
    </row>
    <row r="124" spans="1:18" x14ac:dyDescent="0.25">
      <c r="A124" s="92">
        <v>407</v>
      </c>
      <c r="B124" s="93" t="s">
        <v>1406</v>
      </c>
      <c r="C124" s="93" t="str">
        <f>B124</f>
        <v>Far South Lake  05</v>
      </c>
      <c r="D124" s="94" t="s">
        <v>946</v>
      </c>
      <c r="E124" s="76" t="s">
        <v>946</v>
      </c>
      <c r="F124" s="95"/>
      <c r="G124" s="93" t="s">
        <v>301</v>
      </c>
      <c r="H124" s="93" t="s">
        <v>726</v>
      </c>
      <c r="I124" s="93" t="s">
        <v>493</v>
      </c>
      <c r="J124" s="76" t="s">
        <v>946</v>
      </c>
      <c r="K124" s="73" t="str">
        <f t="shared" si="3"/>
        <v>View on Google Map</v>
      </c>
      <c r="R124" s="12" t="s">
        <v>189</v>
      </c>
    </row>
    <row r="125" spans="1:18" x14ac:dyDescent="0.25">
      <c r="A125" s="92">
        <v>164</v>
      </c>
      <c r="B125" s="93" t="s">
        <v>941</v>
      </c>
      <c r="C125" s="93" t="str">
        <f>B125</f>
        <v>Fog 01</v>
      </c>
      <c r="D125" s="94">
        <v>68.683486000000002</v>
      </c>
      <c r="E125" s="76">
        <v>-149.08199149999999</v>
      </c>
      <c r="F125" s="95">
        <v>770</v>
      </c>
      <c r="G125" s="93" t="s">
        <v>301</v>
      </c>
      <c r="H125" s="93" t="s">
        <v>726</v>
      </c>
      <c r="I125" s="93"/>
      <c r="J125" s="76" t="s">
        <v>1071</v>
      </c>
      <c r="K125" s="73" t="str">
        <f t="shared" si="3"/>
        <v>View on Google Map</v>
      </c>
      <c r="R125" s="12" t="s">
        <v>190</v>
      </c>
    </row>
    <row r="126" spans="1:18" ht="14.5" x14ac:dyDescent="0.35">
      <c r="A126" s="92">
        <v>612</v>
      </c>
      <c r="B126" s="93" t="s">
        <v>1652</v>
      </c>
      <c r="C126" t="s">
        <v>1653</v>
      </c>
      <c r="D126" s="127">
        <v>68.682416666666668</v>
      </c>
      <c r="E126" s="127">
        <v>-149.08151666666666</v>
      </c>
      <c r="F126" s="128" t="str">
        <f>"POINT(" &amp;E126 &amp; " " &amp;D126&amp;")"</f>
        <v>POINT(-149.081516666667 68.6824166666667)</v>
      </c>
      <c r="G126" s="93" t="s">
        <v>301</v>
      </c>
      <c r="H126" s="93" t="s">
        <v>1654</v>
      </c>
      <c r="K126" s="73" t="str">
        <f t="shared" si="3"/>
        <v>View on Google Map</v>
      </c>
      <c r="R126" s="12" t="s">
        <v>191</v>
      </c>
    </row>
    <row r="127" spans="1:18" x14ac:dyDescent="0.25">
      <c r="A127" s="92">
        <v>165</v>
      </c>
      <c r="B127" s="93" t="s">
        <v>942</v>
      </c>
      <c r="C127" s="93" t="str">
        <f>B127</f>
        <v>Fog 02</v>
      </c>
      <c r="D127" s="94">
        <v>68.679242400000007</v>
      </c>
      <c r="E127" s="76">
        <v>-149.0921894</v>
      </c>
      <c r="F127" s="95">
        <v>785</v>
      </c>
      <c r="G127" s="93" t="s">
        <v>301</v>
      </c>
      <c r="H127" s="93" t="s">
        <v>726</v>
      </c>
      <c r="I127" s="93"/>
      <c r="J127" s="76" t="s">
        <v>1072</v>
      </c>
      <c r="K127" s="73" t="str">
        <f t="shared" si="3"/>
        <v>View on Google Map</v>
      </c>
      <c r="R127" s="12" t="s">
        <v>688</v>
      </c>
    </row>
    <row r="128" spans="1:18" x14ac:dyDescent="0.25">
      <c r="A128" s="92">
        <v>613</v>
      </c>
      <c r="B128" s="93" t="s">
        <v>1655</v>
      </c>
      <c r="C128" t="s">
        <v>1656</v>
      </c>
      <c r="D128" s="127">
        <v>68.680716666666669</v>
      </c>
      <c r="E128" s="127">
        <v>-149.09856666666667</v>
      </c>
      <c r="G128" s="93" t="s">
        <v>301</v>
      </c>
      <c r="H128" s="93" t="s">
        <v>1654</v>
      </c>
      <c r="K128" s="73" t="str">
        <f t="shared" si="3"/>
        <v>View on Google Map</v>
      </c>
      <c r="R128" s="12" t="s">
        <v>192</v>
      </c>
    </row>
    <row r="129" spans="1:18" x14ac:dyDescent="0.25">
      <c r="A129" s="92">
        <v>166</v>
      </c>
      <c r="B129" s="93" t="s">
        <v>943</v>
      </c>
      <c r="C129" s="93" t="str">
        <f>B129</f>
        <v>Fog 03</v>
      </c>
      <c r="D129" s="94">
        <v>68.6726642</v>
      </c>
      <c r="E129" s="76">
        <v>-149.0883269</v>
      </c>
      <c r="F129" s="95">
        <v>792</v>
      </c>
      <c r="G129" s="93" t="s">
        <v>301</v>
      </c>
      <c r="H129" s="93" t="s">
        <v>726</v>
      </c>
      <c r="I129" s="93"/>
      <c r="J129" s="76" t="s">
        <v>1073</v>
      </c>
      <c r="K129" s="73" t="str">
        <f t="shared" si="3"/>
        <v>View on Google Map</v>
      </c>
      <c r="R129" s="12" t="s">
        <v>193</v>
      </c>
    </row>
    <row r="130" spans="1:18" x14ac:dyDescent="0.25">
      <c r="A130" s="92">
        <v>614</v>
      </c>
      <c r="B130" s="93" t="s">
        <v>1657</v>
      </c>
      <c r="C130" t="s">
        <v>1658</v>
      </c>
      <c r="D130" s="127">
        <v>68.672883333333331</v>
      </c>
      <c r="E130" s="127">
        <v>-149.08435</v>
      </c>
      <c r="G130" s="93" t="s">
        <v>301</v>
      </c>
      <c r="H130" s="93" t="s">
        <v>1654</v>
      </c>
      <c r="K130" s="73" t="str">
        <f t="shared" si="3"/>
        <v>View on Google Map</v>
      </c>
      <c r="R130" s="12" t="s">
        <v>194</v>
      </c>
    </row>
    <row r="131" spans="1:18" x14ac:dyDescent="0.25">
      <c r="A131" s="92">
        <v>167</v>
      </c>
      <c r="B131" s="93" t="s">
        <v>944</v>
      </c>
      <c r="C131" s="93" t="str">
        <f>B131</f>
        <v>Fog 04</v>
      </c>
      <c r="D131" s="94">
        <v>68.679750400000003</v>
      </c>
      <c r="E131" s="76">
        <v>-149.07561820000001</v>
      </c>
      <c r="F131" s="104">
        <v>754</v>
      </c>
      <c r="G131" s="93" t="s">
        <v>301</v>
      </c>
      <c r="H131" s="93" t="s">
        <v>726</v>
      </c>
      <c r="I131" s="93"/>
      <c r="J131" s="76" t="s">
        <v>1074</v>
      </c>
      <c r="K131" s="73" t="str">
        <f t="shared" ref="K131:K194" si="6">HYPERLINK("http://maps.google.com/maps?q="&amp;D131&amp;","&amp;E131,"View on Google Map")</f>
        <v>View on Google Map</v>
      </c>
      <c r="R131" s="12" t="s">
        <v>195</v>
      </c>
    </row>
    <row r="132" spans="1:18" x14ac:dyDescent="0.25">
      <c r="A132" s="92">
        <v>168</v>
      </c>
      <c r="B132" s="93" t="s">
        <v>945</v>
      </c>
      <c r="C132" s="93" t="str">
        <f>B132</f>
        <v>Fog 05</v>
      </c>
      <c r="D132" s="94">
        <v>68.678464300000002</v>
      </c>
      <c r="E132" s="76">
        <v>-149.0650641</v>
      </c>
      <c r="F132" s="105"/>
      <c r="G132" s="93" t="s">
        <v>301</v>
      </c>
      <c r="H132" s="93" t="s">
        <v>726</v>
      </c>
      <c r="I132" s="93"/>
      <c r="J132" s="76" t="s">
        <v>1075</v>
      </c>
      <c r="K132" s="73" t="str">
        <f t="shared" si="6"/>
        <v>View on Google Map</v>
      </c>
      <c r="R132" s="12" t="s">
        <v>196</v>
      </c>
    </row>
    <row r="133" spans="1:18" x14ac:dyDescent="0.25">
      <c r="A133" s="92">
        <v>615</v>
      </c>
      <c r="B133" s="93" t="s">
        <v>1659</v>
      </c>
      <c r="C133" t="s">
        <v>1660</v>
      </c>
      <c r="D133" s="127">
        <v>68.678550000000001</v>
      </c>
      <c r="E133" s="127">
        <v>-149.06326666666666</v>
      </c>
      <c r="G133" s="93" t="s">
        <v>301</v>
      </c>
      <c r="H133" s="93" t="s">
        <v>1654</v>
      </c>
      <c r="K133" s="73" t="str">
        <f t="shared" si="6"/>
        <v>View on Google Map</v>
      </c>
      <c r="R133" s="12" t="s">
        <v>74</v>
      </c>
    </row>
    <row r="134" spans="1:18" x14ac:dyDescent="0.25">
      <c r="A134" s="92">
        <v>124</v>
      </c>
      <c r="B134" s="93" t="s">
        <v>323</v>
      </c>
      <c r="C134" s="93" t="str">
        <f t="shared" ref="C134:C149" si="7">B134</f>
        <v>Galbraith Lake</v>
      </c>
      <c r="D134" s="94">
        <v>68.462379999999996</v>
      </c>
      <c r="E134" s="76">
        <v>-149.41759999999999</v>
      </c>
      <c r="F134" s="95">
        <v>802</v>
      </c>
      <c r="G134" s="93" t="s">
        <v>301</v>
      </c>
      <c r="H134" s="93" t="s">
        <v>726</v>
      </c>
      <c r="I134" s="93" t="s">
        <v>272</v>
      </c>
      <c r="J134" s="76" t="s">
        <v>1076</v>
      </c>
      <c r="K134" s="73" t="str">
        <f t="shared" si="6"/>
        <v>View on Google Map</v>
      </c>
      <c r="R134" s="12" t="s">
        <v>197</v>
      </c>
    </row>
    <row r="135" spans="1:18" x14ac:dyDescent="0.25">
      <c r="A135" s="92">
        <v>432</v>
      </c>
      <c r="B135" s="93" t="s">
        <v>496</v>
      </c>
      <c r="C135" s="93" t="str">
        <f t="shared" si="7"/>
        <v>Galbraith lake survey lake 03</v>
      </c>
      <c r="D135" s="94">
        <v>68.441630000000004</v>
      </c>
      <c r="E135" s="76">
        <v>-149.392</v>
      </c>
      <c r="F135" s="92">
        <v>800</v>
      </c>
      <c r="G135" s="93" t="s">
        <v>301</v>
      </c>
      <c r="H135" s="93" t="s">
        <v>726</v>
      </c>
      <c r="I135" s="93" t="s">
        <v>497</v>
      </c>
      <c r="J135" s="76" t="s">
        <v>1077</v>
      </c>
      <c r="K135" s="73" t="str">
        <f t="shared" si="6"/>
        <v>View on Google Map</v>
      </c>
      <c r="R135" s="12" t="s">
        <v>198</v>
      </c>
    </row>
    <row r="136" spans="1:18" x14ac:dyDescent="0.25">
      <c r="A136" s="92">
        <v>433</v>
      </c>
      <c r="B136" s="93" t="s">
        <v>498</v>
      </c>
      <c r="C136" s="93" t="str">
        <f t="shared" si="7"/>
        <v>Galbraith lake survey lake 04</v>
      </c>
      <c r="D136" s="94">
        <v>68.444159999999997</v>
      </c>
      <c r="E136" s="76">
        <v>-149.38183000000001</v>
      </c>
      <c r="F136" s="92">
        <v>800</v>
      </c>
      <c r="G136" s="93" t="s">
        <v>301</v>
      </c>
      <c r="H136" s="93" t="s">
        <v>726</v>
      </c>
      <c r="I136" s="93" t="s">
        <v>497</v>
      </c>
      <c r="J136" s="76" t="s">
        <v>1078</v>
      </c>
      <c r="K136" s="73" t="str">
        <f t="shared" si="6"/>
        <v>View on Google Map</v>
      </c>
      <c r="R136" s="12" t="s">
        <v>199</v>
      </c>
    </row>
    <row r="137" spans="1:18" x14ac:dyDescent="0.25">
      <c r="A137" s="92">
        <v>434</v>
      </c>
      <c r="B137" s="93" t="s">
        <v>499</v>
      </c>
      <c r="C137" s="93" t="str">
        <f t="shared" si="7"/>
        <v>Galbraith lake survey lake 05</v>
      </c>
      <c r="D137" s="94">
        <v>68.437160000000006</v>
      </c>
      <c r="E137" s="76">
        <v>-149.38946999999999</v>
      </c>
      <c r="F137" s="92">
        <v>801</v>
      </c>
      <c r="G137" s="93" t="s">
        <v>301</v>
      </c>
      <c r="H137" s="93" t="s">
        <v>726</v>
      </c>
      <c r="I137" s="93" t="s">
        <v>497</v>
      </c>
      <c r="J137" s="76" t="s">
        <v>1079</v>
      </c>
      <c r="K137" s="73" t="str">
        <f t="shared" si="6"/>
        <v>View on Google Map</v>
      </c>
      <c r="R137" s="12" t="s">
        <v>689</v>
      </c>
    </row>
    <row r="138" spans="1:18" x14ac:dyDescent="0.25">
      <c r="A138" s="92">
        <v>435</v>
      </c>
      <c r="B138" s="93" t="s">
        <v>500</v>
      </c>
      <c r="C138" s="93" t="str">
        <f t="shared" si="7"/>
        <v>Galbraith lake survey lake 06</v>
      </c>
      <c r="D138" s="94">
        <v>68.434389999999993</v>
      </c>
      <c r="E138" s="76">
        <v>-149.39349999999999</v>
      </c>
      <c r="F138" s="92">
        <v>802</v>
      </c>
      <c r="G138" s="93" t="s">
        <v>301</v>
      </c>
      <c r="H138" s="93" t="s">
        <v>726</v>
      </c>
      <c r="I138" s="93" t="s">
        <v>497</v>
      </c>
      <c r="J138" s="76" t="s">
        <v>1080</v>
      </c>
      <c r="K138" s="73" t="str">
        <f t="shared" si="6"/>
        <v>View on Google Map</v>
      </c>
      <c r="R138" s="12" t="s">
        <v>200</v>
      </c>
    </row>
    <row r="139" spans="1:18" x14ac:dyDescent="0.25">
      <c r="A139" s="92">
        <v>436</v>
      </c>
      <c r="B139" s="93" t="s">
        <v>501</v>
      </c>
      <c r="C139" s="93" t="str">
        <f t="shared" si="7"/>
        <v>Galbraith lake survey lake 07</v>
      </c>
      <c r="D139" s="94">
        <v>68.428349999999995</v>
      </c>
      <c r="E139" s="76">
        <v>-149.39955</v>
      </c>
      <c r="F139" s="92">
        <v>803</v>
      </c>
      <c r="G139" s="93" t="s">
        <v>301</v>
      </c>
      <c r="H139" s="93" t="s">
        <v>726</v>
      </c>
      <c r="I139" s="93" t="s">
        <v>497</v>
      </c>
      <c r="J139" s="76" t="s">
        <v>1081</v>
      </c>
      <c r="K139" s="73" t="str">
        <f t="shared" si="6"/>
        <v>View on Google Map</v>
      </c>
      <c r="R139" s="12" t="s">
        <v>200</v>
      </c>
    </row>
    <row r="140" spans="1:18" x14ac:dyDescent="0.25">
      <c r="A140" s="92">
        <v>437</v>
      </c>
      <c r="B140" s="93" t="s">
        <v>502</v>
      </c>
      <c r="C140" s="93" t="str">
        <f t="shared" si="7"/>
        <v>Galbraith lake survey lake 08</v>
      </c>
      <c r="D140" s="94">
        <v>68.426140000000004</v>
      </c>
      <c r="E140" s="76">
        <v>-149.40727999999999</v>
      </c>
      <c r="F140" s="92">
        <v>804</v>
      </c>
      <c r="G140" s="93" t="s">
        <v>301</v>
      </c>
      <c r="H140" s="93" t="s">
        <v>726</v>
      </c>
      <c r="I140" s="93" t="s">
        <v>497</v>
      </c>
      <c r="J140" s="76" t="s">
        <v>1082</v>
      </c>
      <c r="K140" s="73" t="str">
        <f t="shared" si="6"/>
        <v>View on Google Map</v>
      </c>
      <c r="R140" s="12" t="s">
        <v>201</v>
      </c>
    </row>
    <row r="141" spans="1:18" x14ac:dyDescent="0.25">
      <c r="A141" s="92">
        <v>438</v>
      </c>
      <c r="B141" s="93" t="s">
        <v>503</v>
      </c>
      <c r="C141" s="93" t="str">
        <f t="shared" si="7"/>
        <v>Galbraith lake survey lake 09</v>
      </c>
      <c r="D141" s="94">
        <v>68.424660000000003</v>
      </c>
      <c r="E141" s="76">
        <v>-149.41722999999999</v>
      </c>
      <c r="F141" s="92">
        <v>805</v>
      </c>
      <c r="G141" s="93" t="s">
        <v>301</v>
      </c>
      <c r="H141" s="93" t="s">
        <v>726</v>
      </c>
      <c r="I141" s="93" t="s">
        <v>497</v>
      </c>
      <c r="J141" s="76" t="s">
        <v>1083</v>
      </c>
      <c r="K141" s="73" t="str">
        <f t="shared" si="6"/>
        <v>View on Google Map</v>
      </c>
      <c r="R141" s="12" t="s">
        <v>202</v>
      </c>
    </row>
    <row r="142" spans="1:18" x14ac:dyDescent="0.25">
      <c r="A142" s="92">
        <v>439</v>
      </c>
      <c r="B142" s="93" t="s">
        <v>504</v>
      </c>
      <c r="C142" s="93" t="str">
        <f t="shared" si="7"/>
        <v>Galbraith lake survey lake 14</v>
      </c>
      <c r="D142" s="94">
        <v>68.404920000000004</v>
      </c>
      <c r="E142" s="76">
        <v>-149.38076000000001</v>
      </c>
      <c r="F142" s="92">
        <v>807</v>
      </c>
      <c r="G142" s="93" t="s">
        <v>301</v>
      </c>
      <c r="H142" s="93" t="s">
        <v>726</v>
      </c>
      <c r="I142" s="93" t="s">
        <v>497</v>
      </c>
      <c r="J142" s="76" t="s">
        <v>1084</v>
      </c>
      <c r="K142" s="73" t="str">
        <f t="shared" si="6"/>
        <v>View on Google Map</v>
      </c>
      <c r="R142" s="12" t="s">
        <v>691</v>
      </c>
    </row>
    <row r="143" spans="1:18" x14ac:dyDescent="0.25">
      <c r="A143" s="92">
        <v>440</v>
      </c>
      <c r="B143" s="93" t="s">
        <v>505</v>
      </c>
      <c r="C143" s="93" t="str">
        <f t="shared" si="7"/>
        <v>Galbraith lake survey lake 17</v>
      </c>
      <c r="D143" s="94">
        <v>68.425899999999999</v>
      </c>
      <c r="E143" s="76">
        <v>-149.39931999999999</v>
      </c>
      <c r="F143" s="92">
        <v>805</v>
      </c>
      <c r="G143" s="93" t="s">
        <v>301</v>
      </c>
      <c r="H143" s="93" t="s">
        <v>726</v>
      </c>
      <c r="I143" s="93" t="s">
        <v>497</v>
      </c>
      <c r="J143" s="76" t="s">
        <v>1085</v>
      </c>
      <c r="K143" s="73" t="str">
        <f t="shared" si="6"/>
        <v>View on Google Map</v>
      </c>
      <c r="R143" s="12" t="s">
        <v>692</v>
      </c>
    </row>
    <row r="144" spans="1:18" x14ac:dyDescent="0.25">
      <c r="A144" s="92">
        <v>441</v>
      </c>
      <c r="B144" s="93" t="s">
        <v>506</v>
      </c>
      <c r="C144" s="93" t="str">
        <f t="shared" si="7"/>
        <v>Galbraith lake survey lake 18</v>
      </c>
      <c r="D144" s="94">
        <v>68.421980000000005</v>
      </c>
      <c r="E144" s="76">
        <v>-149.40921</v>
      </c>
      <c r="F144" s="92">
        <v>805</v>
      </c>
      <c r="G144" s="93" t="s">
        <v>301</v>
      </c>
      <c r="H144" s="93" t="s">
        <v>726</v>
      </c>
      <c r="I144" s="93" t="s">
        <v>497</v>
      </c>
      <c r="J144" s="76" t="s">
        <v>1086</v>
      </c>
      <c r="K144" s="73" t="str">
        <f t="shared" si="6"/>
        <v>View on Google Map</v>
      </c>
      <c r="R144" s="12" t="s">
        <v>690</v>
      </c>
    </row>
    <row r="145" spans="1:18" x14ac:dyDescent="0.25">
      <c r="A145" s="92">
        <v>442</v>
      </c>
      <c r="B145" s="93" t="s">
        <v>507</v>
      </c>
      <c r="C145" s="93" t="str">
        <f t="shared" si="7"/>
        <v>Galbraith lake survey lake 19</v>
      </c>
      <c r="D145" s="94">
        <v>68.421980000000005</v>
      </c>
      <c r="E145" s="76">
        <v>-149.40576999999999</v>
      </c>
      <c r="F145" s="92">
        <v>805</v>
      </c>
      <c r="G145" s="93" t="s">
        <v>301</v>
      </c>
      <c r="H145" s="93" t="s">
        <v>726</v>
      </c>
      <c r="I145" s="93" t="s">
        <v>497</v>
      </c>
      <c r="J145" s="76" t="s">
        <v>1087</v>
      </c>
      <c r="K145" s="73" t="str">
        <f t="shared" si="6"/>
        <v>View on Google Map</v>
      </c>
      <c r="R145" s="12" t="s">
        <v>203</v>
      </c>
    </row>
    <row r="146" spans="1:18" x14ac:dyDescent="0.25">
      <c r="A146" s="92">
        <v>443</v>
      </c>
      <c r="B146" s="93" t="s">
        <v>508</v>
      </c>
      <c r="C146" s="93" t="str">
        <f t="shared" si="7"/>
        <v>Galbraith lake survey lake 20</v>
      </c>
      <c r="D146" s="94">
        <v>68.382040000000003</v>
      </c>
      <c r="E146" s="76">
        <v>-149.36788000000001</v>
      </c>
      <c r="F146" s="92">
        <v>812</v>
      </c>
      <c r="G146" s="93" t="s">
        <v>301</v>
      </c>
      <c r="H146" s="93" t="s">
        <v>726</v>
      </c>
      <c r="I146" s="93" t="s">
        <v>497</v>
      </c>
      <c r="J146" s="76" t="s">
        <v>1088</v>
      </c>
      <c r="K146" s="73" t="str">
        <f t="shared" si="6"/>
        <v>View on Google Map</v>
      </c>
      <c r="R146" s="12" t="s">
        <v>75</v>
      </c>
    </row>
    <row r="147" spans="1:18" x14ac:dyDescent="0.25">
      <c r="A147" s="92">
        <v>28</v>
      </c>
      <c r="B147" s="93" t="s">
        <v>1375</v>
      </c>
      <c r="C147" s="93" t="str">
        <f t="shared" si="7"/>
        <v>Gates River Station 04</v>
      </c>
      <c r="D147" s="94"/>
      <c r="E147" s="76"/>
      <c r="F147" s="92">
        <v>1189</v>
      </c>
      <c r="G147" s="93" t="s">
        <v>269</v>
      </c>
      <c r="H147" s="93" t="s">
        <v>726</v>
      </c>
      <c r="I147" s="93"/>
      <c r="J147" s="76" t="s">
        <v>1376</v>
      </c>
      <c r="K147" s="73" t="str">
        <f t="shared" si="6"/>
        <v>View on Google Map</v>
      </c>
      <c r="R147" s="12" t="s">
        <v>76</v>
      </c>
    </row>
    <row r="148" spans="1:18" x14ac:dyDescent="0.25">
      <c r="A148" s="92">
        <v>29</v>
      </c>
      <c r="B148" s="93" t="s">
        <v>1377</v>
      </c>
      <c r="C148" s="93" t="str">
        <f t="shared" si="7"/>
        <v>Gates River Station 05</v>
      </c>
      <c r="D148" s="94"/>
      <c r="E148" s="76"/>
      <c r="F148" s="92">
        <v>1372</v>
      </c>
      <c r="G148" s="93" t="s">
        <v>269</v>
      </c>
      <c r="H148" s="93" t="s">
        <v>726</v>
      </c>
      <c r="I148" s="93"/>
      <c r="J148" s="76" t="s">
        <v>1378</v>
      </c>
      <c r="K148" s="73" t="str">
        <f t="shared" si="6"/>
        <v>View on Google Map</v>
      </c>
      <c r="R148" s="12" t="s">
        <v>678</v>
      </c>
    </row>
    <row r="149" spans="1:18" x14ac:dyDescent="0.25">
      <c r="A149" s="92">
        <v>30</v>
      </c>
      <c r="B149" s="93" t="s">
        <v>1379</v>
      </c>
      <c r="C149" s="93" t="str">
        <f t="shared" si="7"/>
        <v>Gates River Station 06</v>
      </c>
      <c r="D149" s="94"/>
      <c r="E149" s="76"/>
      <c r="F149" s="92">
        <v>1463</v>
      </c>
      <c r="G149" s="93" t="s">
        <v>269</v>
      </c>
      <c r="H149" s="93" t="s">
        <v>726</v>
      </c>
      <c r="I149" s="93"/>
      <c r="J149" s="76" t="s">
        <v>1380</v>
      </c>
      <c r="K149" s="73" t="str">
        <f t="shared" si="6"/>
        <v>View on Google Map</v>
      </c>
      <c r="R149" s="12" t="s">
        <v>204</v>
      </c>
    </row>
    <row r="150" spans="1:18" x14ac:dyDescent="0.25">
      <c r="A150" s="92">
        <v>142</v>
      </c>
      <c r="B150" s="93" t="s">
        <v>343</v>
      </c>
      <c r="C150" s="93" t="s">
        <v>344</v>
      </c>
      <c r="D150" s="94">
        <v>68.53698</v>
      </c>
      <c r="E150" s="76">
        <v>-149.23740000000001</v>
      </c>
      <c r="F150" s="95">
        <v>883</v>
      </c>
      <c r="G150" s="93" t="s">
        <v>301</v>
      </c>
      <c r="H150" s="93" t="s">
        <v>726</v>
      </c>
      <c r="I150" s="93" t="s">
        <v>272</v>
      </c>
      <c r="J150" s="76" t="s">
        <v>1089</v>
      </c>
      <c r="K150" s="73" t="str">
        <f t="shared" si="6"/>
        <v>View on Google Map</v>
      </c>
      <c r="R150" s="12" t="s">
        <v>677</v>
      </c>
    </row>
    <row r="151" spans="1:18" x14ac:dyDescent="0.25">
      <c r="A151" s="102">
        <v>1229</v>
      </c>
      <c r="B151" s="93" t="s">
        <v>729</v>
      </c>
      <c r="C151" s="93" t="str">
        <f>B151</f>
        <v>Gunsight Headwall</v>
      </c>
      <c r="D151" s="93">
        <v>68.879265251299998</v>
      </c>
      <c r="E151" s="76">
        <v>-150.557042647</v>
      </c>
      <c r="F151" s="92">
        <v>339</v>
      </c>
      <c r="G151" s="93"/>
      <c r="H151" s="93" t="s">
        <v>730</v>
      </c>
      <c r="I151" s="93"/>
      <c r="J151" s="76" t="s">
        <v>946</v>
      </c>
      <c r="K151" s="73" t="str">
        <f t="shared" si="6"/>
        <v>View on Google Map</v>
      </c>
      <c r="R151" s="12" t="s">
        <v>205</v>
      </c>
    </row>
    <row r="152" spans="1:18" x14ac:dyDescent="0.25">
      <c r="A152" s="102">
        <v>1230</v>
      </c>
      <c r="B152" s="93" t="s">
        <v>731</v>
      </c>
      <c r="C152" s="93" t="str">
        <f>B152</f>
        <v>Gunsight Lake</v>
      </c>
      <c r="D152" s="93">
        <v>68.878</v>
      </c>
      <c r="E152" s="76">
        <v>-150.559</v>
      </c>
      <c r="F152" s="92">
        <v>332</v>
      </c>
      <c r="G152" s="93"/>
      <c r="H152" s="93" t="s">
        <v>730</v>
      </c>
      <c r="I152" s="93"/>
      <c r="J152" s="76" t="s">
        <v>946</v>
      </c>
      <c r="K152" s="73" t="str">
        <f t="shared" si="6"/>
        <v>View on Google Map</v>
      </c>
      <c r="R152" s="12" t="s">
        <v>660</v>
      </c>
    </row>
    <row r="153" spans="1:18" x14ac:dyDescent="0.25">
      <c r="A153" s="102">
        <v>1231</v>
      </c>
      <c r="B153" s="93" t="s">
        <v>732</v>
      </c>
      <c r="C153" s="93" t="str">
        <f>B153</f>
        <v>Gunsight Stream</v>
      </c>
      <c r="D153" s="93">
        <v>68.878592895300002</v>
      </c>
      <c r="E153" s="76">
        <v>-150.55762091700001</v>
      </c>
      <c r="F153" s="92">
        <v>334</v>
      </c>
      <c r="G153" s="93"/>
      <c r="H153" s="93" t="s">
        <v>730</v>
      </c>
      <c r="I153" s="93"/>
      <c r="J153" s="76" t="s">
        <v>946</v>
      </c>
      <c r="K153" s="73" t="str">
        <f t="shared" si="6"/>
        <v>View on Google Map</v>
      </c>
      <c r="R153" s="12" t="s">
        <v>206</v>
      </c>
    </row>
    <row r="154" spans="1:18" x14ac:dyDescent="0.25">
      <c r="A154" s="92">
        <v>402</v>
      </c>
      <c r="B154" s="93" t="s">
        <v>492</v>
      </c>
      <c r="C154" s="93" t="str">
        <f>B154</f>
        <v>Gypsy Pool</v>
      </c>
      <c r="D154" s="94">
        <v>68.653080000000003</v>
      </c>
      <c r="E154" s="76">
        <v>-149.57382999999999</v>
      </c>
      <c r="F154" s="95"/>
      <c r="G154" s="93" t="s">
        <v>301</v>
      </c>
      <c r="H154" s="93" t="s">
        <v>726</v>
      </c>
      <c r="I154" s="93" t="s">
        <v>490</v>
      </c>
      <c r="J154" s="76" t="s">
        <v>946</v>
      </c>
      <c r="K154" s="73" t="str">
        <f t="shared" si="6"/>
        <v>View on Google Map</v>
      </c>
      <c r="R154" s="12" t="s">
        <v>693</v>
      </c>
    </row>
    <row r="155" spans="1:18" x14ac:dyDescent="0.25">
      <c r="A155" s="92">
        <v>8</v>
      </c>
      <c r="B155" s="93" t="s">
        <v>278</v>
      </c>
      <c r="C155" s="93" t="s">
        <v>725</v>
      </c>
      <c r="D155" s="94">
        <v>69.150000000000006</v>
      </c>
      <c r="E155" s="76">
        <v>-148.833333333333</v>
      </c>
      <c r="F155" s="95">
        <v>290</v>
      </c>
      <c r="G155" s="93" t="s">
        <v>269</v>
      </c>
      <c r="H155" s="93" t="s">
        <v>726</v>
      </c>
      <c r="I155" s="93" t="s">
        <v>272</v>
      </c>
      <c r="J155" s="76" t="s">
        <v>946</v>
      </c>
      <c r="K155" s="73" t="str">
        <f t="shared" si="6"/>
        <v>View on Google Map</v>
      </c>
      <c r="R155" s="12" t="s">
        <v>207</v>
      </c>
    </row>
    <row r="156" spans="1:18" x14ac:dyDescent="0.25">
      <c r="A156" s="92">
        <v>219</v>
      </c>
      <c r="B156" s="93" t="s">
        <v>919</v>
      </c>
      <c r="C156" s="93" t="str">
        <f>B156</f>
        <v>Helicopter Survey Lake 01</v>
      </c>
      <c r="D156" s="93">
        <v>69.227289999999996</v>
      </c>
      <c r="E156" s="76">
        <v>-151.14760000000001</v>
      </c>
      <c r="F156" s="95">
        <v>60</v>
      </c>
      <c r="G156" s="93" t="s">
        <v>301</v>
      </c>
      <c r="H156" s="93" t="s">
        <v>726</v>
      </c>
      <c r="I156" s="93" t="s">
        <v>389</v>
      </c>
      <c r="J156" s="76" t="s">
        <v>1090</v>
      </c>
      <c r="K156" s="73" t="str">
        <f t="shared" si="6"/>
        <v>View on Google Map</v>
      </c>
      <c r="R156" s="12" t="s">
        <v>208</v>
      </c>
    </row>
    <row r="157" spans="1:18" x14ac:dyDescent="0.25">
      <c r="A157" s="92">
        <v>220</v>
      </c>
      <c r="B157" s="93" t="s">
        <v>920</v>
      </c>
      <c r="C157" s="93" t="s">
        <v>733</v>
      </c>
      <c r="D157" s="93">
        <v>69.811760000000007</v>
      </c>
      <c r="E157" s="76">
        <v>-151.86472000000001</v>
      </c>
      <c r="F157" s="95">
        <v>61</v>
      </c>
      <c r="G157" s="93" t="s">
        <v>301</v>
      </c>
      <c r="H157" s="93" t="s">
        <v>726</v>
      </c>
      <c r="I157" s="93" t="s">
        <v>389</v>
      </c>
      <c r="J157" s="76" t="s">
        <v>1091</v>
      </c>
      <c r="K157" s="73" t="str">
        <f t="shared" si="6"/>
        <v>View on Google Map</v>
      </c>
      <c r="R157" s="12" t="s">
        <v>713</v>
      </c>
    </row>
    <row r="158" spans="1:18" x14ac:dyDescent="0.25">
      <c r="A158" s="92">
        <v>221</v>
      </c>
      <c r="B158" s="93" t="s">
        <v>921</v>
      </c>
      <c r="C158" s="93" t="str">
        <f>B158</f>
        <v>Helicopter Survey Lake 03</v>
      </c>
      <c r="D158" s="93">
        <v>69.75</v>
      </c>
      <c r="E158" s="76">
        <v>-151.5</v>
      </c>
      <c r="F158" s="95">
        <v>30</v>
      </c>
      <c r="G158" s="93" t="s">
        <v>269</v>
      </c>
      <c r="H158" s="93" t="s">
        <v>726</v>
      </c>
      <c r="I158" s="93" t="s">
        <v>389</v>
      </c>
      <c r="J158" s="76" t="s">
        <v>1092</v>
      </c>
      <c r="K158" s="73" t="str">
        <f t="shared" si="6"/>
        <v>View on Google Map</v>
      </c>
      <c r="R158" s="12" t="s">
        <v>679</v>
      </c>
    </row>
    <row r="159" spans="1:18" x14ac:dyDescent="0.25">
      <c r="A159" s="92">
        <v>222</v>
      </c>
      <c r="B159" s="93" t="s">
        <v>922</v>
      </c>
      <c r="C159" s="93" t="str">
        <f>B159</f>
        <v>Helicopter Survey Lake 04</v>
      </c>
      <c r="D159" s="93">
        <v>69.711039999999997</v>
      </c>
      <c r="E159" s="76">
        <v>-151.11828</v>
      </c>
      <c r="F159" s="95">
        <v>47</v>
      </c>
      <c r="G159" s="93" t="s">
        <v>301</v>
      </c>
      <c r="H159" s="93" t="s">
        <v>726</v>
      </c>
      <c r="I159" s="93" t="s">
        <v>389</v>
      </c>
      <c r="J159" s="76" t="s">
        <v>1093</v>
      </c>
      <c r="K159" s="73" t="str">
        <f t="shared" si="6"/>
        <v>View on Google Map</v>
      </c>
      <c r="R159" s="12" t="s">
        <v>210</v>
      </c>
    </row>
    <row r="160" spans="1:18" x14ac:dyDescent="0.25">
      <c r="A160" s="92">
        <v>223</v>
      </c>
      <c r="B160" s="93" t="s">
        <v>923</v>
      </c>
      <c r="C160" s="93" t="s">
        <v>734</v>
      </c>
      <c r="D160" s="93">
        <v>69.705929999999995</v>
      </c>
      <c r="E160" s="76">
        <v>-151.0701</v>
      </c>
      <c r="F160" s="95">
        <v>46</v>
      </c>
      <c r="G160" s="93" t="s">
        <v>269</v>
      </c>
      <c r="H160" s="93" t="s">
        <v>726</v>
      </c>
      <c r="I160" s="93" t="s">
        <v>389</v>
      </c>
      <c r="J160" s="76" t="s">
        <v>1094</v>
      </c>
      <c r="K160" s="73" t="str">
        <f t="shared" si="6"/>
        <v>View on Google Map</v>
      </c>
      <c r="R160" s="12" t="s">
        <v>209</v>
      </c>
    </row>
    <row r="161" spans="1:18" x14ac:dyDescent="0.25">
      <c r="A161" s="92">
        <v>224</v>
      </c>
      <c r="B161" s="93" t="s">
        <v>924</v>
      </c>
      <c r="C161" s="93" t="str">
        <f>B161</f>
        <v>Helicopter Survey Lake 06</v>
      </c>
      <c r="D161" s="93">
        <v>69.523799999999994</v>
      </c>
      <c r="E161" s="76">
        <v>-150.87173000000001</v>
      </c>
      <c r="F161" s="95">
        <v>84</v>
      </c>
      <c r="G161" s="93" t="s">
        <v>301</v>
      </c>
      <c r="H161" s="93" t="s">
        <v>726</v>
      </c>
      <c r="I161" s="93" t="s">
        <v>389</v>
      </c>
      <c r="J161" s="76" t="s">
        <v>1095</v>
      </c>
      <c r="K161" s="73" t="str">
        <f t="shared" si="6"/>
        <v>View on Google Map</v>
      </c>
      <c r="R161" s="12" t="s">
        <v>680</v>
      </c>
    </row>
    <row r="162" spans="1:18" x14ac:dyDescent="0.25">
      <c r="A162" s="92">
        <v>225</v>
      </c>
      <c r="B162" s="93" t="s">
        <v>925</v>
      </c>
      <c r="C162" s="93" t="s">
        <v>735</v>
      </c>
      <c r="D162" s="93">
        <v>69.523799999999994</v>
      </c>
      <c r="E162" s="76">
        <v>-150.87173000000001</v>
      </c>
      <c r="F162" s="95">
        <v>84</v>
      </c>
      <c r="G162" s="93" t="s">
        <v>301</v>
      </c>
      <c r="H162" s="93" t="s">
        <v>726</v>
      </c>
      <c r="I162" s="93" t="s">
        <v>389</v>
      </c>
      <c r="J162" s="76" t="s">
        <v>1096</v>
      </c>
      <c r="K162" s="73" t="str">
        <f t="shared" si="6"/>
        <v>View on Google Map</v>
      </c>
      <c r="R162" s="12" t="s">
        <v>681</v>
      </c>
    </row>
    <row r="163" spans="1:18" x14ac:dyDescent="0.25">
      <c r="A163" s="92">
        <v>226</v>
      </c>
      <c r="B163" s="93" t="s">
        <v>926</v>
      </c>
      <c r="C163" s="93" t="str">
        <f>B163</f>
        <v>Helicopter Survey Lake 08</v>
      </c>
      <c r="D163" s="93">
        <v>69.25</v>
      </c>
      <c r="E163" s="76">
        <v>-150.43333000000001</v>
      </c>
      <c r="F163" s="95">
        <v>203</v>
      </c>
      <c r="G163" s="93" t="s">
        <v>301</v>
      </c>
      <c r="H163" s="93" t="s">
        <v>726</v>
      </c>
      <c r="I163" s="93" t="s">
        <v>389</v>
      </c>
      <c r="J163" s="76" t="s">
        <v>1097</v>
      </c>
      <c r="K163" s="73" t="str">
        <f t="shared" si="6"/>
        <v>View on Google Map</v>
      </c>
      <c r="R163" s="12" t="s">
        <v>211</v>
      </c>
    </row>
    <row r="164" spans="1:18" x14ac:dyDescent="0.25">
      <c r="A164" s="92">
        <v>227</v>
      </c>
      <c r="B164" s="93" t="s">
        <v>927</v>
      </c>
      <c r="C164" s="93" t="str">
        <f>B164</f>
        <v>Helicopter Survey Lake 09</v>
      </c>
      <c r="D164" s="93">
        <v>69.243430000000004</v>
      </c>
      <c r="E164" s="76">
        <v>-150.43376000000001</v>
      </c>
      <c r="F164" s="95">
        <v>212</v>
      </c>
      <c r="G164" s="93" t="s">
        <v>301</v>
      </c>
      <c r="H164" s="93" t="s">
        <v>726</v>
      </c>
      <c r="I164" s="93" t="s">
        <v>389</v>
      </c>
      <c r="J164" s="76" t="s">
        <v>1098</v>
      </c>
      <c r="K164" s="73" t="str">
        <f t="shared" si="6"/>
        <v>View on Google Map</v>
      </c>
      <c r="R164" s="12" t="s">
        <v>77</v>
      </c>
    </row>
    <row r="165" spans="1:18" x14ac:dyDescent="0.25">
      <c r="A165" s="92">
        <v>228</v>
      </c>
      <c r="B165" s="93" t="s">
        <v>928</v>
      </c>
      <c r="C165" s="93" t="s">
        <v>736</v>
      </c>
      <c r="D165" s="93">
        <v>69.227900000000005</v>
      </c>
      <c r="E165" s="76">
        <v>-151.14766</v>
      </c>
      <c r="F165" s="95">
        <v>181</v>
      </c>
      <c r="G165" s="93" t="s">
        <v>301</v>
      </c>
      <c r="H165" s="93" t="s">
        <v>726</v>
      </c>
      <c r="I165" s="93" t="s">
        <v>389</v>
      </c>
      <c r="J165" s="76" t="s">
        <v>1099</v>
      </c>
      <c r="K165" s="73" t="str">
        <f t="shared" si="6"/>
        <v>View on Google Map</v>
      </c>
      <c r="R165" s="12" t="s">
        <v>78</v>
      </c>
    </row>
    <row r="166" spans="1:18" x14ac:dyDescent="0.25">
      <c r="A166" s="92">
        <v>229</v>
      </c>
      <c r="B166" s="93" t="s">
        <v>929</v>
      </c>
      <c r="C166" s="93" t="s">
        <v>737</v>
      </c>
      <c r="D166" s="93">
        <v>69.228859999999997</v>
      </c>
      <c r="E166" s="76">
        <v>-151.62936999999999</v>
      </c>
      <c r="F166" s="95">
        <v>178</v>
      </c>
      <c r="G166" s="93" t="s">
        <v>301</v>
      </c>
      <c r="H166" s="93" t="s">
        <v>726</v>
      </c>
      <c r="I166" s="93" t="s">
        <v>389</v>
      </c>
      <c r="J166" s="76" t="s">
        <v>1100</v>
      </c>
      <c r="K166" s="73" t="str">
        <f t="shared" si="6"/>
        <v>View on Google Map</v>
      </c>
      <c r="R166" s="12" t="s">
        <v>212</v>
      </c>
    </row>
    <row r="167" spans="1:18" x14ac:dyDescent="0.25">
      <c r="A167" s="92">
        <v>230</v>
      </c>
      <c r="B167" s="93" t="s">
        <v>930</v>
      </c>
      <c r="C167" s="93" t="str">
        <f>B167</f>
        <v>Helicopter Survey Lake 12</v>
      </c>
      <c r="D167" s="93">
        <v>68.902550000000005</v>
      </c>
      <c r="E167" s="76">
        <v>-151.3039</v>
      </c>
      <c r="F167" s="95">
        <v>350</v>
      </c>
      <c r="G167" s="93" t="s">
        <v>301</v>
      </c>
      <c r="H167" s="93" t="s">
        <v>726</v>
      </c>
      <c r="I167" s="93" t="s">
        <v>389</v>
      </c>
      <c r="J167" s="76" t="s">
        <v>1101</v>
      </c>
      <c r="K167" s="73" t="str">
        <f t="shared" si="6"/>
        <v>View on Google Map</v>
      </c>
      <c r="R167" s="12" t="s">
        <v>714</v>
      </c>
    </row>
    <row r="168" spans="1:18" x14ac:dyDescent="0.25">
      <c r="A168" s="92">
        <v>231</v>
      </c>
      <c r="B168" s="93" t="s">
        <v>931</v>
      </c>
      <c r="C168" s="93" t="str">
        <f>B168</f>
        <v>Helicopter Survey Lake 13</v>
      </c>
      <c r="D168" s="93">
        <v>68.802040000000005</v>
      </c>
      <c r="E168" s="76">
        <v>-150.78858</v>
      </c>
      <c r="F168" s="95">
        <v>411</v>
      </c>
      <c r="G168" s="93" t="s">
        <v>301</v>
      </c>
      <c r="H168" s="93" t="s">
        <v>726</v>
      </c>
      <c r="I168" s="93" t="s">
        <v>389</v>
      </c>
      <c r="J168" s="76" t="s">
        <v>1102</v>
      </c>
      <c r="K168" s="73" t="str">
        <f t="shared" si="6"/>
        <v>View on Google Map</v>
      </c>
      <c r="R168" s="12" t="s">
        <v>79</v>
      </c>
    </row>
    <row r="169" spans="1:18" x14ac:dyDescent="0.25">
      <c r="A169" s="96">
        <v>238</v>
      </c>
      <c r="B169" s="93" t="s">
        <v>932</v>
      </c>
      <c r="C169" s="93" t="s">
        <v>738</v>
      </c>
      <c r="D169" s="94">
        <v>68.419979999999995</v>
      </c>
      <c r="E169" s="76">
        <v>-149.95008999999999</v>
      </c>
      <c r="F169" s="95">
        <v>697</v>
      </c>
      <c r="G169" s="93" t="s">
        <v>301</v>
      </c>
      <c r="H169" s="93" t="s">
        <v>726</v>
      </c>
      <c r="I169" s="93" t="s">
        <v>739</v>
      </c>
      <c r="J169" s="76" t="s">
        <v>1103</v>
      </c>
      <c r="K169" s="73" t="str">
        <f t="shared" si="6"/>
        <v>View on Google Map</v>
      </c>
      <c r="R169" s="12" t="s">
        <v>213</v>
      </c>
    </row>
    <row r="170" spans="1:18" x14ac:dyDescent="0.25">
      <c r="A170" s="92">
        <v>10</v>
      </c>
      <c r="B170" s="93" t="s">
        <v>949</v>
      </c>
      <c r="C170" s="93" t="str">
        <f t="shared" ref="C170:C179" si="8">B170</f>
        <v>Hershey Creek</v>
      </c>
      <c r="D170" s="94">
        <v>68.644702925000004</v>
      </c>
      <c r="E170" s="76">
        <v>-149.41200613610999</v>
      </c>
      <c r="F170" s="95">
        <v>731</v>
      </c>
      <c r="G170" s="93" t="s">
        <v>269</v>
      </c>
      <c r="H170" s="93" t="s">
        <v>726</v>
      </c>
      <c r="I170" s="93"/>
      <c r="J170" s="76" t="s">
        <v>946</v>
      </c>
      <c r="K170" s="73" t="str">
        <f t="shared" si="6"/>
        <v>View on Google Map</v>
      </c>
      <c r="R170" s="12" t="s">
        <v>80</v>
      </c>
    </row>
    <row r="171" spans="1:18" x14ac:dyDescent="0.25">
      <c r="A171" s="92">
        <v>486</v>
      </c>
      <c r="B171" s="93" t="s">
        <v>551</v>
      </c>
      <c r="C171" s="93" t="str">
        <f t="shared" si="8"/>
        <v>Horn Lake</v>
      </c>
      <c r="D171" s="99">
        <v>68.958330000000004</v>
      </c>
      <c r="E171" s="76">
        <v>-150.30202</v>
      </c>
      <c r="F171" s="92">
        <v>382</v>
      </c>
      <c r="G171" s="93" t="s">
        <v>301</v>
      </c>
      <c r="H171" s="93" t="s">
        <v>283</v>
      </c>
      <c r="I171" s="93" t="s">
        <v>284</v>
      </c>
      <c r="J171" s="76" t="s">
        <v>946</v>
      </c>
      <c r="K171" s="73" t="str">
        <f t="shared" si="6"/>
        <v>View on Google Map</v>
      </c>
      <c r="R171" s="12" t="s">
        <v>682</v>
      </c>
    </row>
    <row r="172" spans="1:18" x14ac:dyDescent="0.25">
      <c r="A172" s="102">
        <v>1232</v>
      </c>
      <c r="B172" s="93" t="s">
        <v>551</v>
      </c>
      <c r="C172" s="93" t="str">
        <f t="shared" si="8"/>
        <v>Horn Lake</v>
      </c>
      <c r="D172" s="93">
        <v>68.960299734399996</v>
      </c>
      <c r="E172" s="76">
        <v>-150.31552246699999</v>
      </c>
      <c r="F172" s="92">
        <v>382</v>
      </c>
      <c r="G172" s="93"/>
      <c r="H172" s="93" t="s">
        <v>730</v>
      </c>
      <c r="I172" s="93"/>
      <c r="J172" s="76" t="s">
        <v>946</v>
      </c>
      <c r="K172" s="73" t="str">
        <f t="shared" si="6"/>
        <v>View on Google Map</v>
      </c>
      <c r="R172" s="12" t="s">
        <v>214</v>
      </c>
    </row>
    <row r="173" spans="1:18" x14ac:dyDescent="0.25">
      <c r="A173" s="102">
        <v>1233</v>
      </c>
      <c r="B173" s="93" t="s">
        <v>740</v>
      </c>
      <c r="C173" s="93" t="str">
        <f t="shared" si="8"/>
        <v>Horn Lake headwall</v>
      </c>
      <c r="D173" s="93">
        <v>68.960691493699997</v>
      </c>
      <c r="E173" s="76">
        <v>-150.314750352</v>
      </c>
      <c r="F173" s="92">
        <v>394</v>
      </c>
      <c r="G173" s="93"/>
      <c r="H173" s="93" t="s">
        <v>730</v>
      </c>
      <c r="I173" s="93"/>
      <c r="J173" s="76" t="s">
        <v>946</v>
      </c>
      <c r="K173" s="73" t="str">
        <f t="shared" si="6"/>
        <v>View on Google Map</v>
      </c>
      <c r="R173" s="12" t="s">
        <v>215</v>
      </c>
    </row>
    <row r="174" spans="1:18" x14ac:dyDescent="0.25">
      <c r="A174" s="102">
        <v>1234</v>
      </c>
      <c r="B174" s="93" t="s">
        <v>741</v>
      </c>
      <c r="C174" s="93" t="str">
        <f t="shared" si="8"/>
        <v>Horn Lake watertrack</v>
      </c>
      <c r="D174" s="93">
        <v>68.960513109199994</v>
      </c>
      <c r="E174" s="76">
        <v>-150.314822042</v>
      </c>
      <c r="F174" s="92">
        <v>392</v>
      </c>
      <c r="G174" s="93"/>
      <c r="H174" s="93" t="s">
        <v>730</v>
      </c>
      <c r="I174" s="93"/>
      <c r="J174" s="76" t="s">
        <v>946</v>
      </c>
      <c r="K174" s="73" t="str">
        <f t="shared" si="6"/>
        <v>View on Google Map</v>
      </c>
      <c r="R174" s="12" t="s">
        <v>216</v>
      </c>
    </row>
    <row r="175" spans="1:18" x14ac:dyDescent="0.25">
      <c r="A175" s="102">
        <v>1235</v>
      </c>
      <c r="B175" s="93" t="s">
        <v>742</v>
      </c>
      <c r="C175" s="93" t="str">
        <f t="shared" si="8"/>
        <v>Huryn slump</v>
      </c>
      <c r="D175" s="93">
        <v>68.470222222199993</v>
      </c>
      <c r="E175" s="76">
        <v>-149.34275</v>
      </c>
      <c r="F175" s="92">
        <v>994</v>
      </c>
      <c r="G175" s="93"/>
      <c r="H175" s="93" t="s">
        <v>730</v>
      </c>
      <c r="I175" s="93"/>
      <c r="J175" s="76" t="s">
        <v>946</v>
      </c>
      <c r="K175" s="73" t="str">
        <f t="shared" si="6"/>
        <v>View on Google Map</v>
      </c>
      <c r="R175" s="12" t="s">
        <v>217</v>
      </c>
    </row>
    <row r="176" spans="1:18" x14ac:dyDescent="0.25">
      <c r="A176" s="102">
        <v>1236</v>
      </c>
      <c r="B176" s="93" t="s">
        <v>743</v>
      </c>
      <c r="C176" s="93" t="str">
        <f t="shared" si="8"/>
        <v>Huryn Stream</v>
      </c>
      <c r="D176" s="93">
        <v>68.472048574499993</v>
      </c>
      <c r="E176" s="76">
        <v>-149.34049584900001</v>
      </c>
      <c r="F176" s="92">
        <v>1010</v>
      </c>
      <c r="G176" s="93"/>
      <c r="H176" s="93" t="s">
        <v>730</v>
      </c>
      <c r="I176" s="93"/>
      <c r="J176" s="76" t="s">
        <v>946</v>
      </c>
      <c r="K176" s="73" t="str">
        <f t="shared" si="6"/>
        <v>View on Google Map</v>
      </c>
      <c r="R176" s="12" t="s">
        <v>218</v>
      </c>
    </row>
    <row r="177" spans="1:18" x14ac:dyDescent="0.25">
      <c r="A177" s="92">
        <v>388</v>
      </c>
      <c r="B177" s="93" t="s">
        <v>487</v>
      </c>
      <c r="C177" s="93" t="str">
        <f t="shared" si="8"/>
        <v>I Minus</v>
      </c>
      <c r="D177" s="94">
        <v>68.556340000000006</v>
      </c>
      <c r="E177" s="76">
        <v>-149.56628000000001</v>
      </c>
      <c r="F177" s="95">
        <v>801</v>
      </c>
      <c r="G177" s="93" t="s">
        <v>301</v>
      </c>
      <c r="H177" s="93" t="s">
        <v>726</v>
      </c>
      <c r="I177" s="93" t="s">
        <v>313</v>
      </c>
      <c r="J177" s="76" t="s">
        <v>946</v>
      </c>
      <c r="K177" s="73" t="str">
        <f t="shared" si="6"/>
        <v>View on Google Map</v>
      </c>
      <c r="R177" s="12" t="s">
        <v>219</v>
      </c>
    </row>
    <row r="178" spans="1:18" x14ac:dyDescent="0.25">
      <c r="A178" s="92">
        <v>450</v>
      </c>
      <c r="B178" s="93" t="s">
        <v>515</v>
      </c>
      <c r="C178" s="93" t="str">
        <f t="shared" si="8"/>
        <v>I Minus 01</v>
      </c>
      <c r="D178" s="94">
        <v>68.553610000000006</v>
      </c>
      <c r="E178" s="76">
        <v>-149.53397000000001</v>
      </c>
      <c r="F178" s="95">
        <v>820</v>
      </c>
      <c r="G178" s="93" t="s">
        <v>301</v>
      </c>
      <c r="H178" s="93" t="s">
        <v>516</v>
      </c>
      <c r="I178" s="93"/>
      <c r="J178" s="76" t="s">
        <v>1104</v>
      </c>
      <c r="K178" s="73" t="str">
        <f t="shared" si="6"/>
        <v>View on Google Map</v>
      </c>
      <c r="R178" s="12" t="s">
        <v>220</v>
      </c>
    </row>
    <row r="179" spans="1:18" x14ac:dyDescent="0.25">
      <c r="A179" s="92">
        <v>451</v>
      </c>
      <c r="B179" s="93" t="s">
        <v>517</v>
      </c>
      <c r="C179" s="93" t="str">
        <f t="shared" si="8"/>
        <v>I Minus 02</v>
      </c>
      <c r="D179" s="94">
        <v>68.546000599999999</v>
      </c>
      <c r="E179" s="76">
        <v>-149.54209169999999</v>
      </c>
      <c r="F179" s="95">
        <v>852</v>
      </c>
      <c r="G179" s="93" t="s">
        <v>301</v>
      </c>
      <c r="H179" s="93" t="s">
        <v>516</v>
      </c>
      <c r="I179" s="93"/>
      <c r="J179" s="76" t="s">
        <v>1105</v>
      </c>
      <c r="K179" s="73" t="str">
        <f t="shared" si="6"/>
        <v>View on Google Map</v>
      </c>
      <c r="R179" s="12" t="s">
        <v>221</v>
      </c>
    </row>
    <row r="180" spans="1:18" x14ac:dyDescent="0.25">
      <c r="A180" s="96">
        <v>531</v>
      </c>
      <c r="B180" s="93" t="s">
        <v>595</v>
      </c>
      <c r="C180" s="93" t="s">
        <v>593</v>
      </c>
      <c r="D180" s="109">
        <v>68.55677</v>
      </c>
      <c r="E180" s="76">
        <v>-149.55538999999999</v>
      </c>
      <c r="F180" s="106">
        <v>805</v>
      </c>
      <c r="G180" s="93" t="s">
        <v>269</v>
      </c>
      <c r="H180" s="93" t="s">
        <v>516</v>
      </c>
      <c r="I180" s="93" t="s">
        <v>556</v>
      </c>
      <c r="J180" s="76" t="s">
        <v>946</v>
      </c>
      <c r="K180" s="73" t="str">
        <f t="shared" si="6"/>
        <v>View on Google Map</v>
      </c>
      <c r="R180" s="12" t="s">
        <v>222</v>
      </c>
    </row>
    <row r="181" spans="1:18" x14ac:dyDescent="0.25">
      <c r="A181" s="96">
        <v>532</v>
      </c>
      <c r="B181" s="93" t="s">
        <v>596</v>
      </c>
      <c r="C181" s="93" t="s">
        <v>593</v>
      </c>
      <c r="D181" s="109">
        <v>68.556640000000002</v>
      </c>
      <c r="E181" s="76">
        <v>-149.57445999999999</v>
      </c>
      <c r="F181" s="106">
        <v>803</v>
      </c>
      <c r="G181" s="93" t="s">
        <v>269</v>
      </c>
      <c r="H181" s="93" t="s">
        <v>516</v>
      </c>
      <c r="I181" s="93" t="s">
        <v>556</v>
      </c>
      <c r="J181" s="76" t="s">
        <v>946</v>
      </c>
      <c r="K181" s="73" t="str">
        <f t="shared" si="6"/>
        <v>View on Google Map</v>
      </c>
      <c r="R181" s="12" t="s">
        <v>81</v>
      </c>
    </row>
    <row r="182" spans="1:18" x14ac:dyDescent="0.25">
      <c r="A182" s="102">
        <v>1220</v>
      </c>
      <c r="B182" s="93" t="s">
        <v>744</v>
      </c>
      <c r="C182" s="93" t="str">
        <f t="shared" ref="C182:C191" si="9">B182</f>
        <v>I Minus TK A</v>
      </c>
      <c r="D182" s="93">
        <v>68.547195738900001</v>
      </c>
      <c r="E182" s="76">
        <v>-149.51712994900001</v>
      </c>
      <c r="F182" s="92">
        <v>854</v>
      </c>
      <c r="G182" s="93"/>
      <c r="H182" s="93" t="s">
        <v>730</v>
      </c>
      <c r="I182" s="93"/>
      <c r="J182" s="76" t="s">
        <v>946</v>
      </c>
      <c r="K182" s="73" t="str">
        <f t="shared" si="6"/>
        <v>View on Google Map</v>
      </c>
      <c r="R182" s="12" t="s">
        <v>82</v>
      </c>
    </row>
    <row r="183" spans="1:18" x14ac:dyDescent="0.25">
      <c r="A183" s="102">
        <v>1221</v>
      </c>
      <c r="B183" s="93" t="s">
        <v>745</v>
      </c>
      <c r="C183" s="93" t="str">
        <f t="shared" si="9"/>
        <v>I Minus TK B</v>
      </c>
      <c r="D183" s="93">
        <v>68.547611826700006</v>
      </c>
      <c r="E183" s="76">
        <v>-149.521847189</v>
      </c>
      <c r="F183" s="92">
        <v>842</v>
      </c>
      <c r="G183" s="93"/>
      <c r="H183" s="93" t="s">
        <v>730</v>
      </c>
      <c r="I183" s="93"/>
      <c r="J183" s="76" t="s">
        <v>946</v>
      </c>
      <c r="K183" s="73" t="str">
        <f t="shared" si="6"/>
        <v>View on Google Map</v>
      </c>
      <c r="R183" s="12" t="s">
        <v>83</v>
      </c>
    </row>
    <row r="184" spans="1:18" x14ac:dyDescent="0.25">
      <c r="A184" s="102">
        <v>1222</v>
      </c>
      <c r="B184" s="93" t="s">
        <v>746</v>
      </c>
      <c r="C184" s="93" t="str">
        <f t="shared" si="9"/>
        <v>I Minus TK C</v>
      </c>
      <c r="D184" s="93">
        <v>68.545221029999993</v>
      </c>
      <c r="E184" s="76">
        <v>-149.522130842</v>
      </c>
      <c r="F184" s="92">
        <v>872</v>
      </c>
      <c r="G184" s="93"/>
      <c r="H184" s="93" t="s">
        <v>730</v>
      </c>
      <c r="I184" s="93"/>
      <c r="J184" s="76" t="s">
        <v>946</v>
      </c>
      <c r="K184" s="73" t="str">
        <f t="shared" si="6"/>
        <v>View on Google Map</v>
      </c>
      <c r="R184" s="12" t="s">
        <v>84</v>
      </c>
    </row>
    <row r="185" spans="1:18" x14ac:dyDescent="0.25">
      <c r="A185" s="102">
        <v>1223</v>
      </c>
      <c r="B185" s="93" t="s">
        <v>747</v>
      </c>
      <c r="C185" s="93" t="str">
        <f t="shared" si="9"/>
        <v>I Minus TK D</v>
      </c>
      <c r="D185" s="93">
        <v>68.544362749000001</v>
      </c>
      <c r="E185" s="76">
        <v>-149.52213592000001</v>
      </c>
      <c r="F185" s="92">
        <v>879</v>
      </c>
      <c r="G185" s="93"/>
      <c r="H185" s="93" t="s">
        <v>730</v>
      </c>
      <c r="I185" s="93"/>
      <c r="J185" s="76" t="s">
        <v>946</v>
      </c>
      <c r="K185" s="73" t="str">
        <f t="shared" si="6"/>
        <v>View on Google Map</v>
      </c>
      <c r="R185" s="12" t="s">
        <v>715</v>
      </c>
    </row>
    <row r="186" spans="1:18" x14ac:dyDescent="0.25">
      <c r="A186" s="102">
        <v>1224</v>
      </c>
      <c r="B186" s="93" t="s">
        <v>748</v>
      </c>
      <c r="C186" s="93" t="str">
        <f t="shared" si="9"/>
        <v>I Minus TK E</v>
      </c>
      <c r="D186" s="93">
        <v>68.544390000000007</v>
      </c>
      <c r="E186" s="76">
        <v>-149.52153899999999</v>
      </c>
      <c r="F186" s="92">
        <v>879</v>
      </c>
      <c r="G186" s="93"/>
      <c r="H186" s="93" t="s">
        <v>730</v>
      </c>
      <c r="I186" s="93"/>
      <c r="J186" s="76" t="s">
        <v>946</v>
      </c>
      <c r="K186" s="73" t="str">
        <f t="shared" si="6"/>
        <v>View on Google Map</v>
      </c>
      <c r="R186" s="12" t="s">
        <v>694</v>
      </c>
    </row>
    <row r="187" spans="1:18" x14ac:dyDescent="0.25">
      <c r="A187" s="102">
        <v>1225</v>
      </c>
      <c r="B187" s="93" t="s">
        <v>749</v>
      </c>
      <c r="C187" s="93" t="str">
        <f t="shared" si="9"/>
        <v>I Minus TK F</v>
      </c>
      <c r="D187" s="93">
        <v>68.542429379300003</v>
      </c>
      <c r="E187" s="76">
        <v>-149.52269284100001</v>
      </c>
      <c r="F187" s="92">
        <v>890</v>
      </c>
      <c r="G187" s="93"/>
      <c r="H187" s="93" t="s">
        <v>730</v>
      </c>
      <c r="I187" s="93"/>
      <c r="J187" s="76" t="s">
        <v>946</v>
      </c>
      <c r="K187" s="73" t="str">
        <f t="shared" si="6"/>
        <v>View on Google Map</v>
      </c>
      <c r="R187" s="12" t="s">
        <v>223</v>
      </c>
    </row>
    <row r="188" spans="1:18" x14ac:dyDescent="0.25">
      <c r="A188" s="102">
        <v>1226</v>
      </c>
      <c r="B188" s="93" t="s">
        <v>750</v>
      </c>
      <c r="C188" s="93" t="str">
        <f t="shared" si="9"/>
        <v>I Minus TK G</v>
      </c>
      <c r="D188" s="93">
        <v>68.543448882199996</v>
      </c>
      <c r="E188" s="76">
        <v>-149.52264846</v>
      </c>
      <c r="F188" s="92">
        <v>885</v>
      </c>
      <c r="G188" s="93"/>
      <c r="H188" s="93" t="s">
        <v>730</v>
      </c>
      <c r="I188" s="93"/>
      <c r="J188" s="76" t="s">
        <v>946</v>
      </c>
      <c r="K188" s="73" t="str">
        <f t="shared" si="6"/>
        <v>View on Google Map</v>
      </c>
      <c r="R188" s="12" t="s">
        <v>224</v>
      </c>
    </row>
    <row r="189" spans="1:18" x14ac:dyDescent="0.25">
      <c r="A189" s="102">
        <v>1227</v>
      </c>
      <c r="B189" s="93" t="s">
        <v>751</v>
      </c>
      <c r="C189" s="93" t="str">
        <f t="shared" si="9"/>
        <v>I Minus TK H</v>
      </c>
      <c r="D189" s="93">
        <v>68.543770541200004</v>
      </c>
      <c r="E189" s="76">
        <v>-149.52245829699999</v>
      </c>
      <c r="F189" s="92">
        <v>883</v>
      </c>
      <c r="G189" s="93"/>
      <c r="H189" s="93" t="s">
        <v>730</v>
      </c>
      <c r="I189" s="93"/>
      <c r="J189" s="76" t="s">
        <v>946</v>
      </c>
      <c r="K189" s="73" t="str">
        <f t="shared" si="6"/>
        <v>View on Google Map</v>
      </c>
      <c r="R189" s="12" t="s">
        <v>225</v>
      </c>
    </row>
    <row r="190" spans="1:18" x14ac:dyDescent="0.25">
      <c r="A190" s="102">
        <v>1228</v>
      </c>
      <c r="B190" s="93" t="s">
        <v>752</v>
      </c>
      <c r="C190" s="93" t="str">
        <f t="shared" si="9"/>
        <v>I Minus TK I</v>
      </c>
      <c r="D190" s="93">
        <v>68.549042091600001</v>
      </c>
      <c r="E190" s="76">
        <v>-149.52465850999999</v>
      </c>
      <c r="F190" s="92">
        <v>838</v>
      </c>
      <c r="G190" s="93"/>
      <c r="H190" s="93" t="s">
        <v>730</v>
      </c>
      <c r="I190" s="93"/>
      <c r="J190" s="76" t="s">
        <v>946</v>
      </c>
      <c r="K190" s="73" t="str">
        <f t="shared" si="6"/>
        <v>View on Google Map</v>
      </c>
      <c r="R190" s="12" t="s">
        <v>226</v>
      </c>
    </row>
    <row r="191" spans="1:18" x14ac:dyDescent="0.25">
      <c r="A191" s="92">
        <v>120</v>
      </c>
      <c r="B191" s="97" t="s">
        <v>322</v>
      </c>
      <c r="C191" s="93" t="str">
        <f t="shared" si="9"/>
        <v>I Swamp</v>
      </c>
      <c r="D191" s="94">
        <v>68.610780000000005</v>
      </c>
      <c r="E191" s="76">
        <v>-149.60074</v>
      </c>
      <c r="F191" s="95">
        <v>736</v>
      </c>
      <c r="G191" s="93" t="s">
        <v>301</v>
      </c>
      <c r="H191" s="93" t="s">
        <v>726</v>
      </c>
      <c r="I191" s="93" t="s">
        <v>313</v>
      </c>
      <c r="J191" s="76" t="s">
        <v>1106</v>
      </c>
      <c r="K191" s="73" t="str">
        <f t="shared" si="6"/>
        <v>View on Google Map</v>
      </c>
      <c r="R191" s="12" t="s">
        <v>227</v>
      </c>
    </row>
    <row r="192" spans="1:18" x14ac:dyDescent="0.25">
      <c r="A192" s="92">
        <v>191</v>
      </c>
      <c r="B192" s="93" t="s">
        <v>387</v>
      </c>
      <c r="C192" s="93" t="s">
        <v>753</v>
      </c>
      <c r="D192" s="94">
        <v>68.610349999999997</v>
      </c>
      <c r="E192" s="76">
        <v>-149.59977000000001</v>
      </c>
      <c r="F192" s="95">
        <v>736</v>
      </c>
      <c r="G192" s="93" t="s">
        <v>269</v>
      </c>
      <c r="H192" s="93" t="s">
        <v>726</v>
      </c>
      <c r="I192" s="93" t="s">
        <v>281</v>
      </c>
      <c r="J192" s="76" t="s">
        <v>1107</v>
      </c>
      <c r="K192" s="73" t="str">
        <f t="shared" si="6"/>
        <v>View on Google Map</v>
      </c>
      <c r="R192" s="12" t="s">
        <v>661</v>
      </c>
    </row>
    <row r="193" spans="1:18" x14ac:dyDescent="0.25">
      <c r="A193" s="92">
        <v>243</v>
      </c>
      <c r="B193" s="93" t="s">
        <v>395</v>
      </c>
      <c r="C193" s="93" t="str">
        <f t="shared" ref="C193:C210" si="10">B193</f>
        <v>I Swamp Outlet</v>
      </c>
      <c r="D193" s="94">
        <v>68.611680000000007</v>
      </c>
      <c r="E193" s="76">
        <v>-149.59925000000001</v>
      </c>
      <c r="F193" s="95">
        <v>736</v>
      </c>
      <c r="G193" s="93" t="s">
        <v>269</v>
      </c>
      <c r="H193" s="93" t="s">
        <v>726</v>
      </c>
      <c r="I193" s="93" t="s">
        <v>281</v>
      </c>
      <c r="J193" s="76" t="s">
        <v>1108</v>
      </c>
      <c r="K193" s="73" t="str">
        <f t="shared" si="6"/>
        <v>View on Google Map</v>
      </c>
      <c r="R193" s="12" t="s">
        <v>228</v>
      </c>
    </row>
    <row r="194" spans="1:18" x14ac:dyDescent="0.25">
      <c r="A194" s="92">
        <v>111</v>
      </c>
      <c r="B194" s="103" t="s">
        <v>312</v>
      </c>
      <c r="C194" s="93" t="str">
        <f t="shared" si="10"/>
        <v>I1</v>
      </c>
      <c r="D194" s="93">
        <v>68.568399999999997</v>
      </c>
      <c r="E194" s="76">
        <v>-149.58625000000001</v>
      </c>
      <c r="F194" s="95">
        <v>785</v>
      </c>
      <c r="G194" s="93" t="s">
        <v>301</v>
      </c>
      <c r="H194" s="93" t="s">
        <v>726</v>
      </c>
      <c r="I194" s="93" t="s">
        <v>313</v>
      </c>
      <c r="J194" s="76" t="s">
        <v>1109</v>
      </c>
      <c r="K194" s="73" t="str">
        <f t="shared" si="6"/>
        <v>View on Google Map</v>
      </c>
      <c r="R194" s="12" t="s">
        <v>695</v>
      </c>
    </row>
    <row r="195" spans="1:18" x14ac:dyDescent="0.25">
      <c r="A195" s="92">
        <v>175</v>
      </c>
      <c r="B195" s="93" t="s">
        <v>373</v>
      </c>
      <c r="C195" s="93" t="str">
        <f t="shared" si="10"/>
        <v>I1 into I3</v>
      </c>
      <c r="D195" s="94">
        <v>68.573999999999998</v>
      </c>
      <c r="E195" s="76">
        <v>-149.58357000000001</v>
      </c>
      <c r="F195" s="95">
        <v>774</v>
      </c>
      <c r="G195" s="93" t="s">
        <v>269</v>
      </c>
      <c r="H195" s="93" t="s">
        <v>726</v>
      </c>
      <c r="I195" s="93" t="s">
        <v>281</v>
      </c>
      <c r="J195" s="76" t="s">
        <v>1110</v>
      </c>
      <c r="K195" s="73" t="str">
        <f t="shared" ref="K195:K258" si="11">HYPERLINK("http://maps.google.com/maps?q="&amp;D195&amp;","&amp;E195,"View on Google Map")</f>
        <v>View on Google Map</v>
      </c>
      <c r="R195" s="12" t="s">
        <v>662</v>
      </c>
    </row>
    <row r="196" spans="1:18" x14ac:dyDescent="0.25">
      <c r="A196" s="92">
        <v>174</v>
      </c>
      <c r="B196" s="93" t="s">
        <v>372</v>
      </c>
      <c r="C196" s="93" t="str">
        <f t="shared" si="10"/>
        <v>I1 Outlet</v>
      </c>
      <c r="D196" s="94">
        <v>68.572299999999998</v>
      </c>
      <c r="E196" s="76">
        <v>-149.58100999999999</v>
      </c>
      <c r="F196" s="95">
        <v>785</v>
      </c>
      <c r="G196" s="93" t="s">
        <v>269</v>
      </c>
      <c r="H196" s="93" t="s">
        <v>726</v>
      </c>
      <c r="I196" s="93" t="s">
        <v>281</v>
      </c>
      <c r="J196" s="76" t="s">
        <v>1111</v>
      </c>
      <c r="K196" s="73" t="str">
        <f t="shared" si="11"/>
        <v>View on Google Map</v>
      </c>
      <c r="R196" s="12" t="s">
        <v>229</v>
      </c>
    </row>
    <row r="197" spans="1:18" x14ac:dyDescent="0.25">
      <c r="A197" s="92">
        <v>112</v>
      </c>
      <c r="B197" s="103" t="s">
        <v>314</v>
      </c>
      <c r="C197" s="93" t="str">
        <f t="shared" si="10"/>
        <v>I2</v>
      </c>
      <c r="D197" s="93">
        <v>68.571039999999996</v>
      </c>
      <c r="E197" s="76">
        <v>-149.56521000000001</v>
      </c>
      <c r="F197" s="95">
        <v>785</v>
      </c>
      <c r="G197" s="93" t="s">
        <v>301</v>
      </c>
      <c r="H197" s="93" t="s">
        <v>726</v>
      </c>
      <c r="I197" s="93" t="s">
        <v>313</v>
      </c>
      <c r="J197" s="76" t="s">
        <v>1112</v>
      </c>
      <c r="K197" s="73" t="str">
        <f t="shared" si="11"/>
        <v>View on Google Map</v>
      </c>
      <c r="R197" s="12" t="s">
        <v>230</v>
      </c>
    </row>
    <row r="198" spans="1:18" x14ac:dyDescent="0.25">
      <c r="A198" s="92">
        <v>176</v>
      </c>
      <c r="B198" s="93" t="s">
        <v>374</v>
      </c>
      <c r="C198" s="93" t="str">
        <f t="shared" si="10"/>
        <v>I2 into I3</v>
      </c>
      <c r="D198" s="94">
        <v>68.574780000000004</v>
      </c>
      <c r="E198" s="76">
        <v>-149.58205000000001</v>
      </c>
      <c r="F198" s="95">
        <v>774</v>
      </c>
      <c r="G198" s="93" t="s">
        <v>269</v>
      </c>
      <c r="H198" s="93" t="s">
        <v>726</v>
      </c>
      <c r="I198" s="93" t="s">
        <v>281</v>
      </c>
      <c r="J198" s="76" t="s">
        <v>1113</v>
      </c>
      <c r="K198" s="73" t="str">
        <f t="shared" si="11"/>
        <v>View on Google Map</v>
      </c>
      <c r="R198" s="12" t="s">
        <v>231</v>
      </c>
    </row>
    <row r="199" spans="1:18" x14ac:dyDescent="0.25">
      <c r="A199" s="92">
        <v>173</v>
      </c>
      <c r="B199" s="93" t="s">
        <v>371</v>
      </c>
      <c r="C199" s="93" t="str">
        <f t="shared" si="10"/>
        <v>I2 Outlet</v>
      </c>
      <c r="D199" s="94">
        <v>68.572550000000007</v>
      </c>
      <c r="E199" s="76">
        <v>-149.57026999999999</v>
      </c>
      <c r="F199" s="95">
        <v>785</v>
      </c>
      <c r="G199" s="93" t="s">
        <v>269</v>
      </c>
      <c r="H199" s="93" t="s">
        <v>726</v>
      </c>
      <c r="I199" s="93" t="s">
        <v>281</v>
      </c>
      <c r="J199" s="76" t="s">
        <v>1114</v>
      </c>
      <c r="K199" s="73" t="str">
        <f t="shared" si="11"/>
        <v>View on Google Map</v>
      </c>
      <c r="R199" s="12" t="s">
        <v>85</v>
      </c>
    </row>
    <row r="200" spans="1:18" x14ac:dyDescent="0.25">
      <c r="A200" s="92">
        <v>113</v>
      </c>
      <c r="B200" s="103" t="s">
        <v>315</v>
      </c>
      <c r="C200" s="93" t="str">
        <f t="shared" si="10"/>
        <v>I3</v>
      </c>
      <c r="D200" s="93">
        <v>68.574669999999998</v>
      </c>
      <c r="E200" s="76">
        <v>-149.58362</v>
      </c>
      <c r="F200" s="95">
        <v>774</v>
      </c>
      <c r="G200" s="93" t="s">
        <v>301</v>
      </c>
      <c r="H200" s="93" t="s">
        <v>726</v>
      </c>
      <c r="I200" s="93" t="s">
        <v>313</v>
      </c>
      <c r="J200" s="76" t="s">
        <v>1115</v>
      </c>
      <c r="K200" s="73" t="str">
        <f t="shared" si="11"/>
        <v>View on Google Map</v>
      </c>
      <c r="R200" s="12" t="s">
        <v>232</v>
      </c>
    </row>
    <row r="201" spans="1:18" x14ac:dyDescent="0.25">
      <c r="A201" s="92">
        <v>177</v>
      </c>
      <c r="B201" s="93" t="s">
        <v>375</v>
      </c>
      <c r="C201" s="93" t="str">
        <f t="shared" si="10"/>
        <v>I3 Outlet</v>
      </c>
      <c r="D201" s="94">
        <v>68.577539999999999</v>
      </c>
      <c r="E201" s="76">
        <v>-149.58199999999999</v>
      </c>
      <c r="F201" s="95">
        <v>774</v>
      </c>
      <c r="G201" s="93" t="s">
        <v>269</v>
      </c>
      <c r="H201" s="93" t="s">
        <v>726</v>
      </c>
      <c r="I201" s="93" t="s">
        <v>281</v>
      </c>
      <c r="J201" s="76" t="s">
        <v>1116</v>
      </c>
      <c r="K201" s="73" t="str">
        <f t="shared" si="11"/>
        <v>View on Google Map</v>
      </c>
      <c r="R201" s="12" t="s">
        <v>86</v>
      </c>
    </row>
    <row r="202" spans="1:18" x14ac:dyDescent="0.25">
      <c r="A202" s="92">
        <v>114</v>
      </c>
      <c r="B202" s="103" t="s">
        <v>316</v>
      </c>
      <c r="C202" s="93" t="str">
        <f t="shared" si="10"/>
        <v>I4</v>
      </c>
      <c r="D202" s="93">
        <v>68.57893</v>
      </c>
      <c r="E202" s="76">
        <v>-149.57999000000001</v>
      </c>
      <c r="F202" s="95">
        <v>770</v>
      </c>
      <c r="G202" s="93" t="s">
        <v>301</v>
      </c>
      <c r="H202" s="93" t="s">
        <v>726</v>
      </c>
      <c r="I202" s="93" t="s">
        <v>313</v>
      </c>
      <c r="J202" s="76" t="s">
        <v>1117</v>
      </c>
      <c r="K202" s="73" t="str">
        <f t="shared" si="11"/>
        <v>View on Google Map</v>
      </c>
      <c r="R202" s="12" t="s">
        <v>87</v>
      </c>
    </row>
    <row r="203" spans="1:18" x14ac:dyDescent="0.25">
      <c r="A203" s="92">
        <v>179</v>
      </c>
      <c r="B203" s="93" t="s">
        <v>377</v>
      </c>
      <c r="C203" s="93" t="str">
        <f t="shared" si="10"/>
        <v>I4 into I5</v>
      </c>
      <c r="D203" s="94">
        <v>68.584230000000005</v>
      </c>
      <c r="E203" s="76">
        <v>-149.58359999999999</v>
      </c>
      <c r="F203" s="95">
        <v>770</v>
      </c>
      <c r="G203" s="93" t="s">
        <v>269</v>
      </c>
      <c r="H203" s="93" t="s">
        <v>726</v>
      </c>
      <c r="I203" s="93" t="s">
        <v>281</v>
      </c>
      <c r="J203" s="76" t="s">
        <v>1118</v>
      </c>
      <c r="K203" s="73" t="str">
        <f t="shared" si="11"/>
        <v>View on Google Map</v>
      </c>
      <c r="R203" s="12" t="s">
        <v>88</v>
      </c>
    </row>
    <row r="204" spans="1:18" x14ac:dyDescent="0.25">
      <c r="A204" s="92">
        <v>178</v>
      </c>
      <c r="B204" s="93" t="s">
        <v>376</v>
      </c>
      <c r="C204" s="93" t="str">
        <f t="shared" si="10"/>
        <v>I4 Outlet</v>
      </c>
      <c r="D204" s="94">
        <v>68.581429999999997</v>
      </c>
      <c r="E204" s="76">
        <v>-149.58609999999999</v>
      </c>
      <c r="F204" s="95">
        <v>770</v>
      </c>
      <c r="G204" s="93" t="s">
        <v>269</v>
      </c>
      <c r="H204" s="93" t="s">
        <v>726</v>
      </c>
      <c r="I204" s="93" t="s">
        <v>281</v>
      </c>
      <c r="J204" s="76" t="s">
        <v>1119</v>
      </c>
      <c r="K204" s="73" t="str">
        <f t="shared" si="11"/>
        <v>View on Google Map</v>
      </c>
      <c r="R204" s="12" t="s">
        <v>89</v>
      </c>
    </row>
    <row r="205" spans="1:18" x14ac:dyDescent="0.25">
      <c r="A205" s="92">
        <v>115</v>
      </c>
      <c r="B205" s="103" t="s">
        <v>317</v>
      </c>
      <c r="C205" s="93" t="str">
        <f t="shared" si="10"/>
        <v>I5</v>
      </c>
      <c r="D205" s="93">
        <v>68.587569999999999</v>
      </c>
      <c r="E205" s="76">
        <v>-149.59030000000001</v>
      </c>
      <c r="F205" s="95">
        <v>767</v>
      </c>
      <c r="G205" s="93" t="s">
        <v>301</v>
      </c>
      <c r="H205" s="93" t="s">
        <v>726</v>
      </c>
      <c r="I205" s="93" t="s">
        <v>313</v>
      </c>
      <c r="J205" s="76" t="s">
        <v>1120</v>
      </c>
      <c r="K205" s="73" t="str">
        <f t="shared" si="11"/>
        <v>View on Google Map</v>
      </c>
      <c r="R205" s="12" t="s">
        <v>90</v>
      </c>
    </row>
    <row r="206" spans="1:18" x14ac:dyDescent="0.25">
      <c r="A206" s="92">
        <v>181</v>
      </c>
      <c r="B206" s="93" t="s">
        <v>379</v>
      </c>
      <c r="C206" s="93" t="str">
        <f t="shared" si="10"/>
        <v>I5 into I6</v>
      </c>
      <c r="D206" s="94">
        <v>68.594920000000002</v>
      </c>
      <c r="E206" s="76">
        <v>-149.58632</v>
      </c>
      <c r="F206" s="95">
        <v>754</v>
      </c>
      <c r="G206" s="93" t="s">
        <v>269</v>
      </c>
      <c r="H206" s="93" t="s">
        <v>726</v>
      </c>
      <c r="I206" s="93" t="s">
        <v>281</v>
      </c>
      <c r="J206" s="76" t="s">
        <v>1121</v>
      </c>
      <c r="K206" s="73" t="str">
        <f t="shared" si="11"/>
        <v>View on Google Map</v>
      </c>
      <c r="R206" s="12" t="s">
        <v>91</v>
      </c>
    </row>
    <row r="207" spans="1:18" x14ac:dyDescent="0.25">
      <c r="A207" s="92">
        <v>180</v>
      </c>
      <c r="B207" s="93" t="s">
        <v>378</v>
      </c>
      <c r="C207" s="93" t="str">
        <f t="shared" si="10"/>
        <v>I5 Outlet</v>
      </c>
      <c r="D207" s="94">
        <v>68.589089999999999</v>
      </c>
      <c r="E207" s="76">
        <v>-149.58922000000001</v>
      </c>
      <c r="F207" s="95">
        <v>767</v>
      </c>
      <c r="G207" s="93" t="s">
        <v>269</v>
      </c>
      <c r="H207" s="93" t="s">
        <v>726</v>
      </c>
      <c r="I207" s="93" t="s">
        <v>281</v>
      </c>
      <c r="J207" s="76" t="s">
        <v>1122</v>
      </c>
      <c r="K207" s="73" t="str">
        <f t="shared" si="11"/>
        <v>View on Google Map</v>
      </c>
      <c r="R207" s="12" t="s">
        <v>233</v>
      </c>
    </row>
    <row r="208" spans="1:18" x14ac:dyDescent="0.25">
      <c r="A208" s="92">
        <v>116</v>
      </c>
      <c r="B208" s="103" t="s">
        <v>318</v>
      </c>
      <c r="C208" s="93" t="str">
        <f t="shared" si="10"/>
        <v>I6</v>
      </c>
      <c r="D208" s="93">
        <v>68.595879999999994</v>
      </c>
      <c r="E208" s="76">
        <v>-149.59456</v>
      </c>
      <c r="F208" s="95">
        <v>754</v>
      </c>
      <c r="G208" s="93" t="s">
        <v>301</v>
      </c>
      <c r="H208" s="93" t="s">
        <v>726</v>
      </c>
      <c r="I208" s="93" t="s">
        <v>313</v>
      </c>
      <c r="J208" s="76" t="s">
        <v>1123</v>
      </c>
      <c r="K208" s="73" t="str">
        <f t="shared" si="11"/>
        <v>View on Google Map</v>
      </c>
      <c r="R208" s="12" t="s">
        <v>234</v>
      </c>
    </row>
    <row r="209" spans="1:18" x14ac:dyDescent="0.25">
      <c r="A209" s="92">
        <v>431</v>
      </c>
      <c r="B209" s="93" t="s">
        <v>495</v>
      </c>
      <c r="C209" s="93" t="str">
        <f t="shared" si="10"/>
        <v>I6 Headwater Lake</v>
      </c>
      <c r="D209" s="94">
        <v>68.582059999999998</v>
      </c>
      <c r="E209" s="76">
        <v>-149.62293</v>
      </c>
      <c r="F209" s="95">
        <v>806</v>
      </c>
      <c r="G209" s="93" t="s">
        <v>301</v>
      </c>
      <c r="H209" s="93" t="s">
        <v>726</v>
      </c>
      <c r="I209" s="93" t="s">
        <v>313</v>
      </c>
      <c r="J209" s="76" t="s">
        <v>1124</v>
      </c>
      <c r="K209" s="73" t="str">
        <f t="shared" si="11"/>
        <v>View on Google Map</v>
      </c>
      <c r="R209" s="12" t="s">
        <v>235</v>
      </c>
    </row>
    <row r="210" spans="1:18" x14ac:dyDescent="0.25">
      <c r="A210" s="92">
        <v>444</v>
      </c>
      <c r="B210" s="93" t="s">
        <v>509</v>
      </c>
      <c r="C210" s="93" t="str">
        <f t="shared" si="10"/>
        <v>I6 Headwater Lake Inlet</v>
      </c>
      <c r="D210" s="94">
        <v>68.578639999999993</v>
      </c>
      <c r="E210" s="76">
        <v>-149.62110000000001</v>
      </c>
      <c r="F210" s="95">
        <v>808</v>
      </c>
      <c r="G210" s="93" t="s">
        <v>269</v>
      </c>
      <c r="H210" s="93" t="s">
        <v>726</v>
      </c>
      <c r="I210" s="93" t="s">
        <v>281</v>
      </c>
      <c r="J210" s="76" t="s">
        <v>1125</v>
      </c>
      <c r="K210" s="73" t="str">
        <f t="shared" si="11"/>
        <v>View on Google Map</v>
      </c>
      <c r="R210" s="12" t="s">
        <v>236</v>
      </c>
    </row>
    <row r="211" spans="1:18" x14ac:dyDescent="0.25">
      <c r="A211" s="96">
        <v>535</v>
      </c>
      <c r="B211" s="97" t="s">
        <v>601</v>
      </c>
      <c r="C211" s="93" t="s">
        <v>598</v>
      </c>
      <c r="D211" s="109">
        <v>68.585840000000005</v>
      </c>
      <c r="E211" s="76">
        <v>-149.62222</v>
      </c>
      <c r="F211" s="106">
        <v>805</v>
      </c>
      <c r="G211" s="93" t="s">
        <v>269</v>
      </c>
      <c r="H211" s="93" t="s">
        <v>516</v>
      </c>
      <c r="I211" s="93" t="s">
        <v>599</v>
      </c>
      <c r="J211" s="76" t="s">
        <v>946</v>
      </c>
      <c r="K211" s="73" t="str">
        <f t="shared" si="11"/>
        <v>View on Google Map</v>
      </c>
      <c r="R211" s="12" t="s">
        <v>237</v>
      </c>
    </row>
    <row r="212" spans="1:18" x14ac:dyDescent="0.25">
      <c r="A212" s="92">
        <v>536</v>
      </c>
      <c r="B212" s="93" t="s">
        <v>602</v>
      </c>
      <c r="C212" s="93" t="s">
        <v>598</v>
      </c>
      <c r="D212" s="109">
        <v>68.591329999999999</v>
      </c>
      <c r="E212" s="76">
        <v>-149.61153999999999</v>
      </c>
      <c r="F212" s="106">
        <v>775</v>
      </c>
      <c r="G212" s="93" t="s">
        <v>269</v>
      </c>
      <c r="H212" s="93" t="s">
        <v>516</v>
      </c>
      <c r="I212" s="93" t="s">
        <v>599</v>
      </c>
      <c r="J212" s="76" t="s">
        <v>946</v>
      </c>
      <c r="K212" s="73" t="str">
        <f t="shared" si="11"/>
        <v>View on Google Map</v>
      </c>
      <c r="R212" s="12" t="s">
        <v>696</v>
      </c>
    </row>
    <row r="213" spans="1:18" x14ac:dyDescent="0.25">
      <c r="A213" s="92">
        <v>445</v>
      </c>
      <c r="B213" s="93" t="s">
        <v>510</v>
      </c>
      <c r="C213" s="93" t="str">
        <f t="shared" ref="C213:C220" si="12">B213</f>
        <v>I6 Headwater Lake Outlet</v>
      </c>
      <c r="D213" s="94">
        <v>68.583569999999995</v>
      </c>
      <c r="E213" s="76">
        <v>-149.62384</v>
      </c>
      <c r="F213" s="95">
        <v>808</v>
      </c>
      <c r="G213" s="93" t="s">
        <v>269</v>
      </c>
      <c r="H213" s="93" t="s">
        <v>726</v>
      </c>
      <c r="I213" s="93" t="s">
        <v>281</v>
      </c>
      <c r="J213" s="76" t="s">
        <v>1126</v>
      </c>
      <c r="K213" s="73" t="str">
        <f t="shared" si="11"/>
        <v>View on Google Map</v>
      </c>
      <c r="R213" s="12" t="s">
        <v>92</v>
      </c>
    </row>
    <row r="214" spans="1:18" x14ac:dyDescent="0.25">
      <c r="A214" s="92">
        <v>182</v>
      </c>
      <c r="B214" s="93" t="s">
        <v>380</v>
      </c>
      <c r="C214" s="93" t="str">
        <f t="shared" si="12"/>
        <v>I6 Inlet West</v>
      </c>
      <c r="D214" s="94">
        <v>68.596879999999999</v>
      </c>
      <c r="E214" s="76">
        <v>-149.60124999999999</v>
      </c>
      <c r="F214" s="95">
        <v>754</v>
      </c>
      <c r="G214" s="93" t="s">
        <v>269</v>
      </c>
      <c r="H214" s="93" t="s">
        <v>726</v>
      </c>
      <c r="I214" s="93" t="s">
        <v>281</v>
      </c>
      <c r="J214" s="76" t="s">
        <v>1127</v>
      </c>
      <c r="K214" s="73" t="str">
        <f t="shared" si="11"/>
        <v>View on Google Map</v>
      </c>
      <c r="R214" s="12" t="s">
        <v>675</v>
      </c>
    </row>
    <row r="215" spans="1:18" x14ac:dyDescent="0.25">
      <c r="A215" s="92">
        <v>183</v>
      </c>
      <c r="B215" s="93" t="s">
        <v>381</v>
      </c>
      <c r="C215" s="93" t="str">
        <f t="shared" si="12"/>
        <v>I6 Outlet</v>
      </c>
      <c r="D215" s="94">
        <v>68.598680000000002</v>
      </c>
      <c r="E215" s="76">
        <v>-149.59985</v>
      </c>
      <c r="F215" s="95">
        <v>754</v>
      </c>
      <c r="G215" s="93" t="s">
        <v>269</v>
      </c>
      <c r="H215" s="93" t="s">
        <v>726</v>
      </c>
      <c r="I215" s="93" t="s">
        <v>281</v>
      </c>
      <c r="J215" s="76" t="s">
        <v>1128</v>
      </c>
      <c r="K215" s="73" t="str">
        <f t="shared" si="11"/>
        <v>View on Google Map</v>
      </c>
      <c r="R215" s="12" t="s">
        <v>93</v>
      </c>
    </row>
    <row r="216" spans="1:18" x14ac:dyDescent="0.25">
      <c r="A216" s="92">
        <v>117</v>
      </c>
      <c r="B216" s="103" t="s">
        <v>319</v>
      </c>
      <c r="C216" s="93" t="str">
        <f t="shared" si="12"/>
        <v>I7</v>
      </c>
      <c r="D216" s="93">
        <v>68.6006</v>
      </c>
      <c r="E216" s="76">
        <v>-149.59639999999999</v>
      </c>
      <c r="F216" s="95">
        <v>742</v>
      </c>
      <c r="G216" s="93" t="s">
        <v>301</v>
      </c>
      <c r="H216" s="93" t="s">
        <v>726</v>
      </c>
      <c r="I216" s="93" t="s">
        <v>313</v>
      </c>
      <c r="J216" s="76" t="s">
        <v>1129</v>
      </c>
      <c r="K216" s="73" t="str">
        <f t="shared" si="11"/>
        <v>View on Google Map</v>
      </c>
      <c r="R216" s="12" t="s">
        <v>238</v>
      </c>
    </row>
    <row r="217" spans="1:18" x14ac:dyDescent="0.25">
      <c r="A217" s="92">
        <v>187</v>
      </c>
      <c r="B217" s="93" t="s">
        <v>384</v>
      </c>
      <c r="C217" s="93" t="str">
        <f t="shared" si="12"/>
        <v>I7 into I9</v>
      </c>
      <c r="D217" s="94">
        <v>68.618179999999995</v>
      </c>
      <c r="E217" s="76">
        <v>-149.59676999999999</v>
      </c>
      <c r="F217" s="95">
        <v>728</v>
      </c>
      <c r="G217" s="93" t="s">
        <v>269</v>
      </c>
      <c r="H217" s="93" t="s">
        <v>726</v>
      </c>
      <c r="I217" s="93" t="s">
        <v>281</v>
      </c>
      <c r="J217" s="76" t="s">
        <v>1130</v>
      </c>
      <c r="K217" s="73" t="str">
        <f t="shared" si="11"/>
        <v>View on Google Map</v>
      </c>
      <c r="R217" s="12" t="s">
        <v>94</v>
      </c>
    </row>
    <row r="218" spans="1:18" x14ac:dyDescent="0.25">
      <c r="A218" s="92">
        <v>184</v>
      </c>
      <c r="B218" s="93" t="s">
        <v>382</v>
      </c>
      <c r="C218" s="93" t="str">
        <f t="shared" si="12"/>
        <v>I7 Outlet</v>
      </c>
      <c r="D218" s="94">
        <v>68.601830000000007</v>
      </c>
      <c r="E218" s="76">
        <v>-149.59671</v>
      </c>
      <c r="F218" s="95">
        <v>742</v>
      </c>
      <c r="G218" s="93" t="s">
        <v>269</v>
      </c>
      <c r="H218" s="93" t="s">
        <v>726</v>
      </c>
      <c r="I218" s="93" t="s">
        <v>281</v>
      </c>
      <c r="J218" s="76" t="s">
        <v>1131</v>
      </c>
      <c r="K218" s="73" t="str">
        <f t="shared" si="11"/>
        <v>View on Google Map</v>
      </c>
      <c r="R218" s="12" t="s">
        <v>716</v>
      </c>
    </row>
    <row r="219" spans="1:18" x14ac:dyDescent="0.25">
      <c r="A219" s="92">
        <v>118</v>
      </c>
      <c r="B219" s="103" t="s">
        <v>320</v>
      </c>
      <c r="C219" s="93" t="str">
        <f t="shared" si="12"/>
        <v>I8</v>
      </c>
      <c r="D219" s="93">
        <v>68.609719999999996</v>
      </c>
      <c r="E219" s="76">
        <v>-149.58965000000001</v>
      </c>
      <c r="F219" s="95">
        <v>744</v>
      </c>
      <c r="G219" s="93" t="s">
        <v>301</v>
      </c>
      <c r="H219" s="93" t="s">
        <v>726</v>
      </c>
      <c r="I219" s="93" t="s">
        <v>313</v>
      </c>
      <c r="J219" s="76" t="s">
        <v>1132</v>
      </c>
      <c r="K219" s="73" t="str">
        <f t="shared" si="11"/>
        <v>View on Google Map</v>
      </c>
      <c r="R219" s="12" t="s">
        <v>95</v>
      </c>
    </row>
    <row r="220" spans="1:18" x14ac:dyDescent="0.25">
      <c r="A220" s="92">
        <v>172</v>
      </c>
      <c r="B220" s="93" t="s">
        <v>370</v>
      </c>
      <c r="C220" s="93" t="str">
        <f t="shared" si="12"/>
        <v>I8 Headwater</v>
      </c>
      <c r="D220" s="94">
        <v>68.575671999999997</v>
      </c>
      <c r="E220" s="76">
        <v>-149.551695</v>
      </c>
      <c r="F220" s="95">
        <v>808</v>
      </c>
      <c r="G220" s="93" t="s">
        <v>269</v>
      </c>
      <c r="H220" s="93" t="s">
        <v>726</v>
      </c>
      <c r="I220" s="93" t="s">
        <v>281</v>
      </c>
      <c r="J220" s="76" t="s">
        <v>1133</v>
      </c>
      <c r="K220" s="73" t="str">
        <f t="shared" si="11"/>
        <v>View on Google Map</v>
      </c>
      <c r="R220" s="12" t="s">
        <v>663</v>
      </c>
    </row>
    <row r="221" spans="1:18" x14ac:dyDescent="0.25">
      <c r="A221" s="92">
        <v>533</v>
      </c>
      <c r="B221" s="93" t="s">
        <v>597</v>
      </c>
      <c r="C221" s="93" t="s">
        <v>598</v>
      </c>
      <c r="D221" s="109">
        <v>68.599999999999994</v>
      </c>
      <c r="E221" s="76">
        <v>-149.57599999999999</v>
      </c>
      <c r="F221" s="106">
        <v>762</v>
      </c>
      <c r="G221" s="93" t="s">
        <v>269</v>
      </c>
      <c r="H221" s="93" t="s">
        <v>516</v>
      </c>
      <c r="I221" s="93" t="s">
        <v>599</v>
      </c>
      <c r="J221" s="76" t="s">
        <v>946</v>
      </c>
      <c r="K221" s="73" t="str">
        <f t="shared" si="11"/>
        <v>View on Google Map</v>
      </c>
      <c r="R221" s="12" t="s">
        <v>664</v>
      </c>
    </row>
    <row r="222" spans="1:18" x14ac:dyDescent="0.25">
      <c r="A222" s="96">
        <v>534</v>
      </c>
      <c r="B222" s="93" t="s">
        <v>600</v>
      </c>
      <c r="C222" s="93" t="s">
        <v>598</v>
      </c>
      <c r="D222" s="109">
        <v>68.601489999999998</v>
      </c>
      <c r="E222" s="76">
        <v>-149.57907</v>
      </c>
      <c r="F222" s="106">
        <v>760</v>
      </c>
      <c r="G222" s="93" t="s">
        <v>269</v>
      </c>
      <c r="H222" s="93" t="s">
        <v>516</v>
      </c>
      <c r="I222" s="93" t="s">
        <v>599</v>
      </c>
      <c r="J222" s="76" t="s">
        <v>946</v>
      </c>
      <c r="K222" s="73" t="str">
        <f t="shared" si="11"/>
        <v>View on Google Map</v>
      </c>
      <c r="R222" s="12" t="s">
        <v>665</v>
      </c>
    </row>
    <row r="223" spans="1:18" x14ac:dyDescent="0.25">
      <c r="A223" s="92">
        <v>185</v>
      </c>
      <c r="B223" s="93" t="s">
        <v>383</v>
      </c>
      <c r="C223" s="93" t="str">
        <f>B223</f>
        <v>I8 Inlet</v>
      </c>
      <c r="D223" s="94">
        <v>68.608530000000002</v>
      </c>
      <c r="E223" s="76">
        <v>-149.58762999999999</v>
      </c>
      <c r="F223" s="95">
        <v>744</v>
      </c>
      <c r="G223" s="93" t="s">
        <v>269</v>
      </c>
      <c r="H223" s="93" t="s">
        <v>726</v>
      </c>
      <c r="I223" s="93" t="s">
        <v>281</v>
      </c>
      <c r="J223" s="76" t="s">
        <v>1134</v>
      </c>
      <c r="K223" s="73" t="str">
        <f t="shared" si="11"/>
        <v>View on Google Map</v>
      </c>
      <c r="R223" s="12" t="s">
        <v>666</v>
      </c>
    </row>
    <row r="224" spans="1:18" x14ac:dyDescent="0.25">
      <c r="A224" s="96">
        <v>547</v>
      </c>
      <c r="B224" s="111" t="s">
        <v>616</v>
      </c>
      <c r="C224" s="93" t="s">
        <v>604</v>
      </c>
      <c r="D224" s="112">
        <v>68.611012000000002</v>
      </c>
      <c r="E224" s="76">
        <v>-149.57365200000001</v>
      </c>
      <c r="F224" s="106">
        <v>744</v>
      </c>
      <c r="G224" s="93" t="s">
        <v>269</v>
      </c>
      <c r="H224" s="93" t="s">
        <v>605</v>
      </c>
      <c r="I224" s="93" t="s">
        <v>606</v>
      </c>
      <c r="J224" s="76" t="s">
        <v>946</v>
      </c>
      <c r="K224" s="73" t="str">
        <f t="shared" si="11"/>
        <v>View on Google Map</v>
      </c>
      <c r="R224" s="12" t="s">
        <v>667</v>
      </c>
    </row>
    <row r="225" spans="1:18" x14ac:dyDescent="0.25">
      <c r="A225" s="92">
        <v>548</v>
      </c>
      <c r="B225" s="111" t="s">
        <v>617</v>
      </c>
      <c r="C225" s="93" t="s">
        <v>604</v>
      </c>
      <c r="D225" s="112">
        <v>68.612117999999995</v>
      </c>
      <c r="E225" s="76">
        <v>-149.576359</v>
      </c>
      <c r="F225" s="106">
        <v>744</v>
      </c>
      <c r="G225" s="93" t="s">
        <v>269</v>
      </c>
      <c r="H225" s="93" t="s">
        <v>605</v>
      </c>
      <c r="I225" s="93" t="s">
        <v>606</v>
      </c>
      <c r="J225" s="76" t="s">
        <v>946</v>
      </c>
      <c r="K225" s="73" t="str">
        <f t="shared" si="11"/>
        <v>View on Google Map</v>
      </c>
      <c r="R225" s="12" t="s">
        <v>668</v>
      </c>
    </row>
    <row r="226" spans="1:18" x14ac:dyDescent="0.25">
      <c r="A226" s="96">
        <v>546</v>
      </c>
      <c r="B226" s="111" t="s">
        <v>615</v>
      </c>
      <c r="C226" s="93" t="s">
        <v>604</v>
      </c>
      <c r="D226" s="112">
        <v>68.608949999999993</v>
      </c>
      <c r="E226" s="76">
        <v>-149.57907399999999</v>
      </c>
      <c r="F226" s="106">
        <v>744</v>
      </c>
      <c r="G226" s="93" t="s">
        <v>269</v>
      </c>
      <c r="H226" s="93" t="s">
        <v>605</v>
      </c>
      <c r="I226" s="93" t="s">
        <v>606</v>
      </c>
      <c r="J226" s="76" t="s">
        <v>946</v>
      </c>
      <c r="K226" s="73" t="str">
        <f t="shared" si="11"/>
        <v>View on Google Map</v>
      </c>
      <c r="R226" s="12" t="s">
        <v>96</v>
      </c>
    </row>
    <row r="227" spans="1:18" x14ac:dyDescent="0.25">
      <c r="A227" s="92">
        <v>545</v>
      </c>
      <c r="B227" s="111" t="s">
        <v>614</v>
      </c>
      <c r="C227" s="93" t="s">
        <v>604</v>
      </c>
      <c r="D227" s="112">
        <v>68.609307999999999</v>
      </c>
      <c r="E227" s="76">
        <v>-149.57375200000001</v>
      </c>
      <c r="F227" s="106">
        <v>744</v>
      </c>
      <c r="G227" s="93" t="s">
        <v>269</v>
      </c>
      <c r="H227" s="93" t="s">
        <v>605</v>
      </c>
      <c r="I227" s="93" t="s">
        <v>606</v>
      </c>
      <c r="J227" s="76" t="s">
        <v>946</v>
      </c>
      <c r="K227" s="73" t="str">
        <f t="shared" si="11"/>
        <v>View on Google Map</v>
      </c>
      <c r="R227" s="12" t="s">
        <v>717</v>
      </c>
    </row>
    <row r="228" spans="1:18" x14ac:dyDescent="0.25">
      <c r="A228" s="92">
        <v>549</v>
      </c>
      <c r="B228" s="111" t="s">
        <v>1411</v>
      </c>
      <c r="C228" s="93" t="str">
        <f>B228</f>
        <v>I8 Inlet-0.42k</v>
      </c>
      <c r="D228" s="112" t="s">
        <v>946</v>
      </c>
      <c r="E228" s="76"/>
      <c r="F228" s="106"/>
      <c r="G228" s="93" t="s">
        <v>269</v>
      </c>
      <c r="H228" s="93" t="s">
        <v>516</v>
      </c>
      <c r="I228" s="93" t="s">
        <v>1412</v>
      </c>
      <c r="J228" s="76" t="s">
        <v>946</v>
      </c>
      <c r="K228" s="73" t="str">
        <f t="shared" si="11"/>
        <v>View on Google Map</v>
      </c>
      <c r="R228" s="12" t="s">
        <v>239</v>
      </c>
    </row>
    <row r="229" spans="1:18" x14ac:dyDescent="0.25">
      <c r="A229" s="92">
        <v>188</v>
      </c>
      <c r="B229" s="93" t="s">
        <v>385</v>
      </c>
      <c r="C229" s="93" t="str">
        <f>B229</f>
        <v>I8 into I9</v>
      </c>
      <c r="D229" s="94">
        <v>68.618380000000002</v>
      </c>
      <c r="E229" s="76">
        <v>-149.59649999999999</v>
      </c>
      <c r="F229" s="95">
        <v>728</v>
      </c>
      <c r="G229" s="93" t="s">
        <v>269</v>
      </c>
      <c r="H229" s="93" t="s">
        <v>726</v>
      </c>
      <c r="I229" s="93" t="s">
        <v>281</v>
      </c>
      <c r="J229" s="76" t="s">
        <v>1135</v>
      </c>
      <c r="K229" s="73" t="str">
        <f t="shared" si="11"/>
        <v>View on Google Map</v>
      </c>
      <c r="R229" s="12" t="s">
        <v>97</v>
      </c>
    </row>
    <row r="230" spans="1:18" x14ac:dyDescent="0.25">
      <c r="A230" s="92">
        <v>541</v>
      </c>
      <c r="B230" s="111" t="s">
        <v>610</v>
      </c>
      <c r="C230" s="93" t="s">
        <v>604</v>
      </c>
      <c r="D230" s="112">
        <v>68.609846000000005</v>
      </c>
      <c r="E230" s="76">
        <v>-149.58295100000001</v>
      </c>
      <c r="F230" s="106">
        <v>744</v>
      </c>
      <c r="G230" s="93" t="s">
        <v>301</v>
      </c>
      <c r="H230" s="93" t="s">
        <v>605</v>
      </c>
      <c r="I230" s="93" t="s">
        <v>606</v>
      </c>
      <c r="J230" s="76" t="s">
        <v>946</v>
      </c>
      <c r="K230" s="73" t="str">
        <f t="shared" si="11"/>
        <v>View on Google Map</v>
      </c>
      <c r="R230" s="12" t="s">
        <v>98</v>
      </c>
    </row>
    <row r="231" spans="1:18" x14ac:dyDescent="0.25">
      <c r="A231" s="96">
        <v>539</v>
      </c>
      <c r="B231" s="111" t="s">
        <v>608</v>
      </c>
      <c r="C231" s="93" t="s">
        <v>604</v>
      </c>
      <c r="D231" s="112">
        <v>68.610575999999995</v>
      </c>
      <c r="E231" s="76">
        <v>-149.576018</v>
      </c>
      <c r="F231" s="106">
        <v>744</v>
      </c>
      <c r="G231" s="93" t="s">
        <v>301</v>
      </c>
      <c r="H231" s="93" t="s">
        <v>605</v>
      </c>
      <c r="I231" s="93" t="s">
        <v>606</v>
      </c>
      <c r="J231" s="76" t="s">
        <v>946</v>
      </c>
      <c r="K231" s="73" t="str">
        <f t="shared" si="11"/>
        <v>View on Google Map</v>
      </c>
      <c r="R231" s="12" t="s">
        <v>240</v>
      </c>
    </row>
    <row r="232" spans="1:18" x14ac:dyDescent="0.25">
      <c r="A232" s="96">
        <v>538</v>
      </c>
      <c r="B232" s="111" t="s">
        <v>607</v>
      </c>
      <c r="C232" s="93" t="s">
        <v>604</v>
      </c>
      <c r="D232" s="112">
        <v>68.610889</v>
      </c>
      <c r="E232" s="76">
        <v>-149.576108</v>
      </c>
      <c r="F232" s="106">
        <v>744</v>
      </c>
      <c r="G232" s="93" t="s">
        <v>269</v>
      </c>
      <c r="H232" s="93" t="s">
        <v>605</v>
      </c>
      <c r="I232" s="93" t="s">
        <v>606</v>
      </c>
      <c r="J232" s="76" t="s">
        <v>946</v>
      </c>
      <c r="K232" s="73" t="str">
        <f t="shared" si="11"/>
        <v>View on Google Map</v>
      </c>
      <c r="R232" s="12" t="s">
        <v>683</v>
      </c>
    </row>
    <row r="233" spans="1:18" x14ac:dyDescent="0.25">
      <c r="A233" s="92">
        <v>544</v>
      </c>
      <c r="B233" s="111" t="s">
        <v>613</v>
      </c>
      <c r="C233" s="93" t="s">
        <v>604</v>
      </c>
      <c r="D233" s="112">
        <v>68.610529</v>
      </c>
      <c r="E233" s="76">
        <v>-149.58864199999999</v>
      </c>
      <c r="F233" s="106">
        <v>744</v>
      </c>
      <c r="G233" s="93" t="s">
        <v>301</v>
      </c>
      <c r="H233" s="93" t="s">
        <v>605</v>
      </c>
      <c r="I233" s="93" t="s">
        <v>606</v>
      </c>
      <c r="J233" s="76" t="s">
        <v>946</v>
      </c>
      <c r="K233" s="73" t="str">
        <f t="shared" si="11"/>
        <v>View on Google Map</v>
      </c>
      <c r="R233" s="12" t="s">
        <v>99</v>
      </c>
    </row>
    <row r="234" spans="1:18" x14ac:dyDescent="0.25">
      <c r="A234" s="92">
        <v>540</v>
      </c>
      <c r="B234" s="111" t="s">
        <v>609</v>
      </c>
      <c r="C234" s="93" t="s">
        <v>604</v>
      </c>
      <c r="D234" s="112">
        <v>68.609842</v>
      </c>
      <c r="E234" s="76">
        <v>-149.575346</v>
      </c>
      <c r="F234" s="106">
        <v>744</v>
      </c>
      <c r="G234" s="93" t="s">
        <v>301</v>
      </c>
      <c r="H234" s="93" t="s">
        <v>605</v>
      </c>
      <c r="I234" s="93" t="s">
        <v>606</v>
      </c>
      <c r="J234" s="76" t="s">
        <v>946</v>
      </c>
      <c r="K234" s="73" t="str">
        <f t="shared" si="11"/>
        <v>View on Google Map</v>
      </c>
      <c r="R234" s="12" t="s">
        <v>100</v>
      </c>
    </row>
    <row r="235" spans="1:18" x14ac:dyDescent="0.25">
      <c r="A235" s="96">
        <v>542</v>
      </c>
      <c r="B235" s="111" t="s">
        <v>611</v>
      </c>
      <c r="C235" s="93" t="s">
        <v>604</v>
      </c>
      <c r="D235" s="112">
        <v>68.609202999999994</v>
      </c>
      <c r="E235" s="76">
        <v>-149.588257</v>
      </c>
      <c r="F235" s="106">
        <v>744</v>
      </c>
      <c r="G235" s="93" t="s">
        <v>301</v>
      </c>
      <c r="H235" s="93" t="s">
        <v>605</v>
      </c>
      <c r="I235" s="93" t="s">
        <v>606</v>
      </c>
      <c r="J235" s="76" t="s">
        <v>946</v>
      </c>
      <c r="K235" s="73" t="str">
        <f t="shared" si="11"/>
        <v>View on Google Map</v>
      </c>
      <c r="R235" s="12" t="s">
        <v>101</v>
      </c>
    </row>
    <row r="236" spans="1:18" x14ac:dyDescent="0.25">
      <c r="A236" s="96">
        <v>543</v>
      </c>
      <c r="B236" s="111" t="s">
        <v>612</v>
      </c>
      <c r="C236" s="93" t="s">
        <v>604</v>
      </c>
      <c r="D236" s="112">
        <v>68.610028</v>
      </c>
      <c r="E236" s="76">
        <v>-149.588391</v>
      </c>
      <c r="F236" s="106">
        <v>744</v>
      </c>
      <c r="G236" s="93" t="s">
        <v>301</v>
      </c>
      <c r="H236" s="93" t="s">
        <v>605</v>
      </c>
      <c r="I236" s="93" t="s">
        <v>606</v>
      </c>
      <c r="J236" s="76" t="s">
        <v>946</v>
      </c>
      <c r="K236" s="73" t="str">
        <f t="shared" si="11"/>
        <v>View on Google Map</v>
      </c>
      <c r="R236" s="12" t="s">
        <v>697</v>
      </c>
    </row>
    <row r="237" spans="1:18" x14ac:dyDescent="0.25">
      <c r="A237" s="92">
        <v>537</v>
      </c>
      <c r="B237" s="111" t="s">
        <v>603</v>
      </c>
      <c r="C237" s="93" t="s">
        <v>604</v>
      </c>
      <c r="D237" s="112">
        <v>68.611514</v>
      </c>
      <c r="E237" s="76">
        <v>-149.577617</v>
      </c>
      <c r="F237" s="106">
        <v>744</v>
      </c>
      <c r="G237" s="93" t="s">
        <v>269</v>
      </c>
      <c r="H237" s="93" t="s">
        <v>605</v>
      </c>
      <c r="I237" s="93" t="s">
        <v>606</v>
      </c>
      <c r="J237" s="76" t="s">
        <v>946</v>
      </c>
      <c r="K237" s="73" t="str">
        <f t="shared" si="11"/>
        <v>View on Google Map</v>
      </c>
      <c r="R237" s="12" t="s">
        <v>102</v>
      </c>
    </row>
    <row r="238" spans="1:18" x14ac:dyDescent="0.25">
      <c r="A238" s="96">
        <v>15</v>
      </c>
      <c r="B238" s="97" t="s">
        <v>950</v>
      </c>
      <c r="C238" s="93" t="str">
        <f>B238</f>
        <v>I8 Outlet</v>
      </c>
      <c r="D238" s="94">
        <v>68.611407999999997</v>
      </c>
      <c r="E238" s="76">
        <v>-149.59013200000001</v>
      </c>
      <c r="F238" s="95">
        <v>744</v>
      </c>
      <c r="G238" s="93" t="s">
        <v>269</v>
      </c>
      <c r="H238" s="93" t="s">
        <v>726</v>
      </c>
      <c r="I238" s="93"/>
      <c r="J238" s="76" t="s">
        <v>1136</v>
      </c>
      <c r="K238" s="73" t="str">
        <f t="shared" si="11"/>
        <v>View on Google Map</v>
      </c>
      <c r="R238" s="12" t="s">
        <v>103</v>
      </c>
    </row>
    <row r="239" spans="1:18" x14ac:dyDescent="0.25">
      <c r="A239" s="96">
        <v>305</v>
      </c>
      <c r="B239" s="97" t="s">
        <v>1388</v>
      </c>
      <c r="C239" s="93" t="s">
        <v>1389</v>
      </c>
      <c r="D239" s="94" t="s">
        <v>946</v>
      </c>
      <c r="E239" s="76" t="s">
        <v>946</v>
      </c>
      <c r="F239" s="95"/>
      <c r="G239" s="93" t="s">
        <v>269</v>
      </c>
      <c r="H239" s="93" t="s">
        <v>726</v>
      </c>
      <c r="I239" s="93" t="s">
        <v>281</v>
      </c>
      <c r="J239" s="76" t="s">
        <v>1390</v>
      </c>
      <c r="K239" s="73" t="str">
        <f t="shared" si="11"/>
        <v>View on Google Map</v>
      </c>
      <c r="R239" s="12" t="s">
        <v>241</v>
      </c>
    </row>
    <row r="240" spans="1:18" x14ac:dyDescent="0.25">
      <c r="A240" s="92">
        <v>119</v>
      </c>
      <c r="B240" s="103" t="s">
        <v>321</v>
      </c>
      <c r="C240" s="93" t="str">
        <f t="shared" ref="C240:C268" si="13">B240</f>
        <v>I9</v>
      </c>
      <c r="D240" s="93">
        <v>68.618979999999993</v>
      </c>
      <c r="E240" s="76">
        <v>-149.59548000000001</v>
      </c>
      <c r="F240" s="95">
        <v>728</v>
      </c>
      <c r="G240" s="93" t="s">
        <v>301</v>
      </c>
      <c r="H240" s="93" t="s">
        <v>726</v>
      </c>
      <c r="I240" s="93" t="s">
        <v>313</v>
      </c>
      <c r="J240" s="76" t="s">
        <v>1137</v>
      </c>
      <c r="K240" s="73" t="str">
        <f t="shared" si="11"/>
        <v>View on Google Map</v>
      </c>
      <c r="R240" s="12" t="s">
        <v>242</v>
      </c>
    </row>
    <row r="241" spans="1:18" x14ac:dyDescent="0.25">
      <c r="A241" s="92">
        <v>244</v>
      </c>
      <c r="B241" s="93" t="s">
        <v>396</v>
      </c>
      <c r="C241" s="93" t="str">
        <f t="shared" si="13"/>
        <v>I9 Outlet</v>
      </c>
      <c r="D241" s="94">
        <v>68.619380000000007</v>
      </c>
      <c r="E241" s="76">
        <v>-149.59528</v>
      </c>
      <c r="F241" s="106">
        <v>728</v>
      </c>
      <c r="G241" s="93" t="s">
        <v>269</v>
      </c>
      <c r="H241" s="93" t="s">
        <v>726</v>
      </c>
      <c r="I241" s="93" t="s">
        <v>281</v>
      </c>
      <c r="J241" s="76" t="s">
        <v>1138</v>
      </c>
      <c r="K241" s="73" t="str">
        <f t="shared" si="11"/>
        <v>View on Google Map</v>
      </c>
      <c r="R241" s="12" t="s">
        <v>104</v>
      </c>
    </row>
    <row r="242" spans="1:18" x14ac:dyDescent="0.25">
      <c r="A242" s="92">
        <v>11</v>
      </c>
      <c r="B242" s="93" t="s">
        <v>1357</v>
      </c>
      <c r="C242" s="93" t="str">
        <f t="shared" si="13"/>
        <v>Imnavait Creek</v>
      </c>
      <c r="D242" s="94"/>
      <c r="E242" s="76"/>
      <c r="F242" s="95">
        <v>884</v>
      </c>
      <c r="G242" s="93" t="s">
        <v>269</v>
      </c>
      <c r="H242" s="93" t="s">
        <v>726</v>
      </c>
      <c r="I242" s="93"/>
      <c r="J242" s="76" t="s">
        <v>1358</v>
      </c>
      <c r="K242" s="73" t="str">
        <f t="shared" si="11"/>
        <v>View on Google Map</v>
      </c>
      <c r="R242" s="12" t="s">
        <v>105</v>
      </c>
    </row>
    <row r="243" spans="1:18" x14ac:dyDescent="0.25">
      <c r="A243" s="92">
        <v>1141</v>
      </c>
      <c r="B243" s="93" t="s">
        <v>1566</v>
      </c>
      <c r="C243" s="93" t="str">
        <f t="shared" si="13"/>
        <v>Imnavait Site 02</v>
      </c>
      <c r="D243" s="94"/>
      <c r="E243" s="76"/>
      <c r="F243" s="95"/>
      <c r="G243" s="93" t="s">
        <v>619</v>
      </c>
      <c r="H243" s="93" t="s">
        <v>726</v>
      </c>
      <c r="I243" s="93"/>
      <c r="J243" s="76" t="s">
        <v>1567</v>
      </c>
      <c r="K243" s="73" t="str">
        <f t="shared" si="11"/>
        <v>View on Google Map</v>
      </c>
      <c r="R243" s="12" t="s">
        <v>676</v>
      </c>
    </row>
    <row r="244" spans="1:18" x14ac:dyDescent="0.25">
      <c r="A244" s="92">
        <v>1142</v>
      </c>
      <c r="B244" s="93" t="s">
        <v>1568</v>
      </c>
      <c r="C244" s="93" t="str">
        <f t="shared" si="13"/>
        <v>Imnavait Site 03</v>
      </c>
      <c r="D244" s="94"/>
      <c r="E244" s="76"/>
      <c r="F244" s="95"/>
      <c r="G244" s="93" t="s">
        <v>269</v>
      </c>
      <c r="H244" s="93" t="s">
        <v>622</v>
      </c>
      <c r="I244" s="93"/>
      <c r="J244" s="76" t="s">
        <v>1569</v>
      </c>
      <c r="K244" s="73" t="str">
        <f t="shared" si="11"/>
        <v>View on Google Map</v>
      </c>
      <c r="R244" s="12" t="s">
        <v>243</v>
      </c>
    </row>
    <row r="245" spans="1:18" x14ac:dyDescent="0.25">
      <c r="A245" s="92">
        <v>1143</v>
      </c>
      <c r="B245" s="93" t="s">
        <v>1570</v>
      </c>
      <c r="C245" s="93" t="str">
        <f t="shared" si="13"/>
        <v>Imnavait Upper</v>
      </c>
      <c r="D245" s="94"/>
      <c r="E245" s="76"/>
      <c r="F245" s="95"/>
      <c r="G245" s="93" t="s">
        <v>269</v>
      </c>
      <c r="H245" s="93" t="s">
        <v>622</v>
      </c>
      <c r="I245" s="93"/>
      <c r="J245" s="76" t="s">
        <v>946</v>
      </c>
      <c r="K245" s="73" t="str">
        <f t="shared" si="11"/>
        <v>View on Google Map</v>
      </c>
      <c r="R245" s="12" t="s">
        <v>244</v>
      </c>
    </row>
    <row r="246" spans="1:18" x14ac:dyDescent="0.25">
      <c r="A246" s="92">
        <v>1140</v>
      </c>
      <c r="B246" s="93" t="s">
        <v>951</v>
      </c>
      <c r="C246" s="93" t="str">
        <f t="shared" si="13"/>
        <v>Imnavait Weir</v>
      </c>
      <c r="D246" s="94">
        <v>68.617080999999999</v>
      </c>
      <c r="E246" s="76">
        <v>-149.31779900000001</v>
      </c>
      <c r="F246" s="95"/>
      <c r="G246" s="93" t="s">
        <v>619</v>
      </c>
      <c r="H246" s="93" t="s">
        <v>726</v>
      </c>
      <c r="I246" s="93"/>
      <c r="J246" s="76" t="s">
        <v>1139</v>
      </c>
      <c r="K246" s="73" t="str">
        <f t="shared" si="11"/>
        <v>View on Google Map</v>
      </c>
      <c r="R246" s="12" t="s">
        <v>669</v>
      </c>
    </row>
    <row r="247" spans="1:18" x14ac:dyDescent="0.25">
      <c r="A247" s="92">
        <v>1173</v>
      </c>
      <c r="B247" s="121" t="s">
        <v>1613</v>
      </c>
      <c r="C247" s="93" t="str">
        <f t="shared" si="13"/>
        <v>Imnavait WT 07 Weir</v>
      </c>
      <c r="D247" s="122"/>
      <c r="E247" s="76"/>
      <c r="F247" s="92"/>
      <c r="G247" s="93" t="s">
        <v>619</v>
      </c>
      <c r="H247" s="93" t="s">
        <v>625</v>
      </c>
      <c r="I247" s="93" t="s">
        <v>284</v>
      </c>
      <c r="J247" s="76" t="s">
        <v>1614</v>
      </c>
      <c r="K247" s="73" t="str">
        <f t="shared" si="11"/>
        <v>View on Google Map</v>
      </c>
      <c r="R247" s="12" t="s">
        <v>106</v>
      </c>
    </row>
    <row r="248" spans="1:18" x14ac:dyDescent="0.25">
      <c r="A248" s="92">
        <v>1144</v>
      </c>
      <c r="B248" s="93" t="s">
        <v>1571</v>
      </c>
      <c r="C248" s="93" t="str">
        <f t="shared" si="13"/>
        <v>Imnavait WT 07-01</v>
      </c>
      <c r="D248" s="94"/>
      <c r="E248" s="76"/>
      <c r="F248" s="95"/>
      <c r="G248" s="93" t="s">
        <v>269</v>
      </c>
      <c r="H248" s="93" t="s">
        <v>622</v>
      </c>
      <c r="I248" s="93"/>
      <c r="J248" s="76" t="s">
        <v>1571</v>
      </c>
      <c r="K248" s="73" t="str">
        <f t="shared" si="11"/>
        <v>View on Google Map</v>
      </c>
      <c r="R248" s="12" t="s">
        <v>698</v>
      </c>
    </row>
    <row r="249" spans="1:18" x14ac:dyDescent="0.25">
      <c r="A249" s="92">
        <v>1145</v>
      </c>
      <c r="B249" s="93" t="s">
        <v>1572</v>
      </c>
      <c r="C249" s="93" t="str">
        <f t="shared" si="13"/>
        <v>Imnavait WT 07-02</v>
      </c>
      <c r="D249" s="94"/>
      <c r="E249" s="76"/>
      <c r="F249" s="95"/>
      <c r="G249" s="93" t="s">
        <v>269</v>
      </c>
      <c r="H249" s="93" t="s">
        <v>622</v>
      </c>
      <c r="I249" s="93"/>
      <c r="J249" s="76" t="s">
        <v>1572</v>
      </c>
      <c r="K249" s="73" t="str">
        <f t="shared" si="11"/>
        <v>View on Google Map</v>
      </c>
      <c r="R249" s="12" t="s">
        <v>107</v>
      </c>
    </row>
    <row r="250" spans="1:18" x14ac:dyDescent="0.25">
      <c r="A250" s="92">
        <v>1146</v>
      </c>
      <c r="B250" s="93" t="s">
        <v>1573</v>
      </c>
      <c r="C250" s="93" t="str">
        <f t="shared" si="13"/>
        <v>Imnavait WT 07-03</v>
      </c>
      <c r="D250" s="94"/>
      <c r="E250" s="76"/>
      <c r="F250" s="95"/>
      <c r="G250" s="93" t="s">
        <v>619</v>
      </c>
      <c r="H250" s="93" t="s">
        <v>622</v>
      </c>
      <c r="I250" s="93"/>
      <c r="J250" s="76" t="s">
        <v>1573</v>
      </c>
      <c r="K250" s="73" t="str">
        <f t="shared" si="11"/>
        <v>View on Google Map</v>
      </c>
      <c r="R250" s="12" t="s">
        <v>684</v>
      </c>
    </row>
    <row r="251" spans="1:18" x14ac:dyDescent="0.25">
      <c r="A251" s="92">
        <v>1147</v>
      </c>
      <c r="B251" s="93" t="s">
        <v>1574</v>
      </c>
      <c r="C251" s="93" t="str">
        <f t="shared" si="13"/>
        <v>Imnavait WT 07-04</v>
      </c>
      <c r="D251" s="94"/>
      <c r="E251" s="76"/>
      <c r="F251" s="95"/>
      <c r="G251" s="93" t="s">
        <v>619</v>
      </c>
      <c r="H251" s="93" t="s">
        <v>622</v>
      </c>
      <c r="I251" s="93"/>
      <c r="J251" s="76" t="s">
        <v>1574</v>
      </c>
      <c r="K251" s="73" t="str">
        <f t="shared" si="11"/>
        <v>View on Google Map</v>
      </c>
      <c r="R251" s="12" t="s">
        <v>245</v>
      </c>
    </row>
    <row r="252" spans="1:18" x14ac:dyDescent="0.25">
      <c r="A252" s="92">
        <v>1148</v>
      </c>
      <c r="B252" s="98" t="s">
        <v>1575</v>
      </c>
      <c r="C252" s="93" t="str">
        <f t="shared" si="13"/>
        <v>Imnavait WT 08-01</v>
      </c>
      <c r="D252" s="94"/>
      <c r="E252" s="76"/>
      <c r="F252" s="95"/>
      <c r="G252" s="93" t="s">
        <v>619</v>
      </c>
      <c r="H252" s="93" t="s">
        <v>622</v>
      </c>
      <c r="I252" s="93"/>
      <c r="J252" s="76" t="s">
        <v>1576</v>
      </c>
      <c r="K252" s="73" t="str">
        <f t="shared" si="11"/>
        <v>View on Google Map</v>
      </c>
      <c r="R252" s="12" t="s">
        <v>246</v>
      </c>
    </row>
    <row r="253" spans="1:18" x14ac:dyDescent="0.25">
      <c r="A253" s="92">
        <v>1149</v>
      </c>
      <c r="B253" s="98" t="s">
        <v>1577</v>
      </c>
      <c r="C253" s="93" t="str">
        <f t="shared" si="13"/>
        <v>Imnavait WT 08-02</v>
      </c>
      <c r="D253" s="94"/>
      <c r="E253" s="76"/>
      <c r="F253" s="95"/>
      <c r="G253" s="93" t="s">
        <v>619</v>
      </c>
      <c r="H253" s="93" t="s">
        <v>622</v>
      </c>
      <c r="I253" s="93"/>
      <c r="J253" s="76" t="s">
        <v>1578</v>
      </c>
      <c r="K253" s="73" t="str">
        <f t="shared" si="11"/>
        <v>View on Google Map</v>
      </c>
      <c r="R253" s="12" t="s">
        <v>670</v>
      </c>
    </row>
    <row r="254" spans="1:18" x14ac:dyDescent="0.25">
      <c r="A254" s="92">
        <v>1150</v>
      </c>
      <c r="B254" s="98" t="s">
        <v>1579</v>
      </c>
      <c r="C254" s="93" t="str">
        <f t="shared" si="13"/>
        <v>Imnavait WT 08-03</v>
      </c>
      <c r="D254" s="94"/>
      <c r="E254" s="76"/>
      <c r="F254" s="95"/>
      <c r="G254" s="93" t="s">
        <v>619</v>
      </c>
      <c r="H254" s="93" t="s">
        <v>622</v>
      </c>
      <c r="I254" s="93"/>
      <c r="J254" s="76" t="s">
        <v>1580</v>
      </c>
      <c r="K254" s="73" t="str">
        <f t="shared" si="11"/>
        <v>View on Google Map</v>
      </c>
      <c r="R254" s="12" t="s">
        <v>247</v>
      </c>
    </row>
    <row r="255" spans="1:18" x14ac:dyDescent="0.25">
      <c r="A255" s="92">
        <v>1151</v>
      </c>
      <c r="B255" s="98" t="s">
        <v>1581</v>
      </c>
      <c r="C255" s="93" t="str">
        <f t="shared" si="13"/>
        <v>Imnavait WT 08-04</v>
      </c>
      <c r="D255" s="94"/>
      <c r="E255" s="76"/>
      <c r="F255" s="95"/>
      <c r="G255" s="93" t="s">
        <v>619</v>
      </c>
      <c r="H255" s="93" t="s">
        <v>622</v>
      </c>
      <c r="I255" s="93"/>
      <c r="J255" s="76" t="s">
        <v>1582</v>
      </c>
      <c r="K255" s="73" t="str">
        <f t="shared" si="11"/>
        <v>View on Google Map</v>
      </c>
      <c r="R255" s="12" t="s">
        <v>108</v>
      </c>
    </row>
    <row r="256" spans="1:18" x14ac:dyDescent="0.25">
      <c r="A256" s="92">
        <v>1152</v>
      </c>
      <c r="B256" s="98" t="s">
        <v>1583</v>
      </c>
      <c r="C256" s="93" t="str">
        <f t="shared" si="13"/>
        <v>Imnavait WT 08-05</v>
      </c>
      <c r="D256" s="94"/>
      <c r="E256" s="76"/>
      <c r="F256" s="95"/>
      <c r="G256" s="93" t="s">
        <v>619</v>
      </c>
      <c r="H256" s="93" t="s">
        <v>622</v>
      </c>
      <c r="I256" s="93"/>
      <c r="J256" s="76" t="s">
        <v>1584</v>
      </c>
      <c r="K256" s="73" t="str">
        <f t="shared" si="11"/>
        <v>View on Google Map</v>
      </c>
      <c r="R256" s="12" t="s">
        <v>109</v>
      </c>
    </row>
    <row r="257" spans="1:18" x14ac:dyDescent="0.25">
      <c r="A257" s="92">
        <v>1153</v>
      </c>
      <c r="B257" s="98" t="s">
        <v>1585</v>
      </c>
      <c r="C257" s="93" t="str">
        <f t="shared" si="13"/>
        <v>Imnavait WT 08-06</v>
      </c>
      <c r="D257" s="94"/>
      <c r="E257" s="76"/>
      <c r="F257" s="95"/>
      <c r="G257" s="93" t="s">
        <v>619</v>
      </c>
      <c r="H257" s="93" t="s">
        <v>622</v>
      </c>
      <c r="I257" s="93"/>
      <c r="J257" s="76" t="s">
        <v>1586</v>
      </c>
      <c r="K257" s="73" t="str">
        <f t="shared" si="11"/>
        <v>View on Google Map</v>
      </c>
      <c r="R257" s="12" t="s">
        <v>248</v>
      </c>
    </row>
    <row r="258" spans="1:18" x14ac:dyDescent="0.25">
      <c r="A258" s="92">
        <v>1154</v>
      </c>
      <c r="B258" s="98" t="s">
        <v>1587</v>
      </c>
      <c r="C258" s="93" t="str">
        <f t="shared" si="13"/>
        <v>Imnavait WT 08-07</v>
      </c>
      <c r="D258" s="94"/>
      <c r="E258" s="76"/>
      <c r="F258" s="95"/>
      <c r="G258" s="93" t="s">
        <v>619</v>
      </c>
      <c r="H258" s="93" t="s">
        <v>622</v>
      </c>
      <c r="I258" s="93"/>
      <c r="J258" s="76" t="s">
        <v>1588</v>
      </c>
      <c r="K258" s="73" t="str">
        <f t="shared" si="11"/>
        <v>View on Google Map</v>
      </c>
      <c r="R258" s="12" t="s">
        <v>249</v>
      </c>
    </row>
    <row r="259" spans="1:18" x14ac:dyDescent="0.25">
      <c r="A259" s="92">
        <v>1155</v>
      </c>
      <c r="B259" s="98" t="s">
        <v>1589</v>
      </c>
      <c r="C259" s="93" t="str">
        <f t="shared" si="13"/>
        <v>Imnavait WT 08-08</v>
      </c>
      <c r="D259" s="94"/>
      <c r="E259" s="76"/>
      <c r="F259" s="95"/>
      <c r="G259" s="93" t="s">
        <v>619</v>
      </c>
      <c r="H259" s="93" t="s">
        <v>622</v>
      </c>
      <c r="I259" s="93"/>
      <c r="J259" s="76" t="s">
        <v>1590</v>
      </c>
      <c r="K259" s="73" t="str">
        <f t="shared" ref="K259:K322" si="14">HYPERLINK("http://maps.google.com/maps?q="&amp;D259&amp;","&amp;E259,"View on Google Map")</f>
        <v>View on Google Map</v>
      </c>
      <c r="R259" s="12" t="s">
        <v>250</v>
      </c>
    </row>
    <row r="260" spans="1:18" x14ac:dyDescent="0.25">
      <c r="A260" s="92">
        <v>1156</v>
      </c>
      <c r="B260" s="98" t="s">
        <v>1591</v>
      </c>
      <c r="C260" s="93" t="str">
        <f t="shared" si="13"/>
        <v>Imnavait WT 08-09</v>
      </c>
      <c r="D260" s="94"/>
      <c r="E260" s="76"/>
      <c r="F260" s="95"/>
      <c r="G260" s="93" t="s">
        <v>619</v>
      </c>
      <c r="H260" s="93" t="s">
        <v>622</v>
      </c>
      <c r="I260" s="93"/>
      <c r="J260" s="76" t="s">
        <v>1592</v>
      </c>
      <c r="K260" s="73" t="str">
        <f t="shared" si="14"/>
        <v>View on Google Map</v>
      </c>
    </row>
    <row r="261" spans="1:18" x14ac:dyDescent="0.25">
      <c r="A261" s="92">
        <v>1157</v>
      </c>
      <c r="B261" s="98" t="s">
        <v>1593</v>
      </c>
      <c r="C261" s="93" t="str">
        <f t="shared" si="13"/>
        <v>Imnavait WT 08-10</v>
      </c>
      <c r="D261" s="94"/>
      <c r="E261" s="76"/>
      <c r="F261" s="95"/>
      <c r="G261" s="93" t="s">
        <v>619</v>
      </c>
      <c r="H261" s="93" t="s">
        <v>622</v>
      </c>
      <c r="I261" s="93"/>
      <c r="J261" s="76" t="s">
        <v>1594</v>
      </c>
      <c r="K261" s="73" t="str">
        <f t="shared" si="14"/>
        <v>View on Google Map</v>
      </c>
    </row>
    <row r="262" spans="1:18" x14ac:dyDescent="0.25">
      <c r="A262" s="92">
        <v>1158</v>
      </c>
      <c r="B262" s="98" t="s">
        <v>1595</v>
      </c>
      <c r="C262" s="93" t="str">
        <f t="shared" si="13"/>
        <v>Imnavait WT 08-11</v>
      </c>
      <c r="D262" s="94"/>
      <c r="E262" s="76"/>
      <c r="F262" s="95"/>
      <c r="G262" s="93" t="s">
        <v>619</v>
      </c>
      <c r="H262" s="93" t="s">
        <v>622</v>
      </c>
      <c r="I262" s="93"/>
      <c r="J262" s="76" t="s">
        <v>1596</v>
      </c>
      <c r="K262" s="73" t="str">
        <f t="shared" si="14"/>
        <v>View on Google Map</v>
      </c>
    </row>
    <row r="263" spans="1:18" x14ac:dyDescent="0.25">
      <c r="A263" s="92">
        <v>1159</v>
      </c>
      <c r="B263" s="98" t="s">
        <v>1597</v>
      </c>
      <c r="C263" s="93" t="str">
        <f t="shared" si="13"/>
        <v>Imnavait WT 08-12</v>
      </c>
      <c r="D263" s="94"/>
      <c r="E263" s="76"/>
      <c r="F263" s="95"/>
      <c r="G263" s="93" t="s">
        <v>619</v>
      </c>
      <c r="H263" s="93" t="s">
        <v>622</v>
      </c>
      <c r="I263" s="93"/>
      <c r="J263" s="76" t="s">
        <v>1598</v>
      </c>
      <c r="K263" s="73" t="str">
        <f t="shared" si="14"/>
        <v>View on Google Map</v>
      </c>
    </row>
    <row r="264" spans="1:18" x14ac:dyDescent="0.25">
      <c r="A264" s="92">
        <v>1160</v>
      </c>
      <c r="B264" s="98" t="s">
        <v>1599</v>
      </c>
      <c r="C264" s="93" t="str">
        <f t="shared" si="13"/>
        <v>Imnavait WT 08-13</v>
      </c>
      <c r="D264" s="94"/>
      <c r="E264" s="76"/>
      <c r="F264" s="95"/>
      <c r="G264" s="93" t="s">
        <v>619</v>
      </c>
      <c r="H264" s="93" t="s">
        <v>622</v>
      </c>
      <c r="I264" s="93"/>
      <c r="J264" s="76" t="s">
        <v>1600</v>
      </c>
      <c r="K264" s="73" t="str">
        <f t="shared" si="14"/>
        <v>View on Google Map</v>
      </c>
    </row>
    <row r="265" spans="1:18" x14ac:dyDescent="0.25">
      <c r="A265" s="92">
        <v>1161</v>
      </c>
      <c r="B265" s="98" t="s">
        <v>1601</v>
      </c>
      <c r="C265" s="93" t="str">
        <f t="shared" si="13"/>
        <v>Imnavait WT 08-14</v>
      </c>
      <c r="D265" s="94"/>
      <c r="E265" s="76"/>
      <c r="F265" s="95"/>
      <c r="G265" s="93" t="s">
        <v>619</v>
      </c>
      <c r="H265" s="93" t="s">
        <v>622</v>
      </c>
      <c r="I265" s="93"/>
      <c r="J265" s="76" t="s">
        <v>1602</v>
      </c>
      <c r="K265" s="73" t="str">
        <f t="shared" si="14"/>
        <v>View on Google Map</v>
      </c>
    </row>
    <row r="266" spans="1:18" x14ac:dyDescent="0.25">
      <c r="A266" s="92">
        <v>1162</v>
      </c>
      <c r="B266" s="97" t="s">
        <v>1603</v>
      </c>
      <c r="C266" s="93" t="str">
        <f t="shared" si="13"/>
        <v>Imnavait WT 08-15</v>
      </c>
      <c r="D266" s="94"/>
      <c r="E266" s="76"/>
      <c r="F266" s="95"/>
      <c r="G266" s="93" t="s">
        <v>619</v>
      </c>
      <c r="H266" s="93" t="s">
        <v>622</v>
      </c>
      <c r="I266" s="93"/>
      <c r="J266" s="76" t="s">
        <v>1604</v>
      </c>
      <c r="K266" s="73" t="str">
        <f t="shared" si="14"/>
        <v>View on Google Map</v>
      </c>
    </row>
    <row r="267" spans="1:18" x14ac:dyDescent="0.25">
      <c r="A267" s="92">
        <v>1163</v>
      </c>
      <c r="B267" s="97" t="s">
        <v>1605</v>
      </c>
      <c r="C267" s="93" t="str">
        <f t="shared" si="13"/>
        <v>Imnavait WT 08-16</v>
      </c>
      <c r="D267" s="94"/>
      <c r="E267" s="76"/>
      <c r="F267" s="95"/>
      <c r="G267" s="93" t="s">
        <v>619</v>
      </c>
      <c r="H267" s="93" t="s">
        <v>622</v>
      </c>
      <c r="I267" s="93"/>
      <c r="J267" s="76" t="s">
        <v>1606</v>
      </c>
      <c r="K267" s="73" t="str">
        <f t="shared" si="14"/>
        <v>View on Google Map</v>
      </c>
    </row>
    <row r="268" spans="1:18" x14ac:dyDescent="0.25">
      <c r="A268" s="92">
        <v>1164</v>
      </c>
      <c r="B268" s="97" t="s">
        <v>1607</v>
      </c>
      <c r="C268" s="93" t="str">
        <f t="shared" si="13"/>
        <v>Imnavait WT 08-17</v>
      </c>
      <c r="D268" s="94"/>
      <c r="E268" s="76"/>
      <c r="F268" s="95"/>
      <c r="G268" s="93" t="s">
        <v>619</v>
      </c>
      <c r="H268" s="93" t="s">
        <v>622</v>
      </c>
      <c r="I268" s="93"/>
      <c r="J268" s="76" t="s">
        <v>1608</v>
      </c>
      <c r="K268" s="73" t="str">
        <f t="shared" si="14"/>
        <v>View on Google Map</v>
      </c>
    </row>
    <row r="269" spans="1:18" x14ac:dyDescent="0.25">
      <c r="A269" s="92">
        <v>1165</v>
      </c>
      <c r="B269" s="93" t="s">
        <v>1609</v>
      </c>
      <c r="C269" s="93" t="s">
        <v>623</v>
      </c>
      <c r="D269" s="94"/>
      <c r="E269" s="76"/>
      <c r="F269" s="95"/>
      <c r="G269" s="93" t="s">
        <v>619</v>
      </c>
      <c r="H269" s="93" t="s">
        <v>622</v>
      </c>
      <c r="I269" s="93"/>
      <c r="J269" s="76" t="s">
        <v>1609</v>
      </c>
      <c r="K269" s="73" t="str">
        <f t="shared" si="14"/>
        <v>View on Google Map</v>
      </c>
    </row>
    <row r="270" spans="1:18" x14ac:dyDescent="0.25">
      <c r="A270" s="92">
        <v>1166</v>
      </c>
      <c r="B270" s="93" t="s">
        <v>1610</v>
      </c>
      <c r="C270" s="93" t="s">
        <v>623</v>
      </c>
      <c r="D270" s="94"/>
      <c r="E270" s="76"/>
      <c r="F270" s="95"/>
      <c r="G270" s="93" t="s">
        <v>619</v>
      </c>
      <c r="H270" s="93" t="s">
        <v>622</v>
      </c>
      <c r="I270" s="93"/>
      <c r="J270" s="76" t="s">
        <v>1610</v>
      </c>
      <c r="K270" s="73" t="str">
        <f t="shared" si="14"/>
        <v>View on Google Map</v>
      </c>
    </row>
    <row r="271" spans="1:18" x14ac:dyDescent="0.25">
      <c r="A271" s="92">
        <v>1167</v>
      </c>
      <c r="B271" s="93" t="s">
        <v>1611</v>
      </c>
      <c r="C271" s="93" t="s">
        <v>623</v>
      </c>
      <c r="D271" s="94"/>
      <c r="E271" s="76"/>
      <c r="F271" s="95"/>
      <c r="G271" s="93" t="s">
        <v>619</v>
      </c>
      <c r="H271" s="93" t="s">
        <v>624</v>
      </c>
      <c r="I271" s="93"/>
      <c r="J271" s="76" t="s">
        <v>1611</v>
      </c>
      <c r="K271" s="73" t="str">
        <f t="shared" si="14"/>
        <v>View on Google Map</v>
      </c>
    </row>
    <row r="272" spans="1:18" x14ac:dyDescent="0.25">
      <c r="A272" s="92">
        <v>1168</v>
      </c>
      <c r="B272" s="93" t="s">
        <v>1612</v>
      </c>
      <c r="C272" s="93" t="s">
        <v>623</v>
      </c>
      <c r="D272" s="94"/>
      <c r="E272" s="76"/>
      <c r="F272" s="95"/>
      <c r="G272" s="93" t="s">
        <v>619</v>
      </c>
      <c r="H272" s="93" t="s">
        <v>624</v>
      </c>
      <c r="I272" s="93"/>
      <c r="J272" s="76" t="s">
        <v>1612</v>
      </c>
      <c r="K272" s="73" t="str">
        <f t="shared" si="14"/>
        <v>View on Google Map</v>
      </c>
    </row>
    <row r="273" spans="1:11" x14ac:dyDescent="0.25">
      <c r="A273" s="92">
        <v>125</v>
      </c>
      <c r="B273" s="93" t="s">
        <v>324</v>
      </c>
      <c r="C273" s="93" t="str">
        <f>B273</f>
        <v>Island Lake</v>
      </c>
      <c r="D273" s="94">
        <v>68.52364</v>
      </c>
      <c r="E273" s="76">
        <v>-149.48141000000001</v>
      </c>
      <c r="F273" s="95">
        <v>881</v>
      </c>
      <c r="G273" s="93" t="s">
        <v>301</v>
      </c>
      <c r="H273" s="93" t="s">
        <v>726</v>
      </c>
      <c r="I273" s="93" t="s">
        <v>272</v>
      </c>
      <c r="J273" s="76" t="s">
        <v>1140</v>
      </c>
      <c r="K273" s="73" t="str">
        <f t="shared" si="14"/>
        <v>View on Google Map</v>
      </c>
    </row>
    <row r="274" spans="1:11" x14ac:dyDescent="0.25">
      <c r="A274" s="92">
        <v>110</v>
      </c>
      <c r="B274" s="93" t="s">
        <v>311</v>
      </c>
      <c r="C274" s="93" t="str">
        <f>B274</f>
        <v>Itigaknit Lake</v>
      </c>
      <c r="D274" s="93">
        <v>68.687380000000005</v>
      </c>
      <c r="E274" s="76">
        <v>-149.67458999999999</v>
      </c>
      <c r="F274" s="95">
        <v>747</v>
      </c>
      <c r="G274" s="93" t="s">
        <v>301</v>
      </c>
      <c r="H274" s="93" t="s">
        <v>726</v>
      </c>
      <c r="I274" s="93"/>
      <c r="J274" s="76" t="s">
        <v>1141</v>
      </c>
      <c r="K274" s="73" t="str">
        <f t="shared" si="14"/>
        <v>View on Google Map</v>
      </c>
    </row>
    <row r="275" spans="1:11" x14ac:dyDescent="0.25">
      <c r="A275" s="92">
        <v>159</v>
      </c>
      <c r="B275" s="93" t="s">
        <v>361</v>
      </c>
      <c r="C275" s="93" t="str">
        <f>B275</f>
        <v>Itkillik Lake</v>
      </c>
      <c r="D275" s="94">
        <v>68.403739999999999</v>
      </c>
      <c r="E275" s="76">
        <v>-149.92167000000001</v>
      </c>
      <c r="F275" s="95">
        <v>681</v>
      </c>
      <c r="G275" s="93" t="s">
        <v>301</v>
      </c>
      <c r="H275" s="93" t="s">
        <v>726</v>
      </c>
      <c r="I275" s="93" t="s">
        <v>272</v>
      </c>
      <c r="J275" s="76" t="s">
        <v>1142</v>
      </c>
      <c r="K275" s="73" t="str">
        <f t="shared" si="14"/>
        <v>View on Google Map</v>
      </c>
    </row>
    <row r="276" spans="1:11" x14ac:dyDescent="0.25">
      <c r="A276" s="92">
        <v>32</v>
      </c>
      <c r="B276" s="100" t="s">
        <v>285</v>
      </c>
      <c r="C276" s="93" t="str">
        <f>B276</f>
        <v>Itkillik Tributary-Burned</v>
      </c>
      <c r="D276" s="99">
        <v>68.933499999999995</v>
      </c>
      <c r="E276" s="76">
        <v>-150.30600000000001</v>
      </c>
      <c r="F276" s="92"/>
      <c r="G276" s="93" t="s">
        <v>269</v>
      </c>
      <c r="H276" s="93" t="s">
        <v>283</v>
      </c>
      <c r="I276" s="93" t="s">
        <v>284</v>
      </c>
      <c r="J276" s="76" t="s">
        <v>1143</v>
      </c>
      <c r="K276" s="73" t="str">
        <f t="shared" si="14"/>
        <v>View on Google Map</v>
      </c>
    </row>
    <row r="277" spans="1:11" x14ac:dyDescent="0.25">
      <c r="A277" s="92">
        <v>33</v>
      </c>
      <c r="B277" s="100" t="s">
        <v>286</v>
      </c>
      <c r="C277" s="93" t="str">
        <f>B277</f>
        <v>Itkillik Tributary-Unburned</v>
      </c>
      <c r="D277" s="99">
        <v>68.908000000000001</v>
      </c>
      <c r="E277" s="76">
        <v>-150.114</v>
      </c>
      <c r="F277" s="92"/>
      <c r="G277" s="93" t="s">
        <v>269</v>
      </c>
      <c r="H277" s="93" t="s">
        <v>283</v>
      </c>
      <c r="I277" s="93" t="s">
        <v>284</v>
      </c>
      <c r="J277" s="76" t="s">
        <v>1144</v>
      </c>
      <c r="K277" s="73" t="str">
        <f t="shared" si="14"/>
        <v>View on Google Map</v>
      </c>
    </row>
    <row r="278" spans="1:11" x14ac:dyDescent="0.25">
      <c r="A278" s="92">
        <v>616</v>
      </c>
      <c r="B278" s="93" t="s">
        <v>1661</v>
      </c>
      <c r="C278" t="s">
        <v>1662</v>
      </c>
      <c r="D278" s="127">
        <v>68.622816666666665</v>
      </c>
      <c r="E278" s="127">
        <v>-149.64493333333334</v>
      </c>
      <c r="G278" s="93" t="s">
        <v>301</v>
      </c>
      <c r="H278" s="93" t="s">
        <v>1654</v>
      </c>
      <c r="K278" s="73" t="str">
        <f t="shared" si="14"/>
        <v>View on Google Map</v>
      </c>
    </row>
    <row r="279" spans="1:11" x14ac:dyDescent="0.25">
      <c r="A279" s="124">
        <v>1255</v>
      </c>
      <c r="B279" s="97" t="s">
        <v>754</v>
      </c>
      <c r="C279" s="93" t="str">
        <f>B279</f>
        <v>Kavik</v>
      </c>
      <c r="D279" s="125">
        <v>69.676079999999999</v>
      </c>
      <c r="E279" s="76">
        <v>-146.90526</v>
      </c>
      <c r="F279" s="115">
        <v>216</v>
      </c>
      <c r="G279" s="97"/>
      <c r="H279" s="97" t="s">
        <v>730</v>
      </c>
      <c r="I279" s="97"/>
      <c r="J279" s="76" t="s">
        <v>946</v>
      </c>
      <c r="K279" s="73" t="str">
        <f t="shared" si="14"/>
        <v>View on Google Map</v>
      </c>
    </row>
    <row r="280" spans="1:11" x14ac:dyDescent="0.25">
      <c r="A280" s="92">
        <v>1</v>
      </c>
      <c r="B280" s="93" t="s">
        <v>952</v>
      </c>
      <c r="C280" s="93" t="str">
        <f>B280</f>
        <v>Kuparuk River</v>
      </c>
      <c r="D280" s="94">
        <v>68.648159000000007</v>
      </c>
      <c r="E280" s="94">
        <v>-149.411517</v>
      </c>
      <c r="F280" s="95">
        <v>731</v>
      </c>
      <c r="G280" s="93" t="s">
        <v>269</v>
      </c>
      <c r="H280" s="93" t="s">
        <v>726</v>
      </c>
      <c r="I280" s="93"/>
      <c r="J280" s="76" t="s">
        <v>1145</v>
      </c>
      <c r="K280" s="73" t="str">
        <f t="shared" si="14"/>
        <v>View on Google Map</v>
      </c>
    </row>
    <row r="281" spans="1:11" x14ac:dyDescent="0.25">
      <c r="A281" s="92">
        <v>19</v>
      </c>
      <c r="B281" s="93" t="s">
        <v>1361</v>
      </c>
      <c r="C281" s="93" t="str">
        <f>B281</f>
        <v>Kuparuk River Ice Field</v>
      </c>
      <c r="D281" s="94"/>
      <c r="E281" s="76"/>
      <c r="F281" s="95"/>
      <c r="G281" s="93" t="s">
        <v>269</v>
      </c>
      <c r="H281" s="93" t="s">
        <v>726</v>
      </c>
      <c r="I281" s="93"/>
      <c r="J281" s="76" t="s">
        <v>1362</v>
      </c>
      <c r="K281" s="73" t="str">
        <f t="shared" si="14"/>
        <v>View on Google Map</v>
      </c>
    </row>
    <row r="282" spans="1:11" x14ac:dyDescent="0.25">
      <c r="A282" s="92">
        <v>16</v>
      </c>
      <c r="B282" s="93" t="s">
        <v>1360</v>
      </c>
      <c r="C282" s="93" t="str">
        <f>B282</f>
        <v>Kuparuk Spring</v>
      </c>
      <c r="D282" s="94"/>
      <c r="E282" s="76"/>
      <c r="F282" s="95"/>
      <c r="G282" s="93" t="s">
        <v>269</v>
      </c>
      <c r="H282" s="93" t="s">
        <v>726</v>
      </c>
      <c r="I282" s="93"/>
      <c r="J282" s="76" t="s">
        <v>946</v>
      </c>
      <c r="K282" s="73" t="str">
        <f t="shared" si="14"/>
        <v>View on Google Map</v>
      </c>
    </row>
    <row r="283" spans="1:11" x14ac:dyDescent="0.25">
      <c r="A283" s="102">
        <v>1198</v>
      </c>
      <c r="B283" s="123" t="s">
        <v>648</v>
      </c>
      <c r="C283" s="101" t="s">
        <v>647</v>
      </c>
      <c r="D283" s="99">
        <v>69.297460909999998</v>
      </c>
      <c r="E283" s="76">
        <v>-150.32340117999999</v>
      </c>
      <c r="F283" s="92"/>
      <c r="G283" s="93" t="s">
        <v>619</v>
      </c>
      <c r="H283" s="93" t="s">
        <v>625</v>
      </c>
      <c r="I283" s="93" t="s">
        <v>284</v>
      </c>
      <c r="J283" s="76" t="s">
        <v>946</v>
      </c>
      <c r="K283" s="73" t="str">
        <f t="shared" si="14"/>
        <v>View on Google Map</v>
      </c>
    </row>
    <row r="284" spans="1:11" x14ac:dyDescent="0.25">
      <c r="A284" s="102">
        <v>1237</v>
      </c>
      <c r="B284" s="93" t="s">
        <v>755</v>
      </c>
      <c r="C284" s="93" t="str">
        <f t="shared" ref="C284:C299" si="15">B284</f>
        <v>Lake 395</v>
      </c>
      <c r="D284" s="93">
        <v>68.525921740300006</v>
      </c>
      <c r="E284" s="76">
        <v>-149.54287363700001</v>
      </c>
      <c r="F284" s="92">
        <v>864</v>
      </c>
      <c r="G284" s="93"/>
      <c r="H284" s="93" t="s">
        <v>730</v>
      </c>
      <c r="I284" s="93"/>
      <c r="J284" s="76" t="s">
        <v>946</v>
      </c>
      <c r="K284" s="73" t="str">
        <f t="shared" si="14"/>
        <v>View on Google Map</v>
      </c>
    </row>
    <row r="285" spans="1:11" x14ac:dyDescent="0.25">
      <c r="A285" s="102">
        <v>1238</v>
      </c>
      <c r="B285" s="93" t="s">
        <v>756</v>
      </c>
      <c r="C285" s="93" t="str">
        <f t="shared" si="15"/>
        <v>Lake 395 Inlet</v>
      </c>
      <c r="D285" s="93">
        <v>68.526675410799996</v>
      </c>
      <c r="E285" s="76">
        <v>-149.54229726099999</v>
      </c>
      <c r="F285" s="92">
        <v>865</v>
      </c>
      <c r="G285" s="93"/>
      <c r="H285" s="93" t="s">
        <v>730</v>
      </c>
      <c r="I285" s="93"/>
      <c r="J285" s="76" t="s">
        <v>946</v>
      </c>
      <c r="K285" s="73" t="str">
        <f t="shared" si="14"/>
        <v>View on Google Map</v>
      </c>
    </row>
    <row r="286" spans="1:11" x14ac:dyDescent="0.25">
      <c r="A286" s="102">
        <v>1239</v>
      </c>
      <c r="B286" s="93" t="s">
        <v>757</v>
      </c>
      <c r="C286" s="93" t="str">
        <f t="shared" si="15"/>
        <v>Lake 395 thermokarst</v>
      </c>
      <c r="D286" s="93">
        <v>68.525780073299998</v>
      </c>
      <c r="E286" s="76">
        <v>-149.54452330699999</v>
      </c>
      <c r="F286" s="92">
        <v>873</v>
      </c>
      <c r="G286" s="93"/>
      <c r="H286" s="93" t="s">
        <v>730</v>
      </c>
      <c r="I286" s="93"/>
      <c r="J286" s="76" t="s">
        <v>946</v>
      </c>
      <c r="K286" s="73" t="str">
        <f t="shared" si="14"/>
        <v>View on Google Map</v>
      </c>
    </row>
    <row r="287" spans="1:11" x14ac:dyDescent="0.25">
      <c r="A287" s="92">
        <v>135</v>
      </c>
      <c r="B287" s="93" t="s">
        <v>335</v>
      </c>
      <c r="C287" s="93" t="str">
        <f t="shared" si="15"/>
        <v>Lake Africa</v>
      </c>
      <c r="D287" s="94">
        <v>70.333330000000004</v>
      </c>
      <c r="E287" s="76">
        <v>-148.80000000000001</v>
      </c>
      <c r="F287" s="95">
        <v>4</v>
      </c>
      <c r="G287" s="93" t="s">
        <v>301</v>
      </c>
      <c r="H287" s="93" t="s">
        <v>726</v>
      </c>
      <c r="I287" s="93" t="s">
        <v>272</v>
      </c>
      <c r="J287" s="76" t="s">
        <v>1146</v>
      </c>
      <c r="K287" s="73" t="str">
        <f t="shared" si="14"/>
        <v>View on Google Map</v>
      </c>
    </row>
    <row r="288" spans="1:11" x14ac:dyDescent="0.25">
      <c r="A288" s="92">
        <v>126</v>
      </c>
      <c r="B288" s="93" t="s">
        <v>325</v>
      </c>
      <c r="C288" s="93" t="str">
        <f t="shared" si="15"/>
        <v>Lake Anne</v>
      </c>
      <c r="D288" s="94">
        <v>68.730621499999998</v>
      </c>
      <c r="E288" s="76">
        <v>-148.92929599999999</v>
      </c>
      <c r="F288" s="95">
        <v>556</v>
      </c>
      <c r="G288" s="93" t="s">
        <v>301</v>
      </c>
      <c r="H288" s="93" t="s">
        <v>726</v>
      </c>
      <c r="I288" s="93" t="s">
        <v>272</v>
      </c>
      <c r="J288" s="76" t="s">
        <v>1147</v>
      </c>
      <c r="K288" s="73" t="str">
        <f t="shared" si="14"/>
        <v>View on Google Map</v>
      </c>
    </row>
    <row r="289" spans="1:11" x14ac:dyDescent="0.25">
      <c r="A289" s="92">
        <v>134</v>
      </c>
      <c r="B289" s="93" t="s">
        <v>334</v>
      </c>
      <c r="C289" s="93" t="str">
        <f t="shared" si="15"/>
        <v>Lake Carolyn</v>
      </c>
      <c r="D289" s="94">
        <v>70.349999999999994</v>
      </c>
      <c r="E289" s="76">
        <v>-148.58332999999999</v>
      </c>
      <c r="F289" s="95">
        <v>2</v>
      </c>
      <c r="G289" s="93" t="s">
        <v>301</v>
      </c>
      <c r="H289" s="93" t="s">
        <v>726</v>
      </c>
      <c r="I289" s="93" t="s">
        <v>272</v>
      </c>
      <c r="J289" s="76" t="s">
        <v>1148</v>
      </c>
      <c r="K289" s="73" t="str">
        <f t="shared" si="14"/>
        <v>View on Google Map</v>
      </c>
    </row>
    <row r="290" spans="1:11" x14ac:dyDescent="0.25">
      <c r="A290" s="92">
        <v>128</v>
      </c>
      <c r="B290" s="93" t="s">
        <v>327</v>
      </c>
      <c r="C290" s="93" t="str">
        <f t="shared" si="15"/>
        <v>Lake Charles</v>
      </c>
      <c r="D290" s="94">
        <v>69.033330000000007</v>
      </c>
      <c r="E290" s="76">
        <v>-148.85</v>
      </c>
      <c r="F290" s="95">
        <v>319</v>
      </c>
      <c r="G290" s="93" t="s">
        <v>301</v>
      </c>
      <c r="H290" s="93" t="s">
        <v>726</v>
      </c>
      <c r="I290" s="93" t="s">
        <v>272</v>
      </c>
      <c r="J290" s="76" t="s">
        <v>1149</v>
      </c>
      <c r="K290" s="73" t="str">
        <f t="shared" si="14"/>
        <v>View on Google Map</v>
      </c>
    </row>
    <row r="291" spans="1:11" x14ac:dyDescent="0.25">
      <c r="A291" s="92">
        <v>139</v>
      </c>
      <c r="B291" s="93" t="s">
        <v>339</v>
      </c>
      <c r="C291" s="93" t="str">
        <f t="shared" si="15"/>
        <v>Lake Colleen</v>
      </c>
      <c r="D291" s="94">
        <v>70.216669999999993</v>
      </c>
      <c r="E291" s="76">
        <v>-148.46666999999999</v>
      </c>
      <c r="F291" s="95">
        <v>15</v>
      </c>
      <c r="G291" s="93" t="s">
        <v>301</v>
      </c>
      <c r="H291" s="93" t="s">
        <v>726</v>
      </c>
      <c r="I291" s="93" t="s">
        <v>272</v>
      </c>
      <c r="J291" s="76" t="s">
        <v>1150</v>
      </c>
      <c r="K291" s="73" t="str">
        <f t="shared" si="14"/>
        <v>View on Google Map</v>
      </c>
    </row>
    <row r="292" spans="1:11" x14ac:dyDescent="0.25">
      <c r="A292" s="92">
        <v>127</v>
      </c>
      <c r="B292" s="93" t="s">
        <v>326</v>
      </c>
      <c r="C292" s="93" t="str">
        <f t="shared" si="15"/>
        <v>Lake George</v>
      </c>
      <c r="D292" s="94">
        <v>68.730310099999997</v>
      </c>
      <c r="E292" s="76">
        <v>-148.96666999999999</v>
      </c>
      <c r="F292" s="95">
        <v>597</v>
      </c>
      <c r="G292" s="93" t="s">
        <v>301</v>
      </c>
      <c r="H292" s="93" t="s">
        <v>726</v>
      </c>
      <c r="I292" s="93" t="s">
        <v>272</v>
      </c>
      <c r="J292" s="76" t="s">
        <v>1151</v>
      </c>
      <c r="K292" s="73" t="str">
        <f t="shared" si="14"/>
        <v>View on Google Map</v>
      </c>
    </row>
    <row r="293" spans="1:11" x14ac:dyDescent="0.25">
      <c r="A293" s="92">
        <v>133</v>
      </c>
      <c r="B293" s="93" t="s">
        <v>333</v>
      </c>
      <c r="C293" s="93" t="str">
        <f t="shared" si="15"/>
        <v>Lake Maxine</v>
      </c>
      <c r="D293" s="94">
        <v>70.366669999999999</v>
      </c>
      <c r="E293" s="76">
        <v>-148.5</v>
      </c>
      <c r="F293" s="95">
        <v>2</v>
      </c>
      <c r="G293" s="93" t="s">
        <v>301</v>
      </c>
      <c r="H293" s="93" t="s">
        <v>726</v>
      </c>
      <c r="I293" s="93" t="s">
        <v>272</v>
      </c>
      <c r="J293" s="76" t="s">
        <v>1152</v>
      </c>
      <c r="K293" s="73" t="str">
        <f t="shared" si="14"/>
        <v>View on Google Map</v>
      </c>
    </row>
    <row r="294" spans="1:11" x14ac:dyDescent="0.25">
      <c r="A294" s="92">
        <v>140</v>
      </c>
      <c r="B294" s="93" t="s">
        <v>340</v>
      </c>
      <c r="C294" s="93" t="str">
        <f t="shared" si="15"/>
        <v>Lake William</v>
      </c>
      <c r="D294" s="94">
        <v>69.583330000000004</v>
      </c>
      <c r="E294" s="76">
        <v>-148.63333</v>
      </c>
      <c r="F294" s="95">
        <v>145</v>
      </c>
      <c r="G294" s="93" t="s">
        <v>301</v>
      </c>
      <c r="H294" s="93" t="s">
        <v>726</v>
      </c>
      <c r="I294" s="93" t="s">
        <v>272</v>
      </c>
      <c r="J294" s="76" t="s">
        <v>1153</v>
      </c>
      <c r="K294" s="73" t="str">
        <f t="shared" si="14"/>
        <v>View on Google Map</v>
      </c>
    </row>
    <row r="295" spans="1:11" x14ac:dyDescent="0.25">
      <c r="A295" s="96">
        <v>602</v>
      </c>
      <c r="B295" s="116" t="s">
        <v>758</v>
      </c>
      <c r="C295" s="93" t="str">
        <f t="shared" si="15"/>
        <v>LHS 1-12</v>
      </c>
      <c r="D295" s="114">
        <v>70.236509999999996</v>
      </c>
      <c r="E295" s="76">
        <v>-148.87983</v>
      </c>
      <c r="F295" s="115">
        <v>18</v>
      </c>
      <c r="G295" s="97" t="s">
        <v>301</v>
      </c>
      <c r="H295" s="97" t="s">
        <v>730</v>
      </c>
      <c r="I295" s="97" t="s">
        <v>759</v>
      </c>
      <c r="J295" s="76" t="s">
        <v>946</v>
      </c>
      <c r="K295" s="73" t="str">
        <f t="shared" si="14"/>
        <v>View on Google Map</v>
      </c>
    </row>
    <row r="296" spans="1:11" x14ac:dyDescent="0.25">
      <c r="A296" s="96">
        <v>603</v>
      </c>
      <c r="B296" s="116" t="s">
        <v>760</v>
      </c>
      <c r="C296" s="93" t="str">
        <f t="shared" si="15"/>
        <v>LHS 1-13</v>
      </c>
      <c r="D296" s="114">
        <v>70.247699999999995</v>
      </c>
      <c r="E296" s="76">
        <v>-148.89203000000001</v>
      </c>
      <c r="F296" s="115">
        <v>17</v>
      </c>
      <c r="G296" s="97" t="s">
        <v>301</v>
      </c>
      <c r="H296" s="97" t="s">
        <v>730</v>
      </c>
      <c r="I296" s="97" t="s">
        <v>759</v>
      </c>
      <c r="J296" s="76" t="s">
        <v>946</v>
      </c>
      <c r="K296" s="73" t="str">
        <f t="shared" si="14"/>
        <v>View on Google Map</v>
      </c>
    </row>
    <row r="297" spans="1:11" x14ac:dyDescent="0.25">
      <c r="A297" s="96">
        <v>597</v>
      </c>
      <c r="B297" s="116" t="s">
        <v>761</v>
      </c>
      <c r="C297" s="93" t="str">
        <f t="shared" si="15"/>
        <v>LHS 2-01</v>
      </c>
      <c r="D297" s="114">
        <v>69.227289999999996</v>
      </c>
      <c r="E297" s="76">
        <v>-151.14760000000001</v>
      </c>
      <c r="F297" s="115">
        <v>181</v>
      </c>
      <c r="G297" s="97" t="s">
        <v>301</v>
      </c>
      <c r="H297" s="97" t="s">
        <v>730</v>
      </c>
      <c r="I297" s="97" t="s">
        <v>759</v>
      </c>
      <c r="J297" s="76" t="s">
        <v>946</v>
      </c>
      <c r="K297" s="73" t="str">
        <f t="shared" si="14"/>
        <v>View on Google Map</v>
      </c>
    </row>
    <row r="298" spans="1:11" x14ac:dyDescent="0.25">
      <c r="A298" s="96">
        <v>599</v>
      </c>
      <c r="B298" s="116" t="s">
        <v>762</v>
      </c>
      <c r="C298" s="93" t="str">
        <f t="shared" si="15"/>
        <v>LHS 2-02</v>
      </c>
      <c r="D298" s="114">
        <v>69.811760000000007</v>
      </c>
      <c r="E298" s="76">
        <v>-151.86472000000001</v>
      </c>
      <c r="F298" s="115">
        <v>61</v>
      </c>
      <c r="G298" s="97" t="s">
        <v>301</v>
      </c>
      <c r="H298" s="97" t="s">
        <v>730</v>
      </c>
      <c r="I298" s="97" t="s">
        <v>759</v>
      </c>
      <c r="J298" s="76" t="s">
        <v>946</v>
      </c>
      <c r="K298" s="73" t="str">
        <f t="shared" si="14"/>
        <v>View on Google Map</v>
      </c>
    </row>
    <row r="299" spans="1:11" x14ac:dyDescent="0.25">
      <c r="A299" s="96">
        <v>598</v>
      </c>
      <c r="B299" s="116" t="s">
        <v>763</v>
      </c>
      <c r="C299" s="93" t="str">
        <f t="shared" si="15"/>
        <v>LHS 2-03</v>
      </c>
      <c r="D299" s="114">
        <v>69.750399999999999</v>
      </c>
      <c r="E299" s="76">
        <v>-151.5</v>
      </c>
      <c r="F299" s="115">
        <v>30</v>
      </c>
      <c r="G299" s="97" t="s">
        <v>301</v>
      </c>
      <c r="H299" s="97" t="s">
        <v>730</v>
      </c>
      <c r="I299" s="97" t="s">
        <v>759</v>
      </c>
      <c r="J299" s="76" t="s">
        <v>946</v>
      </c>
      <c r="K299" s="73" t="str">
        <f t="shared" si="14"/>
        <v>View on Google Map</v>
      </c>
    </row>
    <row r="300" spans="1:11" x14ac:dyDescent="0.25">
      <c r="A300" s="92">
        <v>314</v>
      </c>
      <c r="B300" s="93" t="s">
        <v>764</v>
      </c>
      <c r="C300" s="93" t="s">
        <v>765</v>
      </c>
      <c r="D300" s="94">
        <v>68.664550000000006</v>
      </c>
      <c r="E300" s="76">
        <v>-149.68786</v>
      </c>
      <c r="F300" s="95"/>
      <c r="G300" s="93"/>
      <c r="H300" s="93" t="s">
        <v>726</v>
      </c>
      <c r="I300" s="93"/>
      <c r="J300" s="76" t="s">
        <v>946</v>
      </c>
      <c r="K300" s="73" t="str">
        <f t="shared" si="14"/>
        <v>View on Google Map</v>
      </c>
    </row>
    <row r="301" spans="1:11" x14ac:dyDescent="0.25">
      <c r="A301" s="92">
        <v>618</v>
      </c>
      <c r="B301" s="93" t="s">
        <v>1664</v>
      </c>
      <c r="C301" t="s">
        <v>1665</v>
      </c>
      <c r="D301" s="127">
        <v>68.606016666666662</v>
      </c>
      <c r="E301" s="127">
        <v>-149.19635</v>
      </c>
      <c r="G301" s="93" t="s">
        <v>301</v>
      </c>
      <c r="H301" s="93" t="s">
        <v>1654</v>
      </c>
      <c r="K301" s="73" t="str">
        <f t="shared" si="14"/>
        <v>View on Google Map</v>
      </c>
    </row>
    <row r="302" spans="1:11" x14ac:dyDescent="0.25">
      <c r="A302" s="96">
        <v>600</v>
      </c>
      <c r="B302" s="116" t="s">
        <v>766</v>
      </c>
      <c r="C302" s="93" t="str">
        <f t="shared" ref="C302:C333" si="16">B302</f>
        <v>LS 1-05</v>
      </c>
      <c r="D302" s="114">
        <v>70.2684</v>
      </c>
      <c r="E302" s="76">
        <v>-149.20070999999999</v>
      </c>
      <c r="F302" s="115">
        <v>13</v>
      </c>
      <c r="G302" s="97" t="s">
        <v>301</v>
      </c>
      <c r="H302" s="97" t="s">
        <v>730</v>
      </c>
      <c r="I302" s="97" t="s">
        <v>759</v>
      </c>
      <c r="J302" s="76" t="s">
        <v>946</v>
      </c>
      <c r="K302" s="73" t="str">
        <f t="shared" si="14"/>
        <v>View on Google Map</v>
      </c>
    </row>
    <row r="303" spans="1:11" x14ac:dyDescent="0.25">
      <c r="A303" s="96">
        <v>601</v>
      </c>
      <c r="B303" s="116" t="s">
        <v>767</v>
      </c>
      <c r="C303" s="93" t="str">
        <f t="shared" si="16"/>
        <v>LS 1-06</v>
      </c>
      <c r="D303" s="114">
        <v>70.2684</v>
      </c>
      <c r="E303" s="76">
        <v>-149.21039999999999</v>
      </c>
      <c r="F303" s="115">
        <v>15</v>
      </c>
      <c r="G303" s="97" t="s">
        <v>301</v>
      </c>
      <c r="H303" s="97" t="s">
        <v>730</v>
      </c>
      <c r="I303" s="97" t="s">
        <v>759</v>
      </c>
      <c r="J303" s="76" t="s">
        <v>946</v>
      </c>
      <c r="K303" s="73" t="str">
        <f t="shared" si="14"/>
        <v>View on Google Map</v>
      </c>
    </row>
    <row r="304" spans="1:11" x14ac:dyDescent="0.25">
      <c r="A304" s="96">
        <v>604</v>
      </c>
      <c r="B304" s="116" t="s">
        <v>768</v>
      </c>
      <c r="C304" s="93" t="str">
        <f t="shared" si="16"/>
        <v>LS 1-07</v>
      </c>
      <c r="D304" s="114">
        <v>70.187899999999999</v>
      </c>
      <c r="E304" s="76">
        <v>-149.14416</v>
      </c>
      <c r="F304" s="115">
        <v>29</v>
      </c>
      <c r="G304" s="97" t="s">
        <v>301</v>
      </c>
      <c r="H304" s="97" t="s">
        <v>730</v>
      </c>
      <c r="I304" s="97" t="s">
        <v>759</v>
      </c>
      <c r="J304" s="76" t="s">
        <v>946</v>
      </c>
      <c r="K304" s="73" t="str">
        <f t="shared" si="14"/>
        <v>View on Google Map</v>
      </c>
    </row>
    <row r="305" spans="1:11" x14ac:dyDescent="0.25">
      <c r="A305" s="96">
        <v>605</v>
      </c>
      <c r="B305" s="116" t="s">
        <v>769</v>
      </c>
      <c r="C305" s="93" t="str">
        <f t="shared" si="16"/>
        <v>LS 1-08</v>
      </c>
      <c r="D305" s="114">
        <v>70.183599999999998</v>
      </c>
      <c r="E305" s="76">
        <v>-149.15600000000001</v>
      </c>
      <c r="F305" s="115">
        <v>28</v>
      </c>
      <c r="G305" s="97" t="s">
        <v>301</v>
      </c>
      <c r="H305" s="97" t="s">
        <v>730</v>
      </c>
      <c r="I305" s="97" t="s">
        <v>759</v>
      </c>
      <c r="J305" s="76" t="s">
        <v>946</v>
      </c>
      <c r="K305" s="73" t="str">
        <f t="shared" si="14"/>
        <v>View on Google Map</v>
      </c>
    </row>
    <row r="306" spans="1:11" x14ac:dyDescent="0.25">
      <c r="A306" s="96">
        <v>606</v>
      </c>
      <c r="B306" s="116" t="s">
        <v>770</v>
      </c>
      <c r="C306" s="93" t="str">
        <f t="shared" si="16"/>
        <v>LS 1-27</v>
      </c>
      <c r="D306" s="114">
        <v>69.61703</v>
      </c>
      <c r="E306" s="76">
        <v>-148.82900000000001</v>
      </c>
      <c r="F306" s="115">
        <v>131</v>
      </c>
      <c r="G306" s="97" t="s">
        <v>301</v>
      </c>
      <c r="H306" s="97" t="s">
        <v>730</v>
      </c>
      <c r="I306" s="97" t="s">
        <v>759</v>
      </c>
      <c r="J306" s="76" t="s">
        <v>946</v>
      </c>
      <c r="K306" s="73" t="str">
        <f t="shared" si="14"/>
        <v>View on Google Map</v>
      </c>
    </row>
    <row r="307" spans="1:11" x14ac:dyDescent="0.25">
      <c r="A307" s="96">
        <v>607</v>
      </c>
      <c r="B307" s="116" t="s">
        <v>771</v>
      </c>
      <c r="C307" s="93" t="str">
        <f t="shared" si="16"/>
        <v>LS 1-28</v>
      </c>
      <c r="D307" s="114">
        <v>69.608609999999999</v>
      </c>
      <c r="E307" s="76">
        <v>-148.81786</v>
      </c>
      <c r="F307" s="115">
        <v>136</v>
      </c>
      <c r="G307" s="97" t="s">
        <v>301</v>
      </c>
      <c r="H307" s="97" t="s">
        <v>730</v>
      </c>
      <c r="I307" s="97" t="s">
        <v>759</v>
      </c>
      <c r="J307" s="76" t="s">
        <v>946</v>
      </c>
      <c r="K307" s="73" t="str">
        <f t="shared" si="14"/>
        <v>View on Google Map</v>
      </c>
    </row>
    <row r="308" spans="1:11" x14ac:dyDescent="0.25">
      <c r="A308" s="92">
        <v>247</v>
      </c>
      <c r="B308" s="93" t="s">
        <v>398</v>
      </c>
      <c r="C308" s="93" t="str">
        <f t="shared" si="16"/>
        <v>LTER 247</v>
      </c>
      <c r="D308" s="94">
        <v>68.687138500000003</v>
      </c>
      <c r="E308" s="76">
        <v>-150.0433391</v>
      </c>
      <c r="F308" s="95">
        <v>670</v>
      </c>
      <c r="G308" s="93" t="s">
        <v>301</v>
      </c>
      <c r="H308" s="93" t="s">
        <v>399</v>
      </c>
      <c r="I308" s="93" t="s">
        <v>400</v>
      </c>
      <c r="J308" s="76" t="s">
        <v>1154</v>
      </c>
      <c r="K308" s="73" t="str">
        <f t="shared" si="14"/>
        <v>View on Google Map</v>
      </c>
    </row>
    <row r="309" spans="1:11" x14ac:dyDescent="0.25">
      <c r="A309" s="92">
        <v>248</v>
      </c>
      <c r="B309" s="93" t="s">
        <v>401</v>
      </c>
      <c r="C309" s="93" t="str">
        <f t="shared" si="16"/>
        <v>LTER 248</v>
      </c>
      <c r="D309" s="94">
        <v>68.691817900000004</v>
      </c>
      <c r="E309" s="76">
        <v>-150.0505192</v>
      </c>
      <c r="F309" s="95">
        <v>670</v>
      </c>
      <c r="G309" s="93" t="s">
        <v>301</v>
      </c>
      <c r="H309" s="93" t="s">
        <v>399</v>
      </c>
      <c r="I309" s="93" t="s">
        <v>400</v>
      </c>
      <c r="J309" s="76" t="s">
        <v>1155</v>
      </c>
      <c r="K309" s="73" t="str">
        <f t="shared" si="14"/>
        <v>View on Google Map</v>
      </c>
    </row>
    <row r="310" spans="1:11" x14ac:dyDescent="0.25">
      <c r="A310" s="92">
        <v>249</v>
      </c>
      <c r="B310" s="93" t="s">
        <v>402</v>
      </c>
      <c r="C310" s="93" t="str">
        <f t="shared" si="16"/>
        <v>LTER 249</v>
      </c>
      <c r="D310" s="94">
        <v>68.692263600000004</v>
      </c>
      <c r="E310" s="76">
        <v>-150.05401610000001</v>
      </c>
      <c r="F310" s="95">
        <v>670</v>
      </c>
      <c r="G310" s="93" t="s">
        <v>301</v>
      </c>
      <c r="H310" s="93" t="s">
        <v>399</v>
      </c>
      <c r="I310" s="93" t="s">
        <v>400</v>
      </c>
      <c r="J310" s="76" t="s">
        <v>1156</v>
      </c>
      <c r="K310" s="73" t="str">
        <f t="shared" si="14"/>
        <v>View on Google Map</v>
      </c>
    </row>
    <row r="311" spans="1:11" x14ac:dyDescent="0.25">
      <c r="A311" s="92">
        <v>250</v>
      </c>
      <c r="B311" s="93" t="s">
        <v>403</v>
      </c>
      <c r="C311" s="93" t="str">
        <f t="shared" si="16"/>
        <v>LTER 250</v>
      </c>
      <c r="D311" s="94">
        <v>68.694538800000004</v>
      </c>
      <c r="E311" s="76">
        <v>-150.05848409999999</v>
      </c>
      <c r="F311" s="95">
        <v>670</v>
      </c>
      <c r="G311" s="93" t="s">
        <v>301</v>
      </c>
      <c r="H311" s="93" t="s">
        <v>399</v>
      </c>
      <c r="I311" s="93" t="s">
        <v>400</v>
      </c>
      <c r="J311" s="76" t="s">
        <v>1157</v>
      </c>
      <c r="K311" s="73" t="str">
        <f t="shared" si="14"/>
        <v>View on Google Map</v>
      </c>
    </row>
    <row r="312" spans="1:11" x14ac:dyDescent="0.25">
      <c r="A312" s="92">
        <v>251</v>
      </c>
      <c r="B312" s="93" t="s">
        <v>404</v>
      </c>
      <c r="C312" s="93" t="str">
        <f t="shared" si="16"/>
        <v>LTER 251</v>
      </c>
      <c r="D312" s="94">
        <v>68.707603300000002</v>
      </c>
      <c r="E312" s="76">
        <v>-150.0466347</v>
      </c>
      <c r="F312" s="95">
        <v>580</v>
      </c>
      <c r="G312" s="93" t="s">
        <v>301</v>
      </c>
      <c r="H312" s="93" t="s">
        <v>399</v>
      </c>
      <c r="I312" s="93" t="s">
        <v>400</v>
      </c>
      <c r="J312" s="76" t="s">
        <v>1158</v>
      </c>
      <c r="K312" s="73" t="str">
        <f t="shared" si="14"/>
        <v>View on Google Map</v>
      </c>
    </row>
    <row r="313" spans="1:11" x14ac:dyDescent="0.25">
      <c r="A313" s="92">
        <v>252</v>
      </c>
      <c r="B313" s="93" t="s">
        <v>405</v>
      </c>
      <c r="C313" s="93" t="str">
        <f t="shared" si="16"/>
        <v>LTER 252</v>
      </c>
      <c r="D313" s="94">
        <v>68.713648899999995</v>
      </c>
      <c r="E313" s="76">
        <v>-150.03118520000001</v>
      </c>
      <c r="F313" s="95">
        <v>550</v>
      </c>
      <c r="G313" s="93" t="s">
        <v>301</v>
      </c>
      <c r="H313" s="93" t="s">
        <v>399</v>
      </c>
      <c r="I313" s="93" t="s">
        <v>400</v>
      </c>
      <c r="J313" s="76" t="s">
        <v>1159</v>
      </c>
      <c r="K313" s="73" t="str">
        <f t="shared" si="14"/>
        <v>View on Google Map</v>
      </c>
    </row>
    <row r="314" spans="1:11" x14ac:dyDescent="0.25">
      <c r="A314" s="92">
        <v>253</v>
      </c>
      <c r="B314" s="93" t="s">
        <v>406</v>
      </c>
      <c r="C314" s="93" t="str">
        <f t="shared" si="16"/>
        <v>LTER 253</v>
      </c>
      <c r="D314" s="94">
        <v>68.718135399999994</v>
      </c>
      <c r="E314" s="76">
        <v>-150.0349617</v>
      </c>
      <c r="F314" s="95">
        <v>550</v>
      </c>
      <c r="G314" s="93" t="s">
        <v>301</v>
      </c>
      <c r="H314" s="93" t="s">
        <v>399</v>
      </c>
      <c r="I314" s="93" t="s">
        <v>400</v>
      </c>
      <c r="J314" s="76" t="s">
        <v>1160</v>
      </c>
      <c r="K314" s="73" t="str">
        <f t="shared" si="14"/>
        <v>View on Google Map</v>
      </c>
    </row>
    <row r="315" spans="1:11" x14ac:dyDescent="0.25">
      <c r="A315" s="92">
        <v>254</v>
      </c>
      <c r="B315" s="93" t="s">
        <v>407</v>
      </c>
      <c r="C315" s="93" t="str">
        <f t="shared" si="16"/>
        <v>LTER 254</v>
      </c>
      <c r="D315" s="94">
        <v>68.724676500000001</v>
      </c>
      <c r="E315" s="76">
        <v>-150.02637859999999</v>
      </c>
      <c r="F315" s="95">
        <v>520</v>
      </c>
      <c r="G315" s="93" t="s">
        <v>301</v>
      </c>
      <c r="H315" s="93" t="s">
        <v>399</v>
      </c>
      <c r="I315" s="93" t="s">
        <v>400</v>
      </c>
      <c r="J315" s="76" t="s">
        <v>1161</v>
      </c>
      <c r="K315" s="73" t="str">
        <f t="shared" si="14"/>
        <v>View on Google Map</v>
      </c>
    </row>
    <row r="316" spans="1:11" x14ac:dyDescent="0.25">
      <c r="A316" s="92">
        <v>255</v>
      </c>
      <c r="B316" s="93" t="s">
        <v>408</v>
      </c>
      <c r="C316" s="93" t="str">
        <f t="shared" si="16"/>
        <v>LTER 255</v>
      </c>
      <c r="D316" s="94">
        <v>68.728102000000007</v>
      </c>
      <c r="E316" s="76">
        <v>-150.0349617</v>
      </c>
      <c r="F316" s="95">
        <v>520</v>
      </c>
      <c r="G316" s="93" t="s">
        <v>301</v>
      </c>
      <c r="H316" s="93" t="s">
        <v>399</v>
      </c>
      <c r="I316" s="93" t="s">
        <v>400</v>
      </c>
      <c r="J316" s="76" t="s">
        <v>1162</v>
      </c>
      <c r="K316" s="73" t="str">
        <f t="shared" si="14"/>
        <v>View on Google Map</v>
      </c>
    </row>
    <row r="317" spans="1:11" x14ac:dyDescent="0.25">
      <c r="A317" s="92">
        <v>256</v>
      </c>
      <c r="B317" s="93" t="s">
        <v>409</v>
      </c>
      <c r="C317" s="93" t="str">
        <f t="shared" si="16"/>
        <v>LTER 256</v>
      </c>
      <c r="D317" s="94">
        <v>68.701781999999994</v>
      </c>
      <c r="E317" s="76">
        <v>-149.749403</v>
      </c>
      <c r="F317" s="95">
        <v>760</v>
      </c>
      <c r="G317" s="93" t="s">
        <v>301</v>
      </c>
      <c r="H317" s="93" t="s">
        <v>399</v>
      </c>
      <c r="I317" s="93" t="s">
        <v>400</v>
      </c>
      <c r="J317" s="76" t="s">
        <v>1163</v>
      </c>
      <c r="K317" s="73" t="str">
        <f t="shared" si="14"/>
        <v>View on Google Map</v>
      </c>
    </row>
    <row r="318" spans="1:11" x14ac:dyDescent="0.25">
      <c r="A318" s="92">
        <v>257</v>
      </c>
      <c r="B318" s="93" t="s">
        <v>410</v>
      </c>
      <c r="C318" s="93" t="str">
        <f t="shared" si="16"/>
        <v>LTER 257</v>
      </c>
      <c r="D318" s="94">
        <v>68.701669999999993</v>
      </c>
      <c r="E318" s="76">
        <v>-149.74332999999999</v>
      </c>
      <c r="F318" s="95">
        <v>760</v>
      </c>
      <c r="G318" s="93" t="s">
        <v>301</v>
      </c>
      <c r="H318" s="93" t="s">
        <v>399</v>
      </c>
      <c r="I318" s="93" t="s">
        <v>400</v>
      </c>
      <c r="J318" s="76" t="s">
        <v>1164</v>
      </c>
      <c r="K318" s="73" t="str">
        <f t="shared" si="14"/>
        <v>View on Google Map</v>
      </c>
    </row>
    <row r="319" spans="1:11" x14ac:dyDescent="0.25">
      <c r="A319" s="92">
        <v>258</v>
      </c>
      <c r="B319" s="93" t="s">
        <v>411</v>
      </c>
      <c r="C319" s="93" t="str">
        <f t="shared" si="16"/>
        <v>LTER 258</v>
      </c>
      <c r="D319" s="94">
        <v>68.704594799999995</v>
      </c>
      <c r="E319" s="76">
        <v>-149.7318631</v>
      </c>
      <c r="F319" s="95">
        <v>730</v>
      </c>
      <c r="G319" s="93" t="s">
        <v>301</v>
      </c>
      <c r="H319" s="93" t="s">
        <v>399</v>
      </c>
      <c r="I319" s="93" t="s">
        <v>400</v>
      </c>
      <c r="J319" s="76" t="s">
        <v>1165</v>
      </c>
      <c r="K319" s="73" t="str">
        <f t="shared" si="14"/>
        <v>View on Google Map</v>
      </c>
    </row>
    <row r="320" spans="1:11" x14ac:dyDescent="0.25">
      <c r="A320" s="92">
        <v>259</v>
      </c>
      <c r="B320" s="93" t="s">
        <v>412</v>
      </c>
      <c r="C320" s="93" t="str">
        <f t="shared" si="16"/>
        <v>LTER 259</v>
      </c>
      <c r="D320" s="94">
        <v>68.703329999999994</v>
      </c>
      <c r="E320" s="76">
        <v>-149.715</v>
      </c>
      <c r="F320" s="95">
        <v>690</v>
      </c>
      <c r="G320" s="93" t="s">
        <v>301</v>
      </c>
      <c r="H320" s="93" t="s">
        <v>399</v>
      </c>
      <c r="I320" s="93" t="s">
        <v>400</v>
      </c>
      <c r="J320" s="76" t="s">
        <v>1166</v>
      </c>
      <c r="K320" s="73" t="str">
        <f t="shared" si="14"/>
        <v>View on Google Map</v>
      </c>
    </row>
    <row r="321" spans="1:11" x14ac:dyDescent="0.25">
      <c r="A321" s="92">
        <v>260</v>
      </c>
      <c r="B321" s="93" t="s">
        <v>413</v>
      </c>
      <c r="C321" s="93" t="str">
        <f t="shared" si="16"/>
        <v>LTER 260</v>
      </c>
      <c r="D321" s="94">
        <v>68.702070300000003</v>
      </c>
      <c r="E321" s="76">
        <v>-149.71035000000001</v>
      </c>
      <c r="F321" s="95">
        <v>650</v>
      </c>
      <c r="G321" s="93" t="s">
        <v>301</v>
      </c>
      <c r="H321" s="93" t="s">
        <v>399</v>
      </c>
      <c r="I321" s="93" t="s">
        <v>400</v>
      </c>
      <c r="J321" s="76" t="s">
        <v>1167</v>
      </c>
      <c r="K321" s="73" t="str">
        <f t="shared" si="14"/>
        <v>View on Google Map</v>
      </c>
    </row>
    <row r="322" spans="1:11" x14ac:dyDescent="0.25">
      <c r="A322" s="92">
        <v>261</v>
      </c>
      <c r="B322" s="93" t="s">
        <v>414</v>
      </c>
      <c r="C322" s="93" t="str">
        <f t="shared" si="16"/>
        <v>LTER 261</v>
      </c>
      <c r="D322" s="94">
        <v>68.707980000000006</v>
      </c>
      <c r="E322" s="76">
        <v>-149.71510000000001</v>
      </c>
      <c r="F322" s="95">
        <v>650</v>
      </c>
      <c r="G322" s="93" t="s">
        <v>301</v>
      </c>
      <c r="H322" s="93" t="s">
        <v>399</v>
      </c>
      <c r="I322" s="93" t="s">
        <v>400</v>
      </c>
      <c r="J322" s="76" t="s">
        <v>1168</v>
      </c>
      <c r="K322" s="73" t="str">
        <f t="shared" si="14"/>
        <v>View on Google Map</v>
      </c>
    </row>
    <row r="323" spans="1:11" x14ac:dyDescent="0.25">
      <c r="A323" s="92">
        <v>262</v>
      </c>
      <c r="B323" s="93" t="s">
        <v>415</v>
      </c>
      <c r="C323" s="93" t="str">
        <f t="shared" si="16"/>
        <v>LTER 262</v>
      </c>
      <c r="D323" s="94">
        <v>68.707849999999993</v>
      </c>
      <c r="E323" s="76">
        <v>-149.69963000000001</v>
      </c>
      <c r="F323" s="95">
        <v>650</v>
      </c>
      <c r="G323" s="93" t="s">
        <v>301</v>
      </c>
      <c r="H323" s="93" t="s">
        <v>399</v>
      </c>
      <c r="I323" s="93" t="s">
        <v>400</v>
      </c>
      <c r="J323" s="76" t="s">
        <v>1169</v>
      </c>
      <c r="K323" s="73" t="str">
        <f t="shared" ref="K323:K386" si="17">HYPERLINK("http://maps.google.com/maps?q="&amp;D323&amp;","&amp;E323,"View on Google Map")</f>
        <v>View on Google Map</v>
      </c>
    </row>
    <row r="324" spans="1:11" x14ac:dyDescent="0.25">
      <c r="A324" s="92">
        <v>263</v>
      </c>
      <c r="B324" s="93" t="s">
        <v>416</v>
      </c>
      <c r="C324" s="93" t="str">
        <f t="shared" si="16"/>
        <v>LTER 263</v>
      </c>
      <c r="D324" s="94">
        <v>68.810460000000006</v>
      </c>
      <c r="E324" s="76">
        <v>-149.05207999999999</v>
      </c>
      <c r="F324" s="95">
        <v>650</v>
      </c>
      <c r="G324" s="93" t="s">
        <v>301</v>
      </c>
      <c r="H324" s="93" t="s">
        <v>399</v>
      </c>
      <c r="I324" s="93" t="s">
        <v>400</v>
      </c>
      <c r="J324" s="76" t="s">
        <v>1170</v>
      </c>
      <c r="K324" s="73" t="str">
        <f t="shared" si="17"/>
        <v>View on Google Map</v>
      </c>
    </row>
    <row r="325" spans="1:11" x14ac:dyDescent="0.25">
      <c r="A325" s="92">
        <v>264</v>
      </c>
      <c r="B325" s="93" t="s">
        <v>417</v>
      </c>
      <c r="C325" s="93" t="str">
        <f t="shared" si="16"/>
        <v>LTER 264</v>
      </c>
      <c r="D325" s="94">
        <v>68.699997100000004</v>
      </c>
      <c r="E325" s="76">
        <v>-149.69391350000001</v>
      </c>
      <c r="F325" s="95">
        <v>650</v>
      </c>
      <c r="G325" s="93" t="s">
        <v>301</v>
      </c>
      <c r="H325" s="93" t="s">
        <v>399</v>
      </c>
      <c r="I325" s="93" t="s">
        <v>400</v>
      </c>
      <c r="J325" s="76" t="s">
        <v>1171</v>
      </c>
      <c r="K325" s="73" t="str">
        <f t="shared" si="17"/>
        <v>View on Google Map</v>
      </c>
    </row>
    <row r="326" spans="1:11" x14ac:dyDescent="0.25">
      <c r="A326" s="92">
        <v>265</v>
      </c>
      <c r="B326" s="93" t="s">
        <v>418</v>
      </c>
      <c r="C326" s="93" t="str">
        <f t="shared" si="16"/>
        <v>LTER 265</v>
      </c>
      <c r="D326" s="94">
        <v>68.702553600000002</v>
      </c>
      <c r="E326" s="76">
        <v>-149.70451349999999</v>
      </c>
      <c r="F326" s="95">
        <v>650</v>
      </c>
      <c r="G326" s="93" t="s">
        <v>301</v>
      </c>
      <c r="H326" s="93" t="s">
        <v>399</v>
      </c>
      <c r="I326" s="93" t="s">
        <v>400</v>
      </c>
      <c r="J326" s="76" t="s">
        <v>1172</v>
      </c>
      <c r="K326" s="73" t="str">
        <f t="shared" si="17"/>
        <v>View on Google Map</v>
      </c>
    </row>
    <row r="327" spans="1:11" x14ac:dyDescent="0.25">
      <c r="A327" s="92">
        <v>266</v>
      </c>
      <c r="B327" s="93" t="s">
        <v>419</v>
      </c>
      <c r="C327" s="93" t="str">
        <f t="shared" si="16"/>
        <v>LTER 266</v>
      </c>
      <c r="D327" s="94">
        <v>68.691327900000005</v>
      </c>
      <c r="E327" s="76">
        <v>-149.7853661</v>
      </c>
      <c r="F327" s="95">
        <v>650</v>
      </c>
      <c r="G327" s="93" t="s">
        <v>301</v>
      </c>
      <c r="H327" s="93" t="s">
        <v>399</v>
      </c>
      <c r="I327" s="93" t="s">
        <v>400</v>
      </c>
      <c r="J327" s="76" t="s">
        <v>1173</v>
      </c>
      <c r="K327" s="73" t="str">
        <f t="shared" si="17"/>
        <v>View on Google Map</v>
      </c>
    </row>
    <row r="328" spans="1:11" x14ac:dyDescent="0.25">
      <c r="A328" s="92">
        <v>267</v>
      </c>
      <c r="B328" s="93" t="s">
        <v>420</v>
      </c>
      <c r="C328" s="93" t="str">
        <f t="shared" si="16"/>
        <v>LTER 267</v>
      </c>
      <c r="D328" s="94">
        <v>68.683248199999994</v>
      </c>
      <c r="E328" s="76">
        <v>-149.77197649999999</v>
      </c>
      <c r="F328" s="95">
        <v>630</v>
      </c>
      <c r="G328" s="93" t="s">
        <v>301</v>
      </c>
      <c r="H328" s="93" t="s">
        <v>399</v>
      </c>
      <c r="I328" s="93" t="s">
        <v>400</v>
      </c>
      <c r="J328" s="76" t="s">
        <v>1174</v>
      </c>
      <c r="K328" s="73" t="str">
        <f t="shared" si="17"/>
        <v>View on Google Map</v>
      </c>
    </row>
    <row r="329" spans="1:11" x14ac:dyDescent="0.25">
      <c r="A329" s="92">
        <v>268</v>
      </c>
      <c r="B329" s="93" t="s">
        <v>421</v>
      </c>
      <c r="C329" s="93" t="str">
        <f t="shared" si="16"/>
        <v>LTER 268</v>
      </c>
      <c r="D329" s="94">
        <v>68.683310599999999</v>
      </c>
      <c r="E329" s="76">
        <v>-149.78622440000001</v>
      </c>
      <c r="F329" s="95">
        <v>620</v>
      </c>
      <c r="G329" s="93" t="s">
        <v>301</v>
      </c>
      <c r="H329" s="93" t="s">
        <v>399</v>
      </c>
      <c r="I329" s="93" t="s">
        <v>400</v>
      </c>
      <c r="J329" s="76" t="s">
        <v>1175</v>
      </c>
      <c r="K329" s="73" t="str">
        <f t="shared" si="17"/>
        <v>View on Google Map</v>
      </c>
    </row>
    <row r="330" spans="1:11" x14ac:dyDescent="0.25">
      <c r="A330" s="92">
        <v>269</v>
      </c>
      <c r="B330" s="93" t="s">
        <v>422</v>
      </c>
      <c r="C330" s="93" t="str">
        <f t="shared" si="16"/>
        <v>LTER 269</v>
      </c>
      <c r="D330" s="94">
        <v>68.6850266</v>
      </c>
      <c r="E330" s="76">
        <v>-149.8015881</v>
      </c>
      <c r="F330" s="95">
        <v>590</v>
      </c>
      <c r="G330" s="93" t="s">
        <v>301</v>
      </c>
      <c r="H330" s="93" t="s">
        <v>399</v>
      </c>
      <c r="I330" s="93" t="s">
        <v>400</v>
      </c>
      <c r="J330" s="76" t="s">
        <v>1176</v>
      </c>
      <c r="K330" s="73" t="str">
        <f t="shared" si="17"/>
        <v>View on Google Map</v>
      </c>
    </row>
    <row r="331" spans="1:11" x14ac:dyDescent="0.25">
      <c r="A331" s="92">
        <v>270</v>
      </c>
      <c r="B331" s="93" t="s">
        <v>423</v>
      </c>
      <c r="C331" s="93" t="str">
        <f t="shared" si="16"/>
        <v>LTER 270</v>
      </c>
      <c r="D331" s="94">
        <v>68.685557000000003</v>
      </c>
      <c r="E331" s="76">
        <v>-149.80819700000001</v>
      </c>
      <c r="F331" s="95">
        <v>590</v>
      </c>
      <c r="G331" s="93" t="s">
        <v>301</v>
      </c>
      <c r="H331" s="93" t="s">
        <v>399</v>
      </c>
      <c r="I331" s="93" t="s">
        <v>400</v>
      </c>
      <c r="J331" s="76" t="s">
        <v>1177</v>
      </c>
      <c r="K331" s="73" t="str">
        <f t="shared" si="17"/>
        <v>View on Google Map</v>
      </c>
    </row>
    <row r="332" spans="1:11" x14ac:dyDescent="0.25">
      <c r="A332" s="92">
        <v>271</v>
      </c>
      <c r="B332" s="93" t="s">
        <v>424</v>
      </c>
      <c r="C332" s="93" t="str">
        <f t="shared" si="16"/>
        <v>LTER 271</v>
      </c>
      <c r="D332" s="94">
        <v>68.682873799999996</v>
      </c>
      <c r="E332" s="76">
        <v>-149.80957029999999</v>
      </c>
      <c r="F332" s="95">
        <v>590</v>
      </c>
      <c r="G332" s="93" t="s">
        <v>301</v>
      </c>
      <c r="H332" s="93" t="s">
        <v>399</v>
      </c>
      <c r="I332" s="93" t="s">
        <v>400</v>
      </c>
      <c r="J332" s="76" t="s">
        <v>1178</v>
      </c>
      <c r="K332" s="73" t="str">
        <f t="shared" si="17"/>
        <v>View on Google Map</v>
      </c>
    </row>
    <row r="333" spans="1:11" x14ac:dyDescent="0.25">
      <c r="A333" s="92">
        <v>272</v>
      </c>
      <c r="B333" s="93" t="s">
        <v>425</v>
      </c>
      <c r="C333" s="93" t="str">
        <f t="shared" si="16"/>
        <v>LTER 272</v>
      </c>
      <c r="D333" s="94">
        <v>68.682289999999995</v>
      </c>
      <c r="E333" s="76">
        <v>-149.81209999999999</v>
      </c>
      <c r="F333" s="95"/>
      <c r="G333" s="93" t="s">
        <v>301</v>
      </c>
      <c r="H333" s="93" t="s">
        <v>399</v>
      </c>
      <c r="I333" s="93" t="s">
        <v>400</v>
      </c>
      <c r="J333" s="76" t="s">
        <v>1179</v>
      </c>
      <c r="K333" s="73" t="str">
        <f t="shared" si="17"/>
        <v>View on Google Map</v>
      </c>
    </row>
    <row r="334" spans="1:11" x14ac:dyDescent="0.25">
      <c r="A334" s="92">
        <v>315</v>
      </c>
      <c r="B334" s="93" t="s">
        <v>434</v>
      </c>
      <c r="C334" s="93" t="str">
        <f t="shared" ref="C334:C365" si="18">B334</f>
        <v>LTER 315</v>
      </c>
      <c r="D334" s="94">
        <v>68.567849199999998</v>
      </c>
      <c r="E334" s="76">
        <v>-149.16832930000001</v>
      </c>
      <c r="F334" s="95">
        <v>911</v>
      </c>
      <c r="G334" s="93" t="s">
        <v>301</v>
      </c>
      <c r="H334" s="93" t="s">
        <v>399</v>
      </c>
      <c r="I334" s="93" t="s">
        <v>400</v>
      </c>
      <c r="J334" s="76" t="s">
        <v>1180</v>
      </c>
      <c r="K334" s="73" t="str">
        <f t="shared" si="17"/>
        <v>View on Google Map</v>
      </c>
    </row>
    <row r="335" spans="1:11" x14ac:dyDescent="0.25">
      <c r="A335" s="92">
        <v>316</v>
      </c>
      <c r="B335" s="93" t="s">
        <v>435</v>
      </c>
      <c r="C335" s="93" t="str">
        <f t="shared" si="18"/>
        <v>LTER 316</v>
      </c>
      <c r="D335" s="94">
        <v>68.5632071</v>
      </c>
      <c r="E335" s="76">
        <v>-149.17553899999999</v>
      </c>
      <c r="F335" s="95">
        <v>925</v>
      </c>
      <c r="G335" s="93" t="s">
        <v>301</v>
      </c>
      <c r="H335" s="93" t="s">
        <v>399</v>
      </c>
      <c r="I335" s="93" t="s">
        <v>400</v>
      </c>
      <c r="J335" s="76" t="s">
        <v>1181</v>
      </c>
      <c r="K335" s="73" t="str">
        <f t="shared" si="17"/>
        <v>View on Google Map</v>
      </c>
    </row>
    <row r="336" spans="1:11" x14ac:dyDescent="0.25">
      <c r="A336" s="92">
        <v>317</v>
      </c>
      <c r="B336" s="93" t="s">
        <v>436</v>
      </c>
      <c r="C336" s="93" t="str">
        <f t="shared" si="18"/>
        <v>LTER 317</v>
      </c>
      <c r="D336" s="94">
        <v>68.567692399999999</v>
      </c>
      <c r="E336" s="76">
        <v>-149.1831779</v>
      </c>
      <c r="F336" s="95">
        <v>912</v>
      </c>
      <c r="G336" s="93" t="s">
        <v>301</v>
      </c>
      <c r="H336" s="93" t="s">
        <v>399</v>
      </c>
      <c r="I336" s="93" t="s">
        <v>400</v>
      </c>
      <c r="J336" s="76" t="s">
        <v>1182</v>
      </c>
      <c r="K336" s="73" t="str">
        <f t="shared" si="17"/>
        <v>View on Google Map</v>
      </c>
    </row>
    <row r="337" spans="1:11" x14ac:dyDescent="0.25">
      <c r="A337" s="92">
        <v>318</v>
      </c>
      <c r="B337" s="93" t="s">
        <v>437</v>
      </c>
      <c r="C337" s="93" t="str">
        <f t="shared" si="18"/>
        <v>LTER 318</v>
      </c>
      <c r="D337" s="94">
        <v>68.575159499999998</v>
      </c>
      <c r="E337" s="76">
        <v>-149.1878328</v>
      </c>
      <c r="F337" s="95">
        <v>897</v>
      </c>
      <c r="G337" s="93" t="s">
        <v>301</v>
      </c>
      <c r="H337" s="93" t="s">
        <v>399</v>
      </c>
      <c r="I337" s="93" t="s">
        <v>400</v>
      </c>
      <c r="J337" s="76" t="s">
        <v>1183</v>
      </c>
      <c r="K337" s="73" t="str">
        <f t="shared" si="17"/>
        <v>View on Google Map</v>
      </c>
    </row>
    <row r="338" spans="1:11" x14ac:dyDescent="0.25">
      <c r="A338" s="92">
        <v>319</v>
      </c>
      <c r="B338" s="93" t="s">
        <v>438</v>
      </c>
      <c r="C338" s="93" t="str">
        <f t="shared" si="18"/>
        <v>LTER 319</v>
      </c>
      <c r="D338" s="94">
        <v>68.575845200000003</v>
      </c>
      <c r="E338" s="76">
        <v>-149.19965740000001</v>
      </c>
      <c r="F338" s="95">
        <v>912</v>
      </c>
      <c r="G338" s="93" t="s">
        <v>301</v>
      </c>
      <c r="H338" s="93" t="s">
        <v>399</v>
      </c>
      <c r="I338" s="93" t="s">
        <v>400</v>
      </c>
      <c r="J338" s="76" t="s">
        <v>1184</v>
      </c>
      <c r="K338" s="73" t="str">
        <f t="shared" si="17"/>
        <v>View on Google Map</v>
      </c>
    </row>
    <row r="339" spans="1:11" x14ac:dyDescent="0.25">
      <c r="A339" s="92">
        <v>320</v>
      </c>
      <c r="B339" s="93" t="s">
        <v>439</v>
      </c>
      <c r="C339" s="93" t="str">
        <f t="shared" si="18"/>
        <v>LTER 320</v>
      </c>
      <c r="D339" s="94">
        <v>68.5771503</v>
      </c>
      <c r="E339" s="76">
        <v>-149.177798</v>
      </c>
      <c r="F339" s="95">
        <v>890</v>
      </c>
      <c r="G339" s="93" t="s">
        <v>301</v>
      </c>
      <c r="H339" s="93" t="s">
        <v>399</v>
      </c>
      <c r="I339" s="93" t="s">
        <v>400</v>
      </c>
      <c r="J339" s="76" t="s">
        <v>1185</v>
      </c>
      <c r="K339" s="73" t="str">
        <f t="shared" si="17"/>
        <v>View on Google Map</v>
      </c>
    </row>
    <row r="340" spans="1:11" x14ac:dyDescent="0.25">
      <c r="A340" s="92">
        <v>321</v>
      </c>
      <c r="B340" s="93" t="s">
        <v>440</v>
      </c>
      <c r="C340" s="93" t="str">
        <f t="shared" si="18"/>
        <v>LTER 321</v>
      </c>
      <c r="D340" s="94">
        <v>68.581307899999999</v>
      </c>
      <c r="E340" s="76">
        <v>-149.17878239999999</v>
      </c>
      <c r="F340" s="95">
        <v>890</v>
      </c>
      <c r="G340" s="93" t="s">
        <v>301</v>
      </c>
      <c r="H340" s="93" t="s">
        <v>399</v>
      </c>
      <c r="I340" s="93" t="s">
        <v>400</v>
      </c>
      <c r="J340" s="76" t="s">
        <v>1186</v>
      </c>
      <c r="K340" s="73" t="str">
        <f t="shared" si="17"/>
        <v>View on Google Map</v>
      </c>
    </row>
    <row r="341" spans="1:11" x14ac:dyDescent="0.25">
      <c r="A341" s="92">
        <v>322</v>
      </c>
      <c r="B341" s="93" t="s">
        <v>441</v>
      </c>
      <c r="C341" s="93" t="str">
        <f t="shared" si="18"/>
        <v>LTER 322</v>
      </c>
      <c r="D341" s="94">
        <v>68.587332500000002</v>
      </c>
      <c r="E341" s="76">
        <v>-149.14468289999999</v>
      </c>
      <c r="F341" s="95">
        <v>852</v>
      </c>
      <c r="G341" s="93" t="s">
        <v>301</v>
      </c>
      <c r="H341" s="93" t="s">
        <v>399</v>
      </c>
      <c r="I341" s="93" t="s">
        <v>400</v>
      </c>
      <c r="J341" s="76" t="s">
        <v>1187</v>
      </c>
      <c r="K341" s="73" t="str">
        <f t="shared" si="17"/>
        <v>View on Google Map</v>
      </c>
    </row>
    <row r="342" spans="1:11" x14ac:dyDescent="0.25">
      <c r="A342" s="92">
        <v>323</v>
      </c>
      <c r="B342" s="93" t="s">
        <v>442</v>
      </c>
      <c r="C342" s="93" t="str">
        <f t="shared" si="18"/>
        <v>LTER 323</v>
      </c>
      <c r="D342" s="94">
        <v>68.548450000000003</v>
      </c>
      <c r="E342" s="76">
        <v>-150.03703999999999</v>
      </c>
      <c r="F342" s="95"/>
      <c r="G342" s="93" t="s">
        <v>301</v>
      </c>
      <c r="H342" s="93" t="s">
        <v>399</v>
      </c>
      <c r="I342" s="93" t="s">
        <v>400</v>
      </c>
      <c r="J342" s="76" t="s">
        <v>1188</v>
      </c>
      <c r="K342" s="73" t="str">
        <f t="shared" si="17"/>
        <v>View on Google Map</v>
      </c>
    </row>
    <row r="343" spans="1:11" x14ac:dyDescent="0.25">
      <c r="A343" s="92">
        <v>324</v>
      </c>
      <c r="B343" s="93" t="s">
        <v>443</v>
      </c>
      <c r="C343" s="93" t="str">
        <f t="shared" si="18"/>
        <v>LTER 324</v>
      </c>
      <c r="D343" s="94">
        <v>68.550120000000007</v>
      </c>
      <c r="E343" s="76">
        <v>-150.02949000000001</v>
      </c>
      <c r="F343" s="95"/>
      <c r="G343" s="93" t="s">
        <v>301</v>
      </c>
      <c r="H343" s="93" t="s">
        <v>399</v>
      </c>
      <c r="I343" s="93" t="s">
        <v>400</v>
      </c>
      <c r="J343" s="76" t="s">
        <v>1189</v>
      </c>
      <c r="K343" s="73" t="str">
        <f t="shared" si="17"/>
        <v>View on Google Map</v>
      </c>
    </row>
    <row r="344" spans="1:11" x14ac:dyDescent="0.25">
      <c r="A344" s="92">
        <v>325</v>
      </c>
      <c r="B344" s="93" t="s">
        <v>444</v>
      </c>
      <c r="C344" s="93" t="str">
        <f t="shared" si="18"/>
        <v>LTER 325</v>
      </c>
      <c r="D344" s="94">
        <v>68.546099999999996</v>
      </c>
      <c r="E344" s="76">
        <v>-150.02466000000001</v>
      </c>
      <c r="F344" s="95"/>
      <c r="G344" s="93" t="s">
        <v>301</v>
      </c>
      <c r="H344" s="93" t="s">
        <v>399</v>
      </c>
      <c r="I344" s="93" t="s">
        <v>400</v>
      </c>
      <c r="J344" s="76" t="s">
        <v>1190</v>
      </c>
      <c r="K344" s="73" t="str">
        <f t="shared" si="17"/>
        <v>View on Google Map</v>
      </c>
    </row>
    <row r="345" spans="1:11" x14ac:dyDescent="0.25">
      <c r="A345" s="92">
        <v>326</v>
      </c>
      <c r="B345" s="93" t="s">
        <v>445</v>
      </c>
      <c r="C345" s="93" t="str">
        <f t="shared" si="18"/>
        <v>LTER 326</v>
      </c>
      <c r="D345" s="94">
        <v>68.550150000000002</v>
      </c>
      <c r="E345" s="76">
        <v>-150.01522</v>
      </c>
      <c r="F345" s="95"/>
      <c r="G345" s="93" t="s">
        <v>301</v>
      </c>
      <c r="H345" s="93" t="s">
        <v>399</v>
      </c>
      <c r="I345" s="93" t="s">
        <v>400</v>
      </c>
      <c r="J345" s="76" t="s">
        <v>1191</v>
      </c>
      <c r="K345" s="73" t="str">
        <f t="shared" si="17"/>
        <v>View on Google Map</v>
      </c>
    </row>
    <row r="346" spans="1:11" x14ac:dyDescent="0.25">
      <c r="A346" s="92">
        <v>327</v>
      </c>
      <c r="B346" s="93" t="s">
        <v>446</v>
      </c>
      <c r="C346" s="93" t="str">
        <f t="shared" si="18"/>
        <v>LTER 327</v>
      </c>
      <c r="D346" s="94">
        <v>68.55574</v>
      </c>
      <c r="E346" s="76">
        <v>-150.01366999999999</v>
      </c>
      <c r="F346" s="95"/>
      <c r="G346" s="93" t="s">
        <v>301</v>
      </c>
      <c r="H346" s="93" t="s">
        <v>399</v>
      </c>
      <c r="I346" s="93" t="s">
        <v>400</v>
      </c>
      <c r="J346" s="76" t="s">
        <v>1192</v>
      </c>
      <c r="K346" s="73" t="str">
        <f t="shared" si="17"/>
        <v>View on Google Map</v>
      </c>
    </row>
    <row r="347" spans="1:11" x14ac:dyDescent="0.25">
      <c r="A347" s="92">
        <v>328</v>
      </c>
      <c r="B347" s="93" t="s">
        <v>447</v>
      </c>
      <c r="C347" s="93" t="str">
        <f t="shared" si="18"/>
        <v>LTER 328</v>
      </c>
      <c r="D347" s="94">
        <v>68.56568</v>
      </c>
      <c r="E347" s="76">
        <v>-150.00183000000001</v>
      </c>
      <c r="F347" s="95"/>
      <c r="G347" s="93" t="s">
        <v>301</v>
      </c>
      <c r="H347" s="93" t="s">
        <v>399</v>
      </c>
      <c r="I347" s="93" t="s">
        <v>400</v>
      </c>
      <c r="J347" s="76" t="s">
        <v>1193</v>
      </c>
      <c r="K347" s="73" t="str">
        <f t="shared" si="17"/>
        <v>View on Google Map</v>
      </c>
    </row>
    <row r="348" spans="1:11" x14ac:dyDescent="0.25">
      <c r="A348" s="92">
        <v>329</v>
      </c>
      <c r="B348" s="93" t="s">
        <v>448</v>
      </c>
      <c r="C348" s="93" t="str">
        <f t="shared" si="18"/>
        <v>LTER 329</v>
      </c>
      <c r="D348" s="94">
        <v>68.567499999999995</v>
      </c>
      <c r="E348" s="76">
        <v>-149.99831</v>
      </c>
      <c r="F348" s="95"/>
      <c r="G348" s="93" t="s">
        <v>301</v>
      </c>
      <c r="H348" s="93" t="s">
        <v>399</v>
      </c>
      <c r="I348" s="93" t="s">
        <v>400</v>
      </c>
      <c r="J348" s="76" t="s">
        <v>1194</v>
      </c>
      <c r="K348" s="73" t="str">
        <f t="shared" si="17"/>
        <v>View on Google Map</v>
      </c>
    </row>
    <row r="349" spans="1:11" x14ac:dyDescent="0.25">
      <c r="A349" s="92">
        <v>330</v>
      </c>
      <c r="B349" s="93" t="s">
        <v>449</v>
      </c>
      <c r="C349" s="93" t="str">
        <f t="shared" si="18"/>
        <v>LTER 330</v>
      </c>
      <c r="D349" s="94">
        <v>68.58493</v>
      </c>
      <c r="E349" s="76">
        <v>-149.98259999999999</v>
      </c>
      <c r="F349" s="95"/>
      <c r="G349" s="93" t="s">
        <v>301</v>
      </c>
      <c r="H349" s="93" t="s">
        <v>399</v>
      </c>
      <c r="I349" s="93" t="s">
        <v>400</v>
      </c>
      <c r="J349" s="76" t="s">
        <v>1195</v>
      </c>
      <c r="K349" s="73" t="str">
        <f t="shared" si="17"/>
        <v>View on Google Map</v>
      </c>
    </row>
    <row r="350" spans="1:11" x14ac:dyDescent="0.25">
      <c r="A350" s="92">
        <v>331</v>
      </c>
      <c r="B350" s="93" t="s">
        <v>450</v>
      </c>
      <c r="C350" s="93" t="str">
        <f t="shared" si="18"/>
        <v>LTER 331</v>
      </c>
      <c r="D350" s="94">
        <v>68.534049999999993</v>
      </c>
      <c r="E350" s="76">
        <v>-149.15729999999999</v>
      </c>
      <c r="F350" s="95">
        <v>926</v>
      </c>
      <c r="G350" s="93" t="s">
        <v>301</v>
      </c>
      <c r="H350" s="93" t="s">
        <v>399</v>
      </c>
      <c r="I350" s="93" t="s">
        <v>400</v>
      </c>
      <c r="J350" s="76" t="s">
        <v>1196</v>
      </c>
      <c r="K350" s="73" t="str">
        <f t="shared" si="17"/>
        <v>View on Google Map</v>
      </c>
    </row>
    <row r="351" spans="1:11" x14ac:dyDescent="0.25">
      <c r="A351" s="92">
        <v>332</v>
      </c>
      <c r="B351" s="93" t="s">
        <v>451</v>
      </c>
      <c r="C351" s="93" t="str">
        <f t="shared" si="18"/>
        <v>LTER 332</v>
      </c>
      <c r="D351" s="94">
        <v>68.53349</v>
      </c>
      <c r="E351" s="76">
        <v>-149.16735</v>
      </c>
      <c r="F351" s="95">
        <v>923</v>
      </c>
      <c r="G351" s="93" t="s">
        <v>301</v>
      </c>
      <c r="H351" s="93" t="s">
        <v>399</v>
      </c>
      <c r="I351" s="93" t="s">
        <v>400</v>
      </c>
      <c r="J351" s="76" t="s">
        <v>1197</v>
      </c>
      <c r="K351" s="73" t="str">
        <f t="shared" si="17"/>
        <v>View on Google Map</v>
      </c>
    </row>
    <row r="352" spans="1:11" x14ac:dyDescent="0.25">
      <c r="A352" s="92">
        <v>333</v>
      </c>
      <c r="B352" s="93" t="s">
        <v>452</v>
      </c>
      <c r="C352" s="93" t="str">
        <f t="shared" si="18"/>
        <v>LTER 333</v>
      </c>
      <c r="D352" s="94">
        <v>68.533270000000002</v>
      </c>
      <c r="E352" s="76">
        <v>-149.19565</v>
      </c>
      <c r="F352" s="95">
        <v>900</v>
      </c>
      <c r="G352" s="93" t="s">
        <v>301</v>
      </c>
      <c r="H352" s="93" t="s">
        <v>399</v>
      </c>
      <c r="I352" s="93" t="s">
        <v>400</v>
      </c>
      <c r="J352" s="76" t="s">
        <v>1198</v>
      </c>
      <c r="K352" s="73" t="str">
        <f t="shared" si="17"/>
        <v>View on Google Map</v>
      </c>
    </row>
    <row r="353" spans="1:11" x14ac:dyDescent="0.25">
      <c r="A353" s="92">
        <v>335</v>
      </c>
      <c r="B353" s="93" t="s">
        <v>453</v>
      </c>
      <c r="C353" s="93" t="str">
        <f t="shared" si="18"/>
        <v>LTER 335</v>
      </c>
      <c r="D353" s="94">
        <v>68.517290000000003</v>
      </c>
      <c r="E353" s="76">
        <v>-150.05709999999999</v>
      </c>
      <c r="F353" s="95"/>
      <c r="G353" s="93" t="s">
        <v>301</v>
      </c>
      <c r="H353" s="93" t="s">
        <v>399</v>
      </c>
      <c r="I353" s="93" t="s">
        <v>400</v>
      </c>
      <c r="J353" s="76" t="s">
        <v>1199</v>
      </c>
      <c r="K353" s="73" t="str">
        <f t="shared" si="17"/>
        <v>View on Google Map</v>
      </c>
    </row>
    <row r="354" spans="1:11" x14ac:dyDescent="0.25">
      <c r="A354" s="92">
        <v>336</v>
      </c>
      <c r="B354" s="93" t="s">
        <v>454</v>
      </c>
      <c r="C354" s="93" t="str">
        <f t="shared" si="18"/>
        <v>LTER 336</v>
      </c>
      <c r="D354" s="94">
        <v>68.531369999999995</v>
      </c>
      <c r="E354" s="76">
        <v>-150.04817</v>
      </c>
      <c r="F354" s="95"/>
      <c r="G354" s="93" t="s">
        <v>301</v>
      </c>
      <c r="H354" s="93" t="s">
        <v>399</v>
      </c>
      <c r="I354" s="93" t="s">
        <v>400</v>
      </c>
      <c r="J354" s="76" t="s">
        <v>1200</v>
      </c>
      <c r="K354" s="73" t="str">
        <f t="shared" si="17"/>
        <v>View on Google Map</v>
      </c>
    </row>
    <row r="355" spans="1:11" x14ac:dyDescent="0.25">
      <c r="A355" s="92">
        <v>337</v>
      </c>
      <c r="B355" s="93" t="s">
        <v>455</v>
      </c>
      <c r="C355" s="93" t="str">
        <f t="shared" si="18"/>
        <v>LTER 337</v>
      </c>
      <c r="D355" s="94">
        <v>68.525469999999999</v>
      </c>
      <c r="E355" s="76">
        <v>-150.03161</v>
      </c>
      <c r="F355" s="95"/>
      <c r="G355" s="93" t="s">
        <v>301</v>
      </c>
      <c r="H355" s="93" t="s">
        <v>399</v>
      </c>
      <c r="I355" s="93" t="s">
        <v>400</v>
      </c>
      <c r="J355" s="76" t="s">
        <v>1201</v>
      </c>
      <c r="K355" s="73" t="str">
        <f t="shared" si="17"/>
        <v>View on Google Map</v>
      </c>
    </row>
    <row r="356" spans="1:11" x14ac:dyDescent="0.25">
      <c r="A356" s="92">
        <v>338</v>
      </c>
      <c r="B356" s="93" t="s">
        <v>456</v>
      </c>
      <c r="C356" s="93" t="str">
        <f t="shared" si="18"/>
        <v>LTER 338</v>
      </c>
      <c r="D356" s="94">
        <v>68.522760000000005</v>
      </c>
      <c r="E356" s="76">
        <v>-150.02337</v>
      </c>
      <c r="F356" s="95"/>
      <c r="G356" s="93" t="s">
        <v>301</v>
      </c>
      <c r="H356" s="93" t="s">
        <v>399</v>
      </c>
      <c r="I356" s="93" t="s">
        <v>400</v>
      </c>
      <c r="J356" s="76" t="s">
        <v>1202</v>
      </c>
      <c r="K356" s="73" t="str">
        <f t="shared" si="17"/>
        <v>View on Google Map</v>
      </c>
    </row>
    <row r="357" spans="1:11" x14ac:dyDescent="0.25">
      <c r="A357" s="92">
        <v>339</v>
      </c>
      <c r="B357" s="93" t="s">
        <v>457</v>
      </c>
      <c r="C357" s="93" t="str">
        <f t="shared" si="18"/>
        <v>LTER 339</v>
      </c>
      <c r="D357" s="94">
        <v>68.574079999999995</v>
      </c>
      <c r="E357" s="76">
        <v>-149.97667999999999</v>
      </c>
      <c r="F357" s="95"/>
      <c r="G357" s="93" t="s">
        <v>301</v>
      </c>
      <c r="H357" s="93" t="s">
        <v>399</v>
      </c>
      <c r="I357" s="93" t="s">
        <v>400</v>
      </c>
      <c r="J357" s="76" t="s">
        <v>1203</v>
      </c>
      <c r="K357" s="73" t="str">
        <f t="shared" si="17"/>
        <v>View on Google Map</v>
      </c>
    </row>
    <row r="358" spans="1:11" x14ac:dyDescent="0.25">
      <c r="A358" s="92">
        <v>340</v>
      </c>
      <c r="B358" s="93" t="s">
        <v>458</v>
      </c>
      <c r="C358" s="93" t="str">
        <f t="shared" si="18"/>
        <v>LTER 340</v>
      </c>
      <c r="D358" s="94">
        <v>68.571700000000007</v>
      </c>
      <c r="E358" s="76">
        <v>-149.97282000000001</v>
      </c>
      <c r="F358" s="95"/>
      <c r="G358" s="93" t="s">
        <v>301</v>
      </c>
      <c r="H358" s="93" t="s">
        <v>399</v>
      </c>
      <c r="I358" s="93" t="s">
        <v>400</v>
      </c>
      <c r="J358" s="76" t="s">
        <v>1204</v>
      </c>
      <c r="K358" s="73" t="str">
        <f t="shared" si="17"/>
        <v>View on Google Map</v>
      </c>
    </row>
    <row r="359" spans="1:11" x14ac:dyDescent="0.25">
      <c r="A359" s="92">
        <v>341</v>
      </c>
      <c r="B359" s="93" t="s">
        <v>459</v>
      </c>
      <c r="C359" s="93" t="str">
        <f t="shared" si="18"/>
        <v>LTER 341</v>
      </c>
      <c r="D359" s="94">
        <v>68.562790000000007</v>
      </c>
      <c r="E359" s="76">
        <v>-149.97788</v>
      </c>
      <c r="F359" s="95"/>
      <c r="G359" s="93" t="s">
        <v>301</v>
      </c>
      <c r="H359" s="93" t="s">
        <v>399</v>
      </c>
      <c r="I359" s="93" t="s">
        <v>400</v>
      </c>
      <c r="J359" s="76" t="s">
        <v>1205</v>
      </c>
      <c r="K359" s="73" t="str">
        <f t="shared" si="17"/>
        <v>View on Google Map</v>
      </c>
    </row>
    <row r="360" spans="1:11" x14ac:dyDescent="0.25">
      <c r="A360" s="92">
        <v>342</v>
      </c>
      <c r="B360" s="93" t="s">
        <v>460</v>
      </c>
      <c r="C360" s="93" t="str">
        <f t="shared" si="18"/>
        <v>LTER 342</v>
      </c>
      <c r="D360" s="94">
        <v>68.555999999999997</v>
      </c>
      <c r="E360" s="76">
        <v>-149.93355</v>
      </c>
      <c r="F360" s="95"/>
      <c r="G360" s="93" t="s">
        <v>301</v>
      </c>
      <c r="H360" s="93" t="s">
        <v>399</v>
      </c>
      <c r="I360" s="93" t="s">
        <v>400</v>
      </c>
      <c r="J360" s="76" t="s">
        <v>1206</v>
      </c>
      <c r="K360" s="73" t="str">
        <f t="shared" si="17"/>
        <v>View on Google Map</v>
      </c>
    </row>
    <row r="361" spans="1:11" x14ac:dyDescent="0.25">
      <c r="A361" s="92">
        <v>343</v>
      </c>
      <c r="B361" s="93" t="s">
        <v>461</v>
      </c>
      <c r="C361" s="93" t="str">
        <f t="shared" si="18"/>
        <v>LTER 343</v>
      </c>
      <c r="D361" s="94">
        <v>68.567300000000003</v>
      </c>
      <c r="E361" s="76">
        <v>-149.90037000000001</v>
      </c>
      <c r="F361" s="95"/>
      <c r="G361" s="93" t="s">
        <v>301</v>
      </c>
      <c r="H361" s="93" t="s">
        <v>399</v>
      </c>
      <c r="I361" s="93" t="s">
        <v>400</v>
      </c>
      <c r="J361" s="76" t="s">
        <v>1207</v>
      </c>
      <c r="K361" s="73" t="str">
        <f t="shared" si="17"/>
        <v>View on Google Map</v>
      </c>
    </row>
    <row r="362" spans="1:11" x14ac:dyDescent="0.25">
      <c r="A362" s="92">
        <v>344</v>
      </c>
      <c r="B362" s="93" t="s">
        <v>462</v>
      </c>
      <c r="C362" s="93" t="str">
        <f t="shared" si="18"/>
        <v>LTER 344</v>
      </c>
      <c r="D362" s="94">
        <v>68.615876499999999</v>
      </c>
      <c r="E362" s="76">
        <v>-149.12326809999999</v>
      </c>
      <c r="F362" s="95">
        <v>910</v>
      </c>
      <c r="G362" s="93" t="s">
        <v>301</v>
      </c>
      <c r="H362" s="93" t="s">
        <v>399</v>
      </c>
      <c r="I362" s="93" t="s">
        <v>400</v>
      </c>
      <c r="J362" s="76" t="s">
        <v>1208</v>
      </c>
      <c r="K362" s="73" t="str">
        <f t="shared" si="17"/>
        <v>View on Google Map</v>
      </c>
    </row>
    <row r="363" spans="1:11" x14ac:dyDescent="0.25">
      <c r="A363" s="92">
        <v>345</v>
      </c>
      <c r="B363" s="93" t="s">
        <v>463</v>
      </c>
      <c r="C363" s="93" t="str">
        <f t="shared" si="18"/>
        <v>LTER 345</v>
      </c>
      <c r="D363" s="94">
        <v>68.62276</v>
      </c>
      <c r="E363" s="76">
        <v>-149.15088</v>
      </c>
      <c r="F363" s="95">
        <v>862</v>
      </c>
      <c r="G363" s="93" t="s">
        <v>301</v>
      </c>
      <c r="H363" s="93" t="s">
        <v>399</v>
      </c>
      <c r="I363" s="93" t="s">
        <v>400</v>
      </c>
      <c r="J363" s="76" t="s">
        <v>1209</v>
      </c>
      <c r="K363" s="73" t="str">
        <f t="shared" si="17"/>
        <v>View on Google Map</v>
      </c>
    </row>
    <row r="364" spans="1:11" x14ac:dyDescent="0.25">
      <c r="A364" s="124">
        <v>1251</v>
      </c>
      <c r="B364" s="97" t="s">
        <v>772</v>
      </c>
      <c r="C364" s="93" t="str">
        <f t="shared" si="18"/>
        <v>LTER 345 Slump Inlet</v>
      </c>
      <c r="D364" s="125">
        <v>68.620315000000005</v>
      </c>
      <c r="E364" s="76">
        <v>-149.14917</v>
      </c>
      <c r="F364" s="115">
        <v>865</v>
      </c>
      <c r="G364" s="97"/>
      <c r="H364" s="97" t="s">
        <v>728</v>
      </c>
      <c r="I364" s="97"/>
      <c r="J364" s="76" t="s">
        <v>946</v>
      </c>
      <c r="K364" s="73" t="str">
        <f t="shared" si="17"/>
        <v>View on Google Map</v>
      </c>
    </row>
    <row r="365" spans="1:11" x14ac:dyDescent="0.25">
      <c r="A365" s="124">
        <v>1252</v>
      </c>
      <c r="B365" s="97" t="s">
        <v>773</v>
      </c>
      <c r="C365" s="93" t="str">
        <f t="shared" si="18"/>
        <v>LTER 345 Trench Inlet</v>
      </c>
      <c r="D365" s="125">
        <v>68.621846000000005</v>
      </c>
      <c r="E365" s="76">
        <v>-149.143126</v>
      </c>
      <c r="F365" s="115">
        <v>865</v>
      </c>
      <c r="G365" s="97"/>
      <c r="H365" s="97" t="s">
        <v>728</v>
      </c>
      <c r="I365" s="97"/>
      <c r="J365" s="76" t="s">
        <v>946</v>
      </c>
      <c r="K365" s="73" t="str">
        <f t="shared" si="17"/>
        <v>View on Google Map</v>
      </c>
    </row>
    <row r="366" spans="1:11" x14ac:dyDescent="0.25">
      <c r="A366" s="92">
        <v>346</v>
      </c>
      <c r="B366" s="93" t="s">
        <v>464</v>
      </c>
      <c r="C366" s="93" t="str">
        <f t="shared" ref="C366:C397" si="19">B366</f>
        <v>LTER 346</v>
      </c>
      <c r="D366" s="94">
        <v>68.625380000000007</v>
      </c>
      <c r="E366" s="76">
        <v>-149.13919000000001</v>
      </c>
      <c r="F366" s="95">
        <v>878</v>
      </c>
      <c r="G366" s="93" t="s">
        <v>301</v>
      </c>
      <c r="H366" s="93" t="s">
        <v>399</v>
      </c>
      <c r="I366" s="93" t="s">
        <v>400</v>
      </c>
      <c r="J366" s="76" t="s">
        <v>1210</v>
      </c>
      <c r="K366" s="73" t="str">
        <f t="shared" si="17"/>
        <v>View on Google Map</v>
      </c>
    </row>
    <row r="367" spans="1:11" x14ac:dyDescent="0.25">
      <c r="A367" s="124">
        <v>1253</v>
      </c>
      <c r="B367" s="97" t="s">
        <v>774</v>
      </c>
      <c r="C367" s="93" t="str">
        <f t="shared" si="19"/>
        <v>LTER 346 Outlet</v>
      </c>
      <c r="D367" s="125">
        <v>68.624347</v>
      </c>
      <c r="E367" s="76">
        <v>-149.14078599999999</v>
      </c>
      <c r="F367" s="115">
        <v>880</v>
      </c>
      <c r="G367" s="97"/>
      <c r="H367" s="97" t="s">
        <v>728</v>
      </c>
      <c r="I367" s="97"/>
      <c r="J367" s="76" t="s">
        <v>1211</v>
      </c>
      <c r="K367" s="73" t="str">
        <f t="shared" si="17"/>
        <v>View on Google Map</v>
      </c>
    </row>
    <row r="368" spans="1:11" x14ac:dyDescent="0.25">
      <c r="A368" s="92">
        <v>347</v>
      </c>
      <c r="B368" s="93" t="s">
        <v>465</v>
      </c>
      <c r="C368" s="93" t="str">
        <f t="shared" si="19"/>
        <v>LTER 347</v>
      </c>
      <c r="D368" s="94">
        <v>68.630368899999993</v>
      </c>
      <c r="E368" s="76">
        <v>-149.16043310000001</v>
      </c>
      <c r="F368" s="95">
        <v>859</v>
      </c>
      <c r="G368" s="93" t="s">
        <v>301</v>
      </c>
      <c r="H368" s="93" t="s">
        <v>399</v>
      </c>
      <c r="I368" s="93" t="s">
        <v>400</v>
      </c>
      <c r="J368" s="76" t="s">
        <v>1212</v>
      </c>
      <c r="K368" s="73" t="str">
        <f t="shared" si="17"/>
        <v>View on Google Map</v>
      </c>
    </row>
    <row r="369" spans="1:11" x14ac:dyDescent="0.25">
      <c r="A369" s="124">
        <v>1254</v>
      </c>
      <c r="B369" s="97" t="s">
        <v>775</v>
      </c>
      <c r="C369" s="93" t="str">
        <f t="shared" si="19"/>
        <v>LTER 347 Outlet</v>
      </c>
      <c r="D369" s="125">
        <v>68.632930000000002</v>
      </c>
      <c r="E369" s="76">
        <v>-149.16949299999999</v>
      </c>
      <c r="F369" s="115">
        <v>856</v>
      </c>
      <c r="G369" s="97"/>
      <c r="H369" s="97" t="s">
        <v>728</v>
      </c>
      <c r="I369" s="97"/>
      <c r="J369" s="76" t="s">
        <v>946</v>
      </c>
      <c r="K369" s="73" t="str">
        <f t="shared" si="17"/>
        <v>View on Google Map</v>
      </c>
    </row>
    <row r="370" spans="1:11" x14ac:dyDescent="0.25">
      <c r="A370" s="92">
        <v>348</v>
      </c>
      <c r="B370" s="93" t="s">
        <v>466</v>
      </c>
      <c r="C370" s="93" t="str">
        <f t="shared" si="19"/>
        <v>LTER 348</v>
      </c>
      <c r="D370" s="94">
        <v>68.636178099999995</v>
      </c>
      <c r="E370" s="76">
        <v>-149.14335249999999</v>
      </c>
      <c r="F370" s="95">
        <v>883</v>
      </c>
      <c r="G370" s="93" t="s">
        <v>301</v>
      </c>
      <c r="H370" s="93" t="s">
        <v>399</v>
      </c>
      <c r="I370" s="93" t="s">
        <v>400</v>
      </c>
      <c r="J370" s="76" t="s">
        <v>1213</v>
      </c>
      <c r="K370" s="73" t="str">
        <f t="shared" si="17"/>
        <v>View on Google Map</v>
      </c>
    </row>
    <row r="371" spans="1:11" x14ac:dyDescent="0.25">
      <c r="A371" s="92">
        <v>349</v>
      </c>
      <c r="B371" s="93" t="s">
        <v>467</v>
      </c>
      <c r="C371" s="93" t="str">
        <f t="shared" si="19"/>
        <v>LTER 349</v>
      </c>
      <c r="D371" s="94">
        <v>68.637741399999996</v>
      </c>
      <c r="E371" s="76">
        <v>-149.18163300000001</v>
      </c>
      <c r="F371" s="95">
        <v>841</v>
      </c>
      <c r="G371" s="93" t="s">
        <v>301</v>
      </c>
      <c r="H371" s="93" t="s">
        <v>399</v>
      </c>
      <c r="I371" s="93" t="s">
        <v>400</v>
      </c>
      <c r="J371" s="76" t="s">
        <v>1214</v>
      </c>
      <c r="K371" s="73" t="str">
        <f t="shared" si="17"/>
        <v>View on Google Map</v>
      </c>
    </row>
    <row r="372" spans="1:11" x14ac:dyDescent="0.25">
      <c r="A372" s="92">
        <v>350</v>
      </c>
      <c r="B372" s="93" t="s">
        <v>468</v>
      </c>
      <c r="C372" s="93" t="str">
        <f t="shared" si="19"/>
        <v>LTER 350</v>
      </c>
      <c r="D372" s="94">
        <v>68.634864800000003</v>
      </c>
      <c r="E372" s="76">
        <v>-149.1939926</v>
      </c>
      <c r="F372" s="95">
        <v>838</v>
      </c>
      <c r="G372" s="93" t="s">
        <v>301</v>
      </c>
      <c r="H372" s="93" t="s">
        <v>399</v>
      </c>
      <c r="I372" s="93" t="s">
        <v>400</v>
      </c>
      <c r="J372" s="76" t="s">
        <v>1215</v>
      </c>
      <c r="K372" s="73" t="str">
        <f t="shared" si="17"/>
        <v>View on Google Map</v>
      </c>
    </row>
    <row r="373" spans="1:11" x14ac:dyDescent="0.25">
      <c r="A373" s="92">
        <v>351</v>
      </c>
      <c r="B373" s="93" t="s">
        <v>469</v>
      </c>
      <c r="C373" s="93" t="str">
        <f t="shared" si="19"/>
        <v>LTER 351</v>
      </c>
      <c r="D373" s="94">
        <v>68.630987099999999</v>
      </c>
      <c r="E373" s="76">
        <v>-149.1915894</v>
      </c>
      <c r="F373" s="95">
        <v>841</v>
      </c>
      <c r="G373" s="93" t="s">
        <v>301</v>
      </c>
      <c r="H373" s="93" t="s">
        <v>399</v>
      </c>
      <c r="I373" s="93" t="s">
        <v>400</v>
      </c>
      <c r="J373" s="76" t="s">
        <v>1216</v>
      </c>
      <c r="K373" s="73" t="str">
        <f t="shared" si="17"/>
        <v>View on Google Map</v>
      </c>
    </row>
    <row r="374" spans="1:11" x14ac:dyDescent="0.25">
      <c r="A374" s="92">
        <v>352</v>
      </c>
      <c r="B374" s="93" t="s">
        <v>470</v>
      </c>
      <c r="C374" s="93" t="str">
        <f t="shared" si="19"/>
        <v>LTER 352</v>
      </c>
      <c r="D374" s="94">
        <v>68.635677799999996</v>
      </c>
      <c r="E374" s="76">
        <v>-149.20738220000001</v>
      </c>
      <c r="F374" s="95">
        <v>833</v>
      </c>
      <c r="G374" s="93" t="s">
        <v>301</v>
      </c>
      <c r="H374" s="93" t="s">
        <v>399</v>
      </c>
      <c r="I374" s="93" t="s">
        <v>400</v>
      </c>
      <c r="J374" s="76" t="s">
        <v>1217</v>
      </c>
      <c r="K374" s="73" t="str">
        <f t="shared" si="17"/>
        <v>View on Google Map</v>
      </c>
    </row>
    <row r="375" spans="1:11" x14ac:dyDescent="0.25">
      <c r="A375" s="92">
        <v>353</v>
      </c>
      <c r="B375" s="93" t="s">
        <v>471</v>
      </c>
      <c r="C375" s="93" t="str">
        <f t="shared" si="19"/>
        <v>LTER 353</v>
      </c>
      <c r="D375" s="94">
        <v>68.584843300000003</v>
      </c>
      <c r="E375" s="76">
        <v>-149.20885799999999</v>
      </c>
      <c r="F375" s="95">
        <v>898</v>
      </c>
      <c r="G375" s="93" t="s">
        <v>301</v>
      </c>
      <c r="H375" s="93" t="s">
        <v>399</v>
      </c>
      <c r="I375" s="93" t="s">
        <v>400</v>
      </c>
      <c r="J375" s="76" t="s">
        <v>1218</v>
      </c>
      <c r="K375" s="73" t="str">
        <f t="shared" si="17"/>
        <v>View on Google Map</v>
      </c>
    </row>
    <row r="376" spans="1:11" x14ac:dyDescent="0.25">
      <c r="A376" s="92">
        <v>354</v>
      </c>
      <c r="B376" s="93" t="s">
        <v>472</v>
      </c>
      <c r="C376" s="93" t="str">
        <f t="shared" si="19"/>
        <v>LTER 354</v>
      </c>
      <c r="D376" s="94">
        <v>68.583330000000004</v>
      </c>
      <c r="E376" s="76">
        <v>-149.18833000000001</v>
      </c>
      <c r="F376" s="95">
        <v>896</v>
      </c>
      <c r="G376" s="93" t="s">
        <v>301</v>
      </c>
      <c r="H376" s="93" t="s">
        <v>399</v>
      </c>
      <c r="I376" s="93" t="s">
        <v>400</v>
      </c>
      <c r="J376" s="76" t="s">
        <v>1219</v>
      </c>
      <c r="K376" s="73" t="str">
        <f t="shared" si="17"/>
        <v>View on Google Map</v>
      </c>
    </row>
    <row r="377" spans="1:11" x14ac:dyDescent="0.25">
      <c r="A377" s="92">
        <v>355</v>
      </c>
      <c r="B377" s="93" t="s">
        <v>473</v>
      </c>
      <c r="C377" s="93" t="str">
        <f t="shared" si="19"/>
        <v>LTER 355</v>
      </c>
      <c r="D377" s="94">
        <v>68.589068999999995</v>
      </c>
      <c r="E377" s="76">
        <v>-149.18441530000001</v>
      </c>
      <c r="F377" s="95">
        <v>880</v>
      </c>
      <c r="G377" s="93" t="s">
        <v>301</v>
      </c>
      <c r="H377" s="93" t="s">
        <v>399</v>
      </c>
      <c r="I377" s="93" t="s">
        <v>400</v>
      </c>
      <c r="J377" s="76" t="s">
        <v>1220</v>
      </c>
      <c r="K377" s="73" t="str">
        <f t="shared" si="17"/>
        <v>View on Google Map</v>
      </c>
    </row>
    <row r="378" spans="1:11" x14ac:dyDescent="0.25">
      <c r="A378" s="92">
        <v>357</v>
      </c>
      <c r="B378" s="93" t="s">
        <v>474</v>
      </c>
      <c r="C378" s="93" t="str">
        <f t="shared" si="19"/>
        <v>LTER 357</v>
      </c>
      <c r="D378" s="94">
        <v>68.596057700000003</v>
      </c>
      <c r="E378" s="76">
        <v>-149.16146280000001</v>
      </c>
      <c r="F378" s="95"/>
      <c r="G378" s="93" t="s">
        <v>301</v>
      </c>
      <c r="H378" s="93" t="s">
        <v>399</v>
      </c>
      <c r="I378" s="93" t="s">
        <v>400</v>
      </c>
      <c r="J378" s="76" t="s">
        <v>1221</v>
      </c>
      <c r="K378" s="73" t="str">
        <f t="shared" si="17"/>
        <v>View on Google Map</v>
      </c>
    </row>
    <row r="379" spans="1:11" x14ac:dyDescent="0.25">
      <c r="A379" s="92">
        <v>358</v>
      </c>
      <c r="B379" s="93" t="s">
        <v>475</v>
      </c>
      <c r="C379" s="93" t="str">
        <f t="shared" si="19"/>
        <v>LTER 358</v>
      </c>
      <c r="D379" s="94">
        <v>68.590544199999997</v>
      </c>
      <c r="E379" s="76">
        <v>-149.17613979999999</v>
      </c>
      <c r="F379" s="95"/>
      <c r="G379" s="93" t="s">
        <v>301</v>
      </c>
      <c r="H379" s="93" t="s">
        <v>399</v>
      </c>
      <c r="I379" s="93" t="s">
        <v>400</v>
      </c>
      <c r="J379" s="76" t="s">
        <v>1222</v>
      </c>
      <c r="K379" s="73" t="str">
        <f t="shared" si="17"/>
        <v>View on Google Map</v>
      </c>
    </row>
    <row r="380" spans="1:11" x14ac:dyDescent="0.25">
      <c r="A380" s="92">
        <v>359</v>
      </c>
      <c r="B380" s="93" t="s">
        <v>476</v>
      </c>
      <c r="C380" s="93" t="str">
        <f t="shared" si="19"/>
        <v>LTER 359</v>
      </c>
      <c r="D380" s="94">
        <v>68.600473800000003</v>
      </c>
      <c r="E380" s="76">
        <v>-149.14137840000001</v>
      </c>
      <c r="F380" s="95">
        <v>857</v>
      </c>
      <c r="G380" s="93" t="s">
        <v>301</v>
      </c>
      <c r="H380" s="93" t="s">
        <v>399</v>
      </c>
      <c r="I380" s="93" t="s">
        <v>400</v>
      </c>
      <c r="J380" s="76" t="s">
        <v>1223</v>
      </c>
      <c r="K380" s="73" t="str">
        <f t="shared" si="17"/>
        <v>View on Google Map</v>
      </c>
    </row>
    <row r="381" spans="1:11" x14ac:dyDescent="0.25">
      <c r="A381" s="92">
        <v>360</v>
      </c>
      <c r="B381" s="93" t="s">
        <v>477</v>
      </c>
      <c r="C381" s="93" t="str">
        <f t="shared" si="19"/>
        <v>LTER 360</v>
      </c>
      <c r="D381" s="94">
        <v>68.609741700000001</v>
      </c>
      <c r="E381" s="76">
        <v>-149.15081979999999</v>
      </c>
      <c r="F381" s="95">
        <v>876</v>
      </c>
      <c r="G381" s="93" t="s">
        <v>301</v>
      </c>
      <c r="H381" s="93" t="s">
        <v>399</v>
      </c>
      <c r="I381" s="93" t="s">
        <v>400</v>
      </c>
      <c r="J381" s="76" t="s">
        <v>1224</v>
      </c>
      <c r="K381" s="73" t="str">
        <f t="shared" si="17"/>
        <v>View on Google Map</v>
      </c>
    </row>
    <row r="382" spans="1:11" x14ac:dyDescent="0.25">
      <c r="A382" s="92">
        <v>361</v>
      </c>
      <c r="B382" s="93" t="s">
        <v>478</v>
      </c>
      <c r="C382" s="93" t="str">
        <f t="shared" si="19"/>
        <v>LTER 361</v>
      </c>
      <c r="D382" s="94">
        <v>68.616283300000006</v>
      </c>
      <c r="E382" s="76">
        <v>-149.1610336</v>
      </c>
      <c r="F382" s="95">
        <v>869</v>
      </c>
      <c r="G382" s="93" t="s">
        <v>301</v>
      </c>
      <c r="H382" s="93" t="s">
        <v>399</v>
      </c>
      <c r="I382" s="93" t="s">
        <v>400</v>
      </c>
      <c r="J382" s="76" t="s">
        <v>1225</v>
      </c>
      <c r="K382" s="73" t="str">
        <f t="shared" si="17"/>
        <v>View on Google Map</v>
      </c>
    </row>
    <row r="383" spans="1:11" x14ac:dyDescent="0.25">
      <c r="A383" s="92">
        <v>362</v>
      </c>
      <c r="B383" s="93" t="s">
        <v>479</v>
      </c>
      <c r="C383" s="93" t="str">
        <f t="shared" si="19"/>
        <v>LTER 362</v>
      </c>
      <c r="D383" s="94">
        <v>68.618317399999995</v>
      </c>
      <c r="E383" s="76">
        <v>-149.18609620000001</v>
      </c>
      <c r="F383" s="95">
        <v>862</v>
      </c>
      <c r="G383" s="93" t="s">
        <v>301</v>
      </c>
      <c r="H383" s="93" t="s">
        <v>399</v>
      </c>
      <c r="I383" s="93" t="s">
        <v>400</v>
      </c>
      <c r="J383" s="76" t="s">
        <v>1226</v>
      </c>
      <c r="K383" s="73" t="str">
        <f t="shared" si="17"/>
        <v>View on Google Map</v>
      </c>
    </row>
    <row r="384" spans="1:11" x14ac:dyDescent="0.25">
      <c r="A384" s="92">
        <v>363</v>
      </c>
      <c r="B384" s="93" t="s">
        <v>480</v>
      </c>
      <c r="C384" s="93" t="str">
        <f t="shared" si="19"/>
        <v>LTER 363</v>
      </c>
      <c r="D384" s="94">
        <v>68.614358600000003</v>
      </c>
      <c r="E384" s="76">
        <v>-149.1947222</v>
      </c>
      <c r="F384" s="95"/>
      <c r="G384" s="93" t="s">
        <v>301</v>
      </c>
      <c r="H384" s="93" t="s">
        <v>399</v>
      </c>
      <c r="I384" s="93" t="s">
        <v>400</v>
      </c>
      <c r="J384" s="76" t="s">
        <v>1227</v>
      </c>
      <c r="K384" s="73" t="str">
        <f t="shared" si="17"/>
        <v>View on Google Map</v>
      </c>
    </row>
    <row r="385" spans="1:11" x14ac:dyDescent="0.25">
      <c r="A385" s="92">
        <v>364</v>
      </c>
      <c r="B385" s="93" t="s">
        <v>481</v>
      </c>
      <c r="C385" s="93" t="str">
        <f t="shared" si="19"/>
        <v>LTER 364</v>
      </c>
      <c r="D385" s="94">
        <v>68.694220000000001</v>
      </c>
      <c r="E385" s="76">
        <v>-149.73678000000001</v>
      </c>
      <c r="F385" s="95"/>
      <c r="G385" s="93" t="s">
        <v>301</v>
      </c>
      <c r="H385" s="93" t="s">
        <v>399</v>
      </c>
      <c r="I385" s="93" t="s">
        <v>400</v>
      </c>
      <c r="J385" s="76" t="s">
        <v>1228</v>
      </c>
      <c r="K385" s="73" t="str">
        <f t="shared" si="17"/>
        <v>View on Google Map</v>
      </c>
    </row>
    <row r="386" spans="1:11" x14ac:dyDescent="0.25">
      <c r="A386" s="92">
        <v>365</v>
      </c>
      <c r="B386" s="93" t="s">
        <v>482</v>
      </c>
      <c r="C386" s="93" t="str">
        <f t="shared" si="19"/>
        <v>LTER 365</v>
      </c>
      <c r="D386" s="94">
        <v>68.696110000000004</v>
      </c>
      <c r="E386" s="76">
        <v>-149.73167000000001</v>
      </c>
      <c r="F386" s="95"/>
      <c r="G386" s="93" t="s">
        <v>301</v>
      </c>
      <c r="H386" s="93" t="s">
        <v>399</v>
      </c>
      <c r="I386" s="93" t="s">
        <v>400</v>
      </c>
      <c r="J386" s="76" t="s">
        <v>1229</v>
      </c>
      <c r="K386" s="73" t="str">
        <f t="shared" si="17"/>
        <v>View on Google Map</v>
      </c>
    </row>
    <row r="387" spans="1:11" x14ac:dyDescent="0.25">
      <c r="A387" s="92">
        <v>366</v>
      </c>
      <c r="B387" s="93" t="s">
        <v>483</v>
      </c>
      <c r="C387" s="93" t="str">
        <f t="shared" si="19"/>
        <v>LTER 366</v>
      </c>
      <c r="D387" s="94">
        <v>68.696129999999997</v>
      </c>
      <c r="E387" s="76">
        <v>-149.71038999999999</v>
      </c>
      <c r="F387" s="95"/>
      <c r="G387" s="93" t="s">
        <v>301</v>
      </c>
      <c r="H387" s="93" t="s">
        <v>399</v>
      </c>
      <c r="I387" s="93" t="s">
        <v>400</v>
      </c>
      <c r="J387" s="76" t="s">
        <v>1230</v>
      </c>
      <c r="K387" s="73" t="str">
        <f t="shared" ref="K387:K450" si="20">HYPERLINK("http://maps.google.com/maps?q="&amp;D387&amp;","&amp;E387,"View on Google Map")</f>
        <v>View on Google Map</v>
      </c>
    </row>
    <row r="388" spans="1:11" x14ac:dyDescent="0.25">
      <c r="A388" s="92">
        <v>367</v>
      </c>
      <c r="B388" s="93" t="s">
        <v>484</v>
      </c>
      <c r="C388" s="93" t="str">
        <f t="shared" si="19"/>
        <v>LTER 367</v>
      </c>
      <c r="D388" s="94">
        <v>68.688140000000004</v>
      </c>
      <c r="E388" s="76">
        <v>-149.73549</v>
      </c>
      <c r="F388" s="95"/>
      <c r="G388" s="93" t="s">
        <v>301</v>
      </c>
      <c r="H388" s="93" t="s">
        <v>399</v>
      </c>
      <c r="I388" s="93" t="s">
        <v>400</v>
      </c>
      <c r="J388" s="76" t="s">
        <v>1231</v>
      </c>
      <c r="K388" s="73" t="str">
        <f t="shared" si="20"/>
        <v>View on Google Map</v>
      </c>
    </row>
    <row r="389" spans="1:11" x14ac:dyDescent="0.25">
      <c r="A389" s="92">
        <v>368</v>
      </c>
      <c r="B389" s="93" t="s">
        <v>485</v>
      </c>
      <c r="C389" s="93" t="str">
        <f t="shared" si="19"/>
        <v>LTER 368</v>
      </c>
      <c r="D389" s="94">
        <v>68.682839999999999</v>
      </c>
      <c r="E389" s="76">
        <v>-149.73983000000001</v>
      </c>
      <c r="F389" s="95"/>
      <c r="G389" s="93" t="s">
        <v>301</v>
      </c>
      <c r="H389" s="93" t="s">
        <v>399</v>
      </c>
      <c r="I389" s="93" t="s">
        <v>400</v>
      </c>
      <c r="J389" s="76" t="s">
        <v>1232</v>
      </c>
      <c r="K389" s="73" t="str">
        <f t="shared" si="20"/>
        <v>View on Google Map</v>
      </c>
    </row>
    <row r="390" spans="1:11" x14ac:dyDescent="0.25">
      <c r="A390" s="92">
        <v>369</v>
      </c>
      <c r="B390" s="93" t="s">
        <v>486</v>
      </c>
      <c r="C390" s="93" t="str">
        <f t="shared" si="19"/>
        <v>LTER 369</v>
      </c>
      <c r="D390" s="94">
        <v>68.683019999999999</v>
      </c>
      <c r="E390" s="76">
        <v>-149.76047</v>
      </c>
      <c r="F390" s="95"/>
      <c r="G390" s="93" t="s">
        <v>301</v>
      </c>
      <c r="H390" s="93" t="s">
        <v>399</v>
      </c>
      <c r="I390" s="93" t="s">
        <v>400</v>
      </c>
      <c r="J390" s="76" t="s">
        <v>1233</v>
      </c>
      <c r="K390" s="73" t="str">
        <f t="shared" si="20"/>
        <v>View on Google Map</v>
      </c>
    </row>
    <row r="391" spans="1:11" x14ac:dyDescent="0.25">
      <c r="A391" s="92">
        <v>389</v>
      </c>
      <c r="B391" s="93" t="s">
        <v>776</v>
      </c>
      <c r="C391" s="93" t="str">
        <f t="shared" si="19"/>
        <v>LTER 389</v>
      </c>
      <c r="D391" s="94">
        <v>68.568852800000002</v>
      </c>
      <c r="E391" s="76">
        <v>-149.4332886</v>
      </c>
      <c r="F391" s="95"/>
      <c r="G391" s="93" t="s">
        <v>301</v>
      </c>
      <c r="H391" s="93" t="s">
        <v>399</v>
      </c>
      <c r="I391" s="93" t="s">
        <v>400</v>
      </c>
      <c r="J391" s="76" t="s">
        <v>1234</v>
      </c>
      <c r="K391" s="73" t="str">
        <f t="shared" si="20"/>
        <v>View on Google Map</v>
      </c>
    </row>
    <row r="392" spans="1:11" x14ac:dyDescent="0.25">
      <c r="A392" s="92">
        <v>390</v>
      </c>
      <c r="B392" s="93" t="s">
        <v>777</v>
      </c>
      <c r="C392" s="93" t="str">
        <f t="shared" si="19"/>
        <v>LTER 390</v>
      </c>
      <c r="D392" s="94">
        <v>68.571267399999996</v>
      </c>
      <c r="E392" s="76">
        <v>-149.43706510000001</v>
      </c>
      <c r="F392" s="95"/>
      <c r="G392" s="93" t="s">
        <v>301</v>
      </c>
      <c r="H392" s="93" t="s">
        <v>399</v>
      </c>
      <c r="I392" s="93" t="s">
        <v>400</v>
      </c>
      <c r="J392" s="76" t="s">
        <v>1235</v>
      </c>
      <c r="K392" s="73" t="str">
        <f t="shared" si="20"/>
        <v>View on Google Map</v>
      </c>
    </row>
    <row r="393" spans="1:11" x14ac:dyDescent="0.25">
      <c r="A393" s="92">
        <v>391</v>
      </c>
      <c r="B393" s="93" t="s">
        <v>778</v>
      </c>
      <c r="C393" s="93" t="str">
        <f t="shared" si="19"/>
        <v>LTER 391</v>
      </c>
      <c r="D393" s="94">
        <v>68.600379899999993</v>
      </c>
      <c r="E393" s="76">
        <v>-149.43921090000001</v>
      </c>
      <c r="F393" s="95"/>
      <c r="G393" s="93" t="s">
        <v>301</v>
      </c>
      <c r="H393" s="93" t="s">
        <v>399</v>
      </c>
      <c r="I393" s="93" t="s">
        <v>400</v>
      </c>
      <c r="J393" s="76" t="s">
        <v>1236</v>
      </c>
      <c r="K393" s="73" t="str">
        <f t="shared" si="20"/>
        <v>View on Google Map</v>
      </c>
    </row>
    <row r="394" spans="1:11" x14ac:dyDescent="0.25">
      <c r="A394" s="92">
        <v>393</v>
      </c>
      <c r="B394" s="93" t="s">
        <v>779</v>
      </c>
      <c r="C394" s="93" t="str">
        <f t="shared" si="19"/>
        <v>LTER 393</v>
      </c>
      <c r="D394" s="94">
        <v>68.505602800000005</v>
      </c>
      <c r="E394" s="76">
        <v>-149.51568599999999</v>
      </c>
      <c r="F394" s="95"/>
      <c r="G394" s="93" t="s">
        <v>301</v>
      </c>
      <c r="H394" s="93" t="s">
        <v>399</v>
      </c>
      <c r="I394" s="93" t="s">
        <v>400</v>
      </c>
      <c r="J394" s="76" t="s">
        <v>1237</v>
      </c>
      <c r="K394" s="73" t="str">
        <f t="shared" si="20"/>
        <v>View on Google Map</v>
      </c>
    </row>
    <row r="395" spans="1:11" x14ac:dyDescent="0.25">
      <c r="A395" s="92">
        <v>394</v>
      </c>
      <c r="B395" s="93" t="s">
        <v>780</v>
      </c>
      <c r="C395" s="93" t="str">
        <f t="shared" si="19"/>
        <v>LTER 394</v>
      </c>
      <c r="D395" s="94">
        <v>68.508244399999995</v>
      </c>
      <c r="E395" s="76">
        <v>-149.58915709999999</v>
      </c>
      <c r="F395" s="95"/>
      <c r="G395" s="93" t="s">
        <v>301</v>
      </c>
      <c r="H395" s="93" t="s">
        <v>399</v>
      </c>
      <c r="I395" s="93" t="s">
        <v>400</v>
      </c>
      <c r="J395" s="76" t="s">
        <v>1238</v>
      </c>
      <c r="K395" s="73" t="str">
        <f t="shared" si="20"/>
        <v>View on Google Map</v>
      </c>
    </row>
    <row r="396" spans="1:11" x14ac:dyDescent="0.25">
      <c r="A396" s="92">
        <v>395</v>
      </c>
      <c r="B396" s="93" t="s">
        <v>781</v>
      </c>
      <c r="C396" s="93" t="str">
        <f t="shared" si="19"/>
        <v>LTER 395</v>
      </c>
      <c r="D396" s="94">
        <v>68.525422899999995</v>
      </c>
      <c r="E396" s="76">
        <v>-149.54177859999999</v>
      </c>
      <c r="F396" s="95"/>
      <c r="G396" s="93" t="s">
        <v>301</v>
      </c>
      <c r="H396" s="93" t="s">
        <v>399</v>
      </c>
      <c r="I396" s="93" t="s">
        <v>400</v>
      </c>
      <c r="J396" s="76" t="s">
        <v>1239</v>
      </c>
      <c r="K396" s="73" t="str">
        <f t="shared" si="20"/>
        <v>View on Google Map</v>
      </c>
    </row>
    <row r="397" spans="1:11" x14ac:dyDescent="0.25">
      <c r="A397" s="92">
        <v>396</v>
      </c>
      <c r="B397" s="93" t="s">
        <v>782</v>
      </c>
      <c r="C397" s="93" t="str">
        <f t="shared" si="19"/>
        <v>LTER 396</v>
      </c>
      <c r="D397" s="94">
        <v>68.530936699999998</v>
      </c>
      <c r="E397" s="76">
        <v>-149.5404911</v>
      </c>
      <c r="F397" s="95"/>
      <c r="G397" s="93" t="s">
        <v>301</v>
      </c>
      <c r="H397" s="93" t="s">
        <v>399</v>
      </c>
      <c r="I397" s="93" t="s">
        <v>400</v>
      </c>
      <c r="J397" s="76" t="s">
        <v>1240</v>
      </c>
      <c r="K397" s="73" t="str">
        <f t="shared" si="20"/>
        <v>View on Google Map</v>
      </c>
    </row>
    <row r="398" spans="1:11" x14ac:dyDescent="0.25">
      <c r="A398" s="92">
        <v>397</v>
      </c>
      <c r="B398" s="93" t="s">
        <v>783</v>
      </c>
      <c r="C398" s="93" t="str">
        <f t="shared" ref="C398:C429" si="21">B398</f>
        <v>LTER 397</v>
      </c>
      <c r="D398" s="94">
        <v>68.623871100000002</v>
      </c>
      <c r="E398" s="76">
        <v>-149.46989540000001</v>
      </c>
      <c r="F398" s="95"/>
      <c r="G398" s="93" t="s">
        <v>301</v>
      </c>
      <c r="H398" s="93" t="s">
        <v>399</v>
      </c>
      <c r="I398" s="93" t="s">
        <v>400</v>
      </c>
      <c r="J398" s="76" t="s">
        <v>1241</v>
      </c>
      <c r="K398" s="73" t="str">
        <f t="shared" si="20"/>
        <v>View on Google Map</v>
      </c>
    </row>
    <row r="399" spans="1:11" x14ac:dyDescent="0.25">
      <c r="A399" s="92">
        <v>398</v>
      </c>
      <c r="B399" s="93" t="s">
        <v>784</v>
      </c>
      <c r="C399" s="93" t="str">
        <f t="shared" si="21"/>
        <v>LTER 398</v>
      </c>
      <c r="D399" s="94">
        <v>68.569668100000001</v>
      </c>
      <c r="E399" s="76">
        <v>-149.44006920000001</v>
      </c>
      <c r="F399" s="95"/>
      <c r="G399" s="93" t="s">
        <v>301</v>
      </c>
      <c r="H399" s="93" t="s">
        <v>399</v>
      </c>
      <c r="I399" s="93" t="s">
        <v>400</v>
      </c>
      <c r="J399" s="76" t="s">
        <v>1242</v>
      </c>
      <c r="K399" s="73" t="str">
        <f t="shared" si="20"/>
        <v>View on Google Map</v>
      </c>
    </row>
    <row r="400" spans="1:11" x14ac:dyDescent="0.25">
      <c r="A400" s="92">
        <v>408</v>
      </c>
      <c r="B400" s="93" t="s">
        <v>785</v>
      </c>
      <c r="C400" s="93" t="str">
        <f t="shared" si="21"/>
        <v>LTER 408</v>
      </c>
      <c r="D400" s="94">
        <v>68.606955499999998</v>
      </c>
      <c r="E400" s="76">
        <v>-149.19588089999999</v>
      </c>
      <c r="F400" s="95">
        <v>866</v>
      </c>
      <c r="G400" s="93" t="s">
        <v>301</v>
      </c>
      <c r="H400" s="93" t="s">
        <v>399</v>
      </c>
      <c r="I400" s="93" t="s">
        <v>400</v>
      </c>
      <c r="J400" s="76" t="s">
        <v>1243</v>
      </c>
      <c r="K400" s="73" t="str">
        <f t="shared" si="20"/>
        <v>View on Google Map</v>
      </c>
    </row>
    <row r="401" spans="1:11" x14ac:dyDescent="0.25">
      <c r="A401" s="92">
        <v>409</v>
      </c>
      <c r="B401" s="93" t="s">
        <v>786</v>
      </c>
      <c r="C401" s="93" t="str">
        <f t="shared" si="21"/>
        <v>LTER 409</v>
      </c>
      <c r="D401" s="94">
        <v>68.613842199999993</v>
      </c>
      <c r="E401" s="76">
        <v>-149.2036056</v>
      </c>
      <c r="F401" s="95">
        <v>866</v>
      </c>
      <c r="G401" s="93" t="s">
        <v>301</v>
      </c>
      <c r="H401" s="93" t="s">
        <v>399</v>
      </c>
      <c r="I401" s="93" t="s">
        <v>400</v>
      </c>
      <c r="J401" s="76" t="s">
        <v>1244</v>
      </c>
      <c r="K401" s="73" t="str">
        <f t="shared" si="20"/>
        <v>View on Google Map</v>
      </c>
    </row>
    <row r="402" spans="1:11" x14ac:dyDescent="0.25">
      <c r="A402" s="92">
        <v>410</v>
      </c>
      <c r="B402" s="93" t="s">
        <v>787</v>
      </c>
      <c r="C402" s="93" t="str">
        <f t="shared" si="21"/>
        <v>LTER 410</v>
      </c>
      <c r="D402" s="94">
        <v>68.6172222</v>
      </c>
      <c r="E402" s="76">
        <v>-149.21733860000001</v>
      </c>
      <c r="F402" s="95">
        <v>858</v>
      </c>
      <c r="G402" s="93" t="s">
        <v>301</v>
      </c>
      <c r="H402" s="93" t="s">
        <v>399</v>
      </c>
      <c r="I402" s="93" t="s">
        <v>400</v>
      </c>
      <c r="J402" s="76" t="s">
        <v>1245</v>
      </c>
      <c r="K402" s="73" t="str">
        <f t="shared" si="20"/>
        <v>View on Google Map</v>
      </c>
    </row>
    <row r="403" spans="1:11" x14ac:dyDescent="0.25">
      <c r="A403" s="92">
        <v>411</v>
      </c>
      <c r="B403" s="93" t="s">
        <v>788</v>
      </c>
      <c r="C403" s="93" t="str">
        <f t="shared" si="21"/>
        <v>LTER 411</v>
      </c>
      <c r="D403" s="94">
        <v>68.613372699999999</v>
      </c>
      <c r="E403" s="76">
        <v>-149.21879770000001</v>
      </c>
      <c r="F403" s="95">
        <v>863</v>
      </c>
      <c r="G403" s="93" t="s">
        <v>301</v>
      </c>
      <c r="H403" s="93" t="s">
        <v>399</v>
      </c>
      <c r="I403" s="93" t="s">
        <v>400</v>
      </c>
      <c r="J403" s="76" t="s">
        <v>1246</v>
      </c>
      <c r="K403" s="73" t="str">
        <f t="shared" si="20"/>
        <v>View on Google Map</v>
      </c>
    </row>
    <row r="404" spans="1:11" x14ac:dyDescent="0.25">
      <c r="A404" s="92">
        <v>412</v>
      </c>
      <c r="B404" s="93" t="s">
        <v>789</v>
      </c>
      <c r="C404" s="93" t="str">
        <f t="shared" si="21"/>
        <v>LTER 412</v>
      </c>
      <c r="D404" s="94">
        <v>68.608833899999993</v>
      </c>
      <c r="E404" s="76">
        <v>-149.20755389999999</v>
      </c>
      <c r="F404" s="95">
        <v>864</v>
      </c>
      <c r="G404" s="93" t="s">
        <v>301</v>
      </c>
      <c r="H404" s="93" t="s">
        <v>399</v>
      </c>
      <c r="I404" s="93" t="s">
        <v>400</v>
      </c>
      <c r="J404" s="76" t="s">
        <v>1247</v>
      </c>
      <c r="K404" s="73" t="str">
        <f t="shared" si="20"/>
        <v>View on Google Map</v>
      </c>
    </row>
    <row r="405" spans="1:11" x14ac:dyDescent="0.25">
      <c r="A405" s="92">
        <v>413</v>
      </c>
      <c r="B405" s="93" t="s">
        <v>790</v>
      </c>
      <c r="C405" s="93" t="str">
        <f t="shared" si="21"/>
        <v>LTER 413</v>
      </c>
      <c r="D405" s="94">
        <v>68.606924199999995</v>
      </c>
      <c r="E405" s="76">
        <v>-149.21553610000001</v>
      </c>
      <c r="F405" s="95">
        <v>867</v>
      </c>
      <c r="G405" s="93" t="s">
        <v>301</v>
      </c>
      <c r="H405" s="93" t="s">
        <v>399</v>
      </c>
      <c r="I405" s="93" t="s">
        <v>400</v>
      </c>
      <c r="J405" s="76" t="s">
        <v>1248</v>
      </c>
      <c r="K405" s="73" t="str">
        <f t="shared" si="20"/>
        <v>View on Google Map</v>
      </c>
    </row>
    <row r="406" spans="1:11" x14ac:dyDescent="0.25">
      <c r="A406" s="92">
        <v>414</v>
      </c>
      <c r="B406" s="93" t="s">
        <v>791</v>
      </c>
      <c r="C406" s="93" t="str">
        <f t="shared" si="21"/>
        <v>LTER 414</v>
      </c>
      <c r="D406" s="94">
        <v>68.605484000000004</v>
      </c>
      <c r="E406" s="76">
        <v>-149.27484509999999</v>
      </c>
      <c r="F406" s="95">
        <v>971</v>
      </c>
      <c r="G406" s="93" t="s">
        <v>301</v>
      </c>
      <c r="H406" s="93" t="s">
        <v>399</v>
      </c>
      <c r="I406" s="93" t="s">
        <v>400</v>
      </c>
      <c r="J406" s="76" t="s">
        <v>1249</v>
      </c>
      <c r="K406" s="73" t="str">
        <f t="shared" si="20"/>
        <v>View on Google Map</v>
      </c>
    </row>
    <row r="407" spans="1:11" x14ac:dyDescent="0.25">
      <c r="A407" s="92">
        <v>415</v>
      </c>
      <c r="B407" s="93" t="s">
        <v>792</v>
      </c>
      <c r="C407" s="93" t="str">
        <f t="shared" si="21"/>
        <v>LTER 415</v>
      </c>
      <c r="D407" s="94">
        <v>68.498440000000002</v>
      </c>
      <c r="E407" s="76">
        <v>-149.59848</v>
      </c>
      <c r="F407" s="95">
        <v>947</v>
      </c>
      <c r="G407" s="93" t="s">
        <v>301</v>
      </c>
      <c r="H407" s="93" t="s">
        <v>399</v>
      </c>
      <c r="I407" s="93" t="s">
        <v>400</v>
      </c>
      <c r="J407" s="76" t="s">
        <v>1250</v>
      </c>
      <c r="K407" s="73" t="str">
        <f t="shared" si="20"/>
        <v>View on Google Map</v>
      </c>
    </row>
    <row r="408" spans="1:11" x14ac:dyDescent="0.25">
      <c r="A408" s="92">
        <v>416</v>
      </c>
      <c r="B408" s="93" t="s">
        <v>793</v>
      </c>
      <c r="C408" s="93" t="str">
        <f t="shared" si="21"/>
        <v>LTER 416</v>
      </c>
      <c r="D408" s="94">
        <v>68.495919999999998</v>
      </c>
      <c r="E408" s="76">
        <v>-149.60204999999999</v>
      </c>
      <c r="F408" s="95">
        <v>938</v>
      </c>
      <c r="G408" s="93" t="s">
        <v>301</v>
      </c>
      <c r="H408" s="93" t="s">
        <v>399</v>
      </c>
      <c r="I408" s="93" t="s">
        <v>400</v>
      </c>
      <c r="J408" s="76" t="s">
        <v>1251</v>
      </c>
      <c r="K408" s="73" t="str">
        <f t="shared" si="20"/>
        <v>View on Google Map</v>
      </c>
    </row>
    <row r="409" spans="1:11" x14ac:dyDescent="0.25">
      <c r="A409" s="92">
        <v>417</v>
      </c>
      <c r="B409" s="93" t="s">
        <v>794</v>
      </c>
      <c r="C409" s="93" t="str">
        <f t="shared" si="21"/>
        <v>LTER 417</v>
      </c>
      <c r="D409" s="94">
        <v>68.491129999999998</v>
      </c>
      <c r="E409" s="76">
        <v>-149.60795999999999</v>
      </c>
      <c r="F409" s="95">
        <v>937</v>
      </c>
      <c r="G409" s="93" t="s">
        <v>301</v>
      </c>
      <c r="H409" s="93" t="s">
        <v>399</v>
      </c>
      <c r="I409" s="93" t="s">
        <v>400</v>
      </c>
      <c r="J409" s="76" t="s">
        <v>1252</v>
      </c>
      <c r="K409" s="73" t="str">
        <f t="shared" si="20"/>
        <v>View on Google Map</v>
      </c>
    </row>
    <row r="410" spans="1:11" x14ac:dyDescent="0.25">
      <c r="A410" s="92">
        <v>418</v>
      </c>
      <c r="B410" s="93" t="s">
        <v>795</v>
      </c>
      <c r="C410" s="93" t="str">
        <f t="shared" si="21"/>
        <v>LTER 418</v>
      </c>
      <c r="D410" s="94">
        <v>68.485740000000007</v>
      </c>
      <c r="E410" s="76">
        <v>-149.61169000000001</v>
      </c>
      <c r="F410" s="95">
        <v>936</v>
      </c>
      <c r="G410" s="93" t="s">
        <v>301</v>
      </c>
      <c r="H410" s="93" t="s">
        <v>399</v>
      </c>
      <c r="I410" s="93" t="s">
        <v>400</v>
      </c>
      <c r="J410" s="76" t="s">
        <v>1253</v>
      </c>
      <c r="K410" s="73" t="str">
        <f t="shared" si="20"/>
        <v>View on Google Map</v>
      </c>
    </row>
    <row r="411" spans="1:11" x14ac:dyDescent="0.25">
      <c r="A411" s="92">
        <v>419</v>
      </c>
      <c r="B411" s="93" t="s">
        <v>796</v>
      </c>
      <c r="C411" s="93" t="str">
        <f t="shared" si="21"/>
        <v>LTER 419</v>
      </c>
      <c r="D411" s="94">
        <v>68.486249999999998</v>
      </c>
      <c r="E411" s="76">
        <v>-149.62468999999999</v>
      </c>
      <c r="F411" s="95">
        <v>934</v>
      </c>
      <c r="G411" s="93" t="s">
        <v>301</v>
      </c>
      <c r="H411" s="93" t="s">
        <v>399</v>
      </c>
      <c r="I411" s="93" t="s">
        <v>400</v>
      </c>
      <c r="J411" s="76" t="s">
        <v>1254</v>
      </c>
      <c r="K411" s="73" t="str">
        <f t="shared" si="20"/>
        <v>View on Google Map</v>
      </c>
    </row>
    <row r="412" spans="1:11" x14ac:dyDescent="0.25">
      <c r="A412" s="92">
        <v>420</v>
      </c>
      <c r="B412" s="93" t="s">
        <v>797</v>
      </c>
      <c r="C412" s="93" t="str">
        <f t="shared" si="21"/>
        <v>LTER 420</v>
      </c>
      <c r="D412" s="94">
        <v>68.480271999999999</v>
      </c>
      <c r="E412" s="76">
        <v>-149.62288860000001</v>
      </c>
      <c r="F412" s="95"/>
      <c r="G412" s="93" t="s">
        <v>301</v>
      </c>
      <c r="H412" s="93" t="s">
        <v>399</v>
      </c>
      <c r="I412" s="93" t="s">
        <v>400</v>
      </c>
      <c r="J412" s="76" t="s">
        <v>1255</v>
      </c>
      <c r="K412" s="73" t="str">
        <f t="shared" si="20"/>
        <v>View on Google Map</v>
      </c>
    </row>
    <row r="413" spans="1:11" x14ac:dyDescent="0.25">
      <c r="A413" s="92">
        <v>421</v>
      </c>
      <c r="B413" s="93" t="s">
        <v>798</v>
      </c>
      <c r="C413" s="93" t="str">
        <f t="shared" si="21"/>
        <v>LTER 421</v>
      </c>
      <c r="D413" s="94">
        <v>68.486882800000004</v>
      </c>
      <c r="E413" s="76">
        <v>-149.5746517</v>
      </c>
      <c r="F413" s="95"/>
      <c r="G413" s="93" t="s">
        <v>301</v>
      </c>
      <c r="H413" s="93" t="s">
        <v>399</v>
      </c>
      <c r="I413" s="93" t="s">
        <v>400</v>
      </c>
      <c r="J413" s="76" t="s">
        <v>1256</v>
      </c>
      <c r="K413" s="73" t="str">
        <f t="shared" si="20"/>
        <v>View on Google Map</v>
      </c>
    </row>
    <row r="414" spans="1:11" x14ac:dyDescent="0.25">
      <c r="A414" s="92">
        <v>422</v>
      </c>
      <c r="B414" s="93" t="s">
        <v>799</v>
      </c>
      <c r="C414" s="93" t="str">
        <f t="shared" si="21"/>
        <v>LTER 422</v>
      </c>
      <c r="D414" s="94">
        <v>68.481814700000001</v>
      </c>
      <c r="E414" s="76">
        <v>-149.57387919999999</v>
      </c>
      <c r="F414" s="95"/>
      <c r="G414" s="93" t="s">
        <v>301</v>
      </c>
      <c r="H414" s="93" t="s">
        <v>399</v>
      </c>
      <c r="I414" s="93" t="s">
        <v>400</v>
      </c>
      <c r="J414" s="76" t="s">
        <v>1257</v>
      </c>
      <c r="K414" s="73" t="str">
        <f t="shared" si="20"/>
        <v>View on Google Map</v>
      </c>
    </row>
    <row r="415" spans="1:11" x14ac:dyDescent="0.25">
      <c r="A415" s="92">
        <v>423</v>
      </c>
      <c r="B415" s="93" t="s">
        <v>800</v>
      </c>
      <c r="C415" s="93" t="str">
        <f t="shared" si="21"/>
        <v>LTER 423</v>
      </c>
      <c r="D415" s="94">
        <v>68.479988599999999</v>
      </c>
      <c r="E415" s="76">
        <v>-149.55345149999999</v>
      </c>
      <c r="F415" s="95"/>
      <c r="G415" s="93" t="s">
        <v>301</v>
      </c>
      <c r="H415" s="93" t="s">
        <v>399</v>
      </c>
      <c r="I415" s="93" t="s">
        <v>400</v>
      </c>
      <c r="J415" s="76" t="s">
        <v>1258</v>
      </c>
      <c r="K415" s="73" t="str">
        <f t="shared" si="20"/>
        <v>View on Google Map</v>
      </c>
    </row>
    <row r="416" spans="1:11" x14ac:dyDescent="0.25">
      <c r="A416" s="92">
        <v>424</v>
      </c>
      <c r="B416" s="93" t="s">
        <v>801</v>
      </c>
      <c r="C416" s="93" t="str">
        <f t="shared" si="21"/>
        <v>LTER 424</v>
      </c>
      <c r="D416" s="94">
        <v>68.553637499999994</v>
      </c>
      <c r="E416" s="76">
        <v>-149.16738509999999</v>
      </c>
      <c r="F416" s="95">
        <v>926</v>
      </c>
      <c r="G416" s="93" t="s">
        <v>301</v>
      </c>
      <c r="H416" s="93" t="s">
        <v>399</v>
      </c>
      <c r="I416" s="93" t="s">
        <v>400</v>
      </c>
      <c r="J416" s="76" t="s">
        <v>1259</v>
      </c>
      <c r="K416" s="73" t="str">
        <f t="shared" si="20"/>
        <v>View on Google Map</v>
      </c>
    </row>
    <row r="417" spans="1:11" x14ac:dyDescent="0.25">
      <c r="A417" s="92">
        <v>425</v>
      </c>
      <c r="B417" s="93" t="s">
        <v>802</v>
      </c>
      <c r="C417" s="93" t="str">
        <f t="shared" si="21"/>
        <v>LTER 425</v>
      </c>
      <c r="D417" s="94">
        <v>68.556900999999996</v>
      </c>
      <c r="E417" s="76">
        <v>-149.15502549999999</v>
      </c>
      <c r="F417" s="95">
        <v>883</v>
      </c>
      <c r="G417" s="93" t="s">
        <v>301</v>
      </c>
      <c r="H417" s="93" t="s">
        <v>399</v>
      </c>
      <c r="I417" s="93" t="s">
        <v>400</v>
      </c>
      <c r="J417" s="76" t="s">
        <v>1260</v>
      </c>
      <c r="K417" s="73" t="str">
        <f t="shared" si="20"/>
        <v>View on Google Map</v>
      </c>
    </row>
    <row r="418" spans="1:11" x14ac:dyDescent="0.25">
      <c r="A418" s="92">
        <v>426</v>
      </c>
      <c r="B418" s="93" t="s">
        <v>803</v>
      </c>
      <c r="C418" s="93" t="str">
        <f t="shared" si="21"/>
        <v>LTER 426</v>
      </c>
      <c r="D418" s="94">
        <v>68.732398799999999</v>
      </c>
      <c r="E418" s="76">
        <v>-149.4014454</v>
      </c>
      <c r="F418" s="95"/>
      <c r="G418" s="93" t="s">
        <v>301</v>
      </c>
      <c r="H418" s="93" t="s">
        <v>399</v>
      </c>
      <c r="I418" s="93" t="s">
        <v>400</v>
      </c>
      <c r="J418" s="76" t="s">
        <v>1261</v>
      </c>
      <c r="K418" s="73" t="str">
        <f t="shared" si="20"/>
        <v>View on Google Map</v>
      </c>
    </row>
    <row r="419" spans="1:11" x14ac:dyDescent="0.25">
      <c r="A419" s="92">
        <v>427</v>
      </c>
      <c r="B419" s="93" t="s">
        <v>804</v>
      </c>
      <c r="C419" s="93" t="str">
        <f t="shared" si="21"/>
        <v>LTER 427</v>
      </c>
      <c r="D419" s="94">
        <v>68.728304499999993</v>
      </c>
      <c r="E419" s="76">
        <v>-149.39251899999999</v>
      </c>
      <c r="F419" s="95"/>
      <c r="G419" s="93" t="s">
        <v>301</v>
      </c>
      <c r="H419" s="93" t="s">
        <v>399</v>
      </c>
      <c r="I419" s="93" t="s">
        <v>400</v>
      </c>
      <c r="J419" s="76" t="s">
        <v>1262</v>
      </c>
      <c r="K419" s="73" t="str">
        <f t="shared" si="20"/>
        <v>View on Google Map</v>
      </c>
    </row>
    <row r="420" spans="1:11" x14ac:dyDescent="0.25">
      <c r="A420" s="92">
        <v>428</v>
      </c>
      <c r="B420" s="93" t="s">
        <v>805</v>
      </c>
      <c r="C420" s="93" t="str">
        <f t="shared" si="21"/>
        <v>LTER 428</v>
      </c>
      <c r="D420" s="94">
        <v>68.672246900000005</v>
      </c>
      <c r="E420" s="76">
        <v>-149.24961089999999</v>
      </c>
      <c r="F420" s="95"/>
      <c r="G420" s="93" t="s">
        <v>301</v>
      </c>
      <c r="H420" s="93" t="s">
        <v>399</v>
      </c>
      <c r="I420" s="93" t="s">
        <v>400</v>
      </c>
      <c r="J420" s="76" t="s">
        <v>1263</v>
      </c>
      <c r="K420" s="73" t="str">
        <f t="shared" si="20"/>
        <v>View on Google Map</v>
      </c>
    </row>
    <row r="421" spans="1:11" x14ac:dyDescent="0.25">
      <c r="A421" s="92">
        <v>429</v>
      </c>
      <c r="B421" s="93" t="s">
        <v>806</v>
      </c>
      <c r="C421" s="93" t="str">
        <f t="shared" si="21"/>
        <v>LTER 429</v>
      </c>
      <c r="D421" s="94">
        <v>68.679191599999996</v>
      </c>
      <c r="E421" s="76">
        <v>-149.23995489999999</v>
      </c>
      <c r="F421" s="95"/>
      <c r="G421" s="93" t="s">
        <v>301</v>
      </c>
      <c r="H421" s="93" t="s">
        <v>399</v>
      </c>
      <c r="I421" s="93" t="s">
        <v>400</v>
      </c>
      <c r="J421" s="76" t="s">
        <v>1264</v>
      </c>
      <c r="K421" s="73" t="str">
        <f t="shared" si="20"/>
        <v>View on Google Map</v>
      </c>
    </row>
    <row r="422" spans="1:11" x14ac:dyDescent="0.25">
      <c r="A422" s="92">
        <v>430</v>
      </c>
      <c r="B422" s="93" t="s">
        <v>807</v>
      </c>
      <c r="C422" s="93" t="str">
        <f t="shared" si="21"/>
        <v>LTER 430</v>
      </c>
      <c r="D422" s="94">
        <v>68.679082399999999</v>
      </c>
      <c r="E422" s="76">
        <v>-149.22982690000001</v>
      </c>
      <c r="F422" s="95"/>
      <c r="G422" s="93" t="s">
        <v>301</v>
      </c>
      <c r="H422" s="93" t="s">
        <v>399</v>
      </c>
      <c r="I422" s="93" t="s">
        <v>400</v>
      </c>
      <c r="J422" s="76" t="s">
        <v>1265</v>
      </c>
      <c r="K422" s="73" t="str">
        <f t="shared" si="20"/>
        <v>View on Google Map</v>
      </c>
    </row>
    <row r="423" spans="1:11" x14ac:dyDescent="0.25">
      <c r="A423" s="92">
        <v>452</v>
      </c>
      <c r="B423" s="93" t="s">
        <v>953</v>
      </c>
      <c r="C423" s="93" t="str">
        <f t="shared" si="21"/>
        <v>LTER 452</v>
      </c>
      <c r="D423" s="94">
        <v>68.794960000000003</v>
      </c>
      <c r="E423" s="76">
        <v>-149.04813999999999</v>
      </c>
      <c r="F423" s="95">
        <v>754</v>
      </c>
      <c r="G423" s="93" t="s">
        <v>301</v>
      </c>
      <c r="H423" s="93" t="s">
        <v>516</v>
      </c>
      <c r="I423" s="93"/>
      <c r="J423" s="76" t="s">
        <v>518</v>
      </c>
      <c r="K423" s="73" t="str">
        <f t="shared" si="20"/>
        <v>View on Google Map</v>
      </c>
    </row>
    <row r="424" spans="1:11" x14ac:dyDescent="0.25">
      <c r="A424" s="92">
        <v>453</v>
      </c>
      <c r="B424" s="93" t="s">
        <v>954</v>
      </c>
      <c r="C424" s="93" t="str">
        <f t="shared" si="21"/>
        <v>LTER 453</v>
      </c>
      <c r="D424" s="94">
        <v>68.810460000000006</v>
      </c>
      <c r="E424" s="76">
        <v>-149.05207999999999</v>
      </c>
      <c r="F424" s="95">
        <v>727</v>
      </c>
      <c r="G424" s="93" t="s">
        <v>301</v>
      </c>
      <c r="H424" s="93" t="s">
        <v>516</v>
      </c>
      <c r="I424" s="93"/>
      <c r="J424" s="76" t="s">
        <v>519</v>
      </c>
      <c r="K424" s="73" t="str">
        <f t="shared" si="20"/>
        <v>View on Google Map</v>
      </c>
    </row>
    <row r="425" spans="1:11" x14ac:dyDescent="0.25">
      <c r="A425" s="92">
        <v>454</v>
      </c>
      <c r="B425" s="93" t="s">
        <v>955</v>
      </c>
      <c r="C425" s="93" t="str">
        <f t="shared" si="21"/>
        <v>LTER 454</v>
      </c>
      <c r="D425" s="94">
        <v>68.815870000000004</v>
      </c>
      <c r="E425" s="76">
        <v>-149.06173999999999</v>
      </c>
      <c r="F425" s="95">
        <v>715</v>
      </c>
      <c r="G425" s="93" t="s">
        <v>301</v>
      </c>
      <c r="H425" s="93" t="s">
        <v>516</v>
      </c>
      <c r="I425" s="93"/>
      <c r="J425" s="76" t="s">
        <v>520</v>
      </c>
      <c r="K425" s="73" t="str">
        <f t="shared" si="20"/>
        <v>View on Google Map</v>
      </c>
    </row>
    <row r="426" spans="1:11" x14ac:dyDescent="0.25">
      <c r="A426" s="92">
        <v>455</v>
      </c>
      <c r="B426" s="93" t="s">
        <v>956</v>
      </c>
      <c r="C426" s="93" t="str">
        <f t="shared" si="21"/>
        <v>LTER 455</v>
      </c>
      <c r="D426" s="94">
        <v>68.810519999999997</v>
      </c>
      <c r="E426" s="76">
        <v>-149.06282999999999</v>
      </c>
      <c r="F426" s="95">
        <v>728</v>
      </c>
      <c r="G426" s="93" t="s">
        <v>301</v>
      </c>
      <c r="H426" s="93" t="s">
        <v>516</v>
      </c>
      <c r="I426" s="93"/>
      <c r="J426" s="76" t="s">
        <v>521</v>
      </c>
      <c r="K426" s="73" t="str">
        <f t="shared" si="20"/>
        <v>View on Google Map</v>
      </c>
    </row>
    <row r="427" spans="1:11" x14ac:dyDescent="0.25">
      <c r="A427" s="92">
        <v>456</v>
      </c>
      <c r="B427" s="93" t="s">
        <v>957</v>
      </c>
      <c r="C427" s="93" t="str">
        <f t="shared" si="21"/>
        <v>LTER 456</v>
      </c>
      <c r="D427" s="94">
        <v>68.812290000000004</v>
      </c>
      <c r="E427" s="76">
        <v>-149.06899000000001</v>
      </c>
      <c r="F427" s="95">
        <v>730</v>
      </c>
      <c r="G427" s="93" t="s">
        <v>301</v>
      </c>
      <c r="H427" s="93" t="s">
        <v>516</v>
      </c>
      <c r="I427" s="93"/>
      <c r="J427" s="76" t="s">
        <v>522</v>
      </c>
      <c r="K427" s="73" t="str">
        <f t="shared" si="20"/>
        <v>View on Google Map</v>
      </c>
    </row>
    <row r="428" spans="1:11" x14ac:dyDescent="0.25">
      <c r="A428" s="92">
        <v>457</v>
      </c>
      <c r="B428" s="93" t="s">
        <v>958</v>
      </c>
      <c r="C428" s="93" t="str">
        <f t="shared" si="21"/>
        <v>LTER 457</v>
      </c>
      <c r="D428" s="94">
        <v>68.814369999999997</v>
      </c>
      <c r="E428" s="76">
        <v>-149.06774999999999</v>
      </c>
      <c r="F428" s="95">
        <v>724</v>
      </c>
      <c r="G428" s="93" t="s">
        <v>301</v>
      </c>
      <c r="H428" s="93" t="s">
        <v>516</v>
      </c>
      <c r="I428" s="93"/>
      <c r="J428" s="76" t="s">
        <v>523</v>
      </c>
      <c r="K428" s="73" t="str">
        <f t="shared" si="20"/>
        <v>View on Google Map</v>
      </c>
    </row>
    <row r="429" spans="1:11" x14ac:dyDescent="0.25">
      <c r="A429" s="92">
        <v>458</v>
      </c>
      <c r="B429" s="93" t="s">
        <v>959</v>
      </c>
      <c r="C429" s="93" t="str">
        <f t="shared" si="21"/>
        <v>LTER 458</v>
      </c>
      <c r="D429" s="94">
        <v>68.985702000000003</v>
      </c>
      <c r="E429" s="76">
        <v>-148.896625</v>
      </c>
      <c r="F429" s="95">
        <v>419</v>
      </c>
      <c r="G429" s="93" t="s">
        <v>301</v>
      </c>
      <c r="H429" s="93" t="s">
        <v>516</v>
      </c>
      <c r="I429" s="93"/>
      <c r="J429" s="76" t="s">
        <v>524</v>
      </c>
      <c r="K429" s="73" t="str">
        <f t="shared" si="20"/>
        <v>View on Google Map</v>
      </c>
    </row>
    <row r="430" spans="1:11" x14ac:dyDescent="0.25">
      <c r="A430" s="92">
        <v>459</v>
      </c>
      <c r="B430" s="93" t="s">
        <v>960</v>
      </c>
      <c r="C430" s="93" t="str">
        <f t="shared" ref="C430:C461" si="22">B430</f>
        <v>LTER 459</v>
      </c>
      <c r="D430" s="94">
        <v>68.983530000000002</v>
      </c>
      <c r="E430" s="76">
        <v>-148.89436000000001</v>
      </c>
      <c r="F430" s="95">
        <v>408</v>
      </c>
      <c r="G430" s="93" t="s">
        <v>301</v>
      </c>
      <c r="H430" s="93" t="s">
        <v>516</v>
      </c>
      <c r="I430" s="93"/>
      <c r="J430" s="76" t="s">
        <v>525</v>
      </c>
      <c r="K430" s="73" t="str">
        <f t="shared" si="20"/>
        <v>View on Google Map</v>
      </c>
    </row>
    <row r="431" spans="1:11" x14ac:dyDescent="0.25">
      <c r="A431" s="92">
        <v>460</v>
      </c>
      <c r="B431" s="93" t="s">
        <v>961</v>
      </c>
      <c r="C431" s="93" t="str">
        <f t="shared" si="22"/>
        <v>LTER 460</v>
      </c>
      <c r="D431" s="94">
        <v>68.978710000000007</v>
      </c>
      <c r="E431" s="76">
        <v>-148.89182</v>
      </c>
      <c r="F431" s="95">
        <v>394</v>
      </c>
      <c r="G431" s="93" t="s">
        <v>301</v>
      </c>
      <c r="H431" s="93" t="s">
        <v>516</v>
      </c>
      <c r="I431" s="93"/>
      <c r="J431" s="76" t="s">
        <v>526</v>
      </c>
      <c r="K431" s="73" t="str">
        <f t="shared" si="20"/>
        <v>View on Google Map</v>
      </c>
    </row>
    <row r="432" spans="1:11" x14ac:dyDescent="0.25">
      <c r="A432" s="92">
        <v>461</v>
      </c>
      <c r="B432" s="93" t="s">
        <v>962</v>
      </c>
      <c r="C432" s="93" t="str">
        <f t="shared" si="22"/>
        <v>LTER 461</v>
      </c>
      <c r="D432" s="94">
        <v>68.861750000000001</v>
      </c>
      <c r="E432" s="76">
        <v>-148.03908000000001</v>
      </c>
      <c r="F432" s="95">
        <v>651</v>
      </c>
      <c r="G432" s="93" t="s">
        <v>301</v>
      </c>
      <c r="H432" s="93" t="s">
        <v>516</v>
      </c>
      <c r="I432" s="93"/>
      <c r="J432" s="76" t="s">
        <v>527</v>
      </c>
      <c r="K432" s="73" t="str">
        <f t="shared" si="20"/>
        <v>View on Google Map</v>
      </c>
    </row>
    <row r="433" spans="1:11" x14ac:dyDescent="0.25">
      <c r="A433" s="92">
        <v>462</v>
      </c>
      <c r="B433" s="93" t="s">
        <v>963</v>
      </c>
      <c r="C433" s="93" t="str">
        <f t="shared" si="22"/>
        <v>LTER 462</v>
      </c>
      <c r="D433" s="94">
        <v>68.867549999999994</v>
      </c>
      <c r="E433" s="76">
        <v>-148.03557000000001</v>
      </c>
      <c r="F433" s="95">
        <v>638</v>
      </c>
      <c r="G433" s="93" t="s">
        <v>301</v>
      </c>
      <c r="H433" s="93" t="s">
        <v>516</v>
      </c>
      <c r="I433" s="93"/>
      <c r="J433" s="76" t="s">
        <v>528</v>
      </c>
      <c r="K433" s="73" t="str">
        <f t="shared" si="20"/>
        <v>View on Google Map</v>
      </c>
    </row>
    <row r="434" spans="1:11" x14ac:dyDescent="0.25">
      <c r="A434" s="92">
        <v>463</v>
      </c>
      <c r="B434" s="93" t="s">
        <v>964</v>
      </c>
      <c r="C434" s="93" t="str">
        <f t="shared" si="22"/>
        <v>LTER 463</v>
      </c>
      <c r="D434" s="94">
        <v>68.873149999999995</v>
      </c>
      <c r="E434" s="76">
        <v>-148.04128</v>
      </c>
      <c r="F434" s="95">
        <v>637</v>
      </c>
      <c r="G434" s="93" t="s">
        <v>301</v>
      </c>
      <c r="H434" s="93" t="s">
        <v>516</v>
      </c>
      <c r="I434" s="93"/>
      <c r="J434" s="76" t="s">
        <v>529</v>
      </c>
      <c r="K434" s="73" t="str">
        <f t="shared" si="20"/>
        <v>View on Google Map</v>
      </c>
    </row>
    <row r="435" spans="1:11" x14ac:dyDescent="0.25">
      <c r="A435" s="92">
        <v>464</v>
      </c>
      <c r="B435" s="93" t="s">
        <v>965</v>
      </c>
      <c r="C435" s="93" t="str">
        <f t="shared" si="22"/>
        <v>LTER 464</v>
      </c>
      <c r="D435" s="94">
        <v>68.793719999999993</v>
      </c>
      <c r="E435" s="76">
        <v>-149.47560999999999</v>
      </c>
      <c r="F435" s="95">
        <v>702</v>
      </c>
      <c r="G435" s="93" t="s">
        <v>301</v>
      </c>
      <c r="H435" s="93" t="s">
        <v>516</v>
      </c>
      <c r="I435" s="93"/>
      <c r="J435" s="76" t="s">
        <v>530</v>
      </c>
      <c r="K435" s="73" t="str">
        <f t="shared" si="20"/>
        <v>View on Google Map</v>
      </c>
    </row>
    <row r="436" spans="1:11" x14ac:dyDescent="0.25">
      <c r="A436" s="92">
        <v>465</v>
      </c>
      <c r="B436" s="93" t="s">
        <v>966</v>
      </c>
      <c r="C436" s="93" t="str">
        <f t="shared" si="22"/>
        <v>LTER 465</v>
      </c>
      <c r="D436" s="94">
        <v>68.796220000000005</v>
      </c>
      <c r="E436" s="76">
        <v>-149.48222000000001</v>
      </c>
      <c r="F436" s="95">
        <v>698</v>
      </c>
      <c r="G436" s="93" t="s">
        <v>301</v>
      </c>
      <c r="H436" s="93" t="s">
        <v>516</v>
      </c>
      <c r="I436" s="93"/>
      <c r="J436" s="76" t="s">
        <v>531</v>
      </c>
      <c r="K436" s="73" t="str">
        <f t="shared" si="20"/>
        <v>View on Google Map</v>
      </c>
    </row>
    <row r="437" spans="1:11" x14ac:dyDescent="0.25">
      <c r="A437" s="92">
        <v>466</v>
      </c>
      <c r="B437" s="93" t="s">
        <v>967</v>
      </c>
      <c r="C437" s="93" t="str">
        <f t="shared" si="22"/>
        <v>LTER 466</v>
      </c>
      <c r="D437" s="94">
        <v>68.798249999999996</v>
      </c>
      <c r="E437" s="76">
        <v>-149.47832</v>
      </c>
      <c r="F437" s="95">
        <v>697</v>
      </c>
      <c r="G437" s="93" t="s">
        <v>301</v>
      </c>
      <c r="H437" s="93" t="s">
        <v>516</v>
      </c>
      <c r="I437" s="93"/>
      <c r="J437" s="76" t="s">
        <v>532</v>
      </c>
      <c r="K437" s="73" t="str">
        <f t="shared" si="20"/>
        <v>View on Google Map</v>
      </c>
    </row>
    <row r="438" spans="1:11" x14ac:dyDescent="0.25">
      <c r="A438" s="92">
        <v>467</v>
      </c>
      <c r="B438" s="93" t="s">
        <v>968</v>
      </c>
      <c r="C438" s="93" t="str">
        <f t="shared" si="22"/>
        <v>LTER 467</v>
      </c>
      <c r="D438" s="94">
        <v>68.794659999999993</v>
      </c>
      <c r="E438" s="76">
        <v>-149.46985000000001</v>
      </c>
      <c r="F438" s="95">
        <v>702</v>
      </c>
      <c r="G438" s="93" t="s">
        <v>301</v>
      </c>
      <c r="H438" s="93" t="s">
        <v>516</v>
      </c>
      <c r="I438" s="93"/>
      <c r="J438" s="76" t="s">
        <v>533</v>
      </c>
      <c r="K438" s="73" t="str">
        <f t="shared" si="20"/>
        <v>View on Google Map</v>
      </c>
    </row>
    <row r="439" spans="1:11" x14ac:dyDescent="0.25">
      <c r="A439" s="92">
        <v>468</v>
      </c>
      <c r="B439" s="93" t="s">
        <v>969</v>
      </c>
      <c r="C439" s="93" t="str">
        <f t="shared" si="22"/>
        <v>LTER 468</v>
      </c>
      <c r="D439" s="94">
        <v>68.797669999999997</v>
      </c>
      <c r="E439" s="76">
        <v>-149.46574000000001</v>
      </c>
      <c r="F439" s="95">
        <v>692</v>
      </c>
      <c r="G439" s="93" t="s">
        <v>301</v>
      </c>
      <c r="H439" s="93" t="s">
        <v>516</v>
      </c>
      <c r="I439" s="93"/>
      <c r="J439" s="76" t="s">
        <v>534</v>
      </c>
      <c r="K439" s="73" t="str">
        <f t="shared" si="20"/>
        <v>View on Google Map</v>
      </c>
    </row>
    <row r="440" spans="1:11" x14ac:dyDescent="0.25">
      <c r="A440" s="92">
        <v>469</v>
      </c>
      <c r="B440" s="93" t="s">
        <v>970</v>
      </c>
      <c r="C440" s="93" t="str">
        <f t="shared" si="22"/>
        <v>LTER 469</v>
      </c>
      <c r="D440" s="94">
        <v>68.802390000000003</v>
      </c>
      <c r="E440" s="76">
        <v>-149.46473</v>
      </c>
      <c r="F440" s="95">
        <v>683</v>
      </c>
      <c r="G440" s="93" t="s">
        <v>301</v>
      </c>
      <c r="H440" s="93" t="s">
        <v>516</v>
      </c>
      <c r="I440" s="93"/>
      <c r="J440" s="76" t="s">
        <v>535</v>
      </c>
      <c r="K440" s="73" t="str">
        <f t="shared" si="20"/>
        <v>View on Google Map</v>
      </c>
    </row>
    <row r="441" spans="1:11" x14ac:dyDescent="0.25">
      <c r="A441" s="92">
        <v>470</v>
      </c>
      <c r="B441" s="93" t="s">
        <v>971</v>
      </c>
      <c r="C441" s="93" t="str">
        <f t="shared" si="22"/>
        <v>LTER 470</v>
      </c>
      <c r="D441" s="94">
        <v>68.829459999999997</v>
      </c>
      <c r="E441" s="76">
        <v>-149.77891</v>
      </c>
      <c r="F441" s="95">
        <v>634</v>
      </c>
      <c r="G441" s="93" t="s">
        <v>301</v>
      </c>
      <c r="H441" s="93" t="s">
        <v>516</v>
      </c>
      <c r="I441" s="93"/>
      <c r="J441" s="76" t="s">
        <v>536</v>
      </c>
      <c r="K441" s="73" t="str">
        <f t="shared" si="20"/>
        <v>View on Google Map</v>
      </c>
    </row>
    <row r="442" spans="1:11" x14ac:dyDescent="0.25">
      <c r="A442" s="92">
        <v>471</v>
      </c>
      <c r="B442" s="93" t="s">
        <v>972</v>
      </c>
      <c r="C442" s="93" t="str">
        <f t="shared" si="22"/>
        <v>LTER 471</v>
      </c>
      <c r="D442" s="94">
        <v>68.832939999999994</v>
      </c>
      <c r="E442" s="76">
        <v>-149.76775000000001</v>
      </c>
      <c r="F442" s="95">
        <v>624</v>
      </c>
      <c r="G442" s="93" t="s">
        <v>301</v>
      </c>
      <c r="H442" s="93" t="s">
        <v>516</v>
      </c>
      <c r="I442" s="93"/>
      <c r="J442" s="76" t="s">
        <v>537</v>
      </c>
      <c r="K442" s="73" t="str">
        <f t="shared" si="20"/>
        <v>View on Google Map</v>
      </c>
    </row>
    <row r="443" spans="1:11" x14ac:dyDescent="0.25">
      <c r="A443" s="92">
        <v>472</v>
      </c>
      <c r="B443" s="93" t="s">
        <v>973</v>
      </c>
      <c r="C443" s="93" t="str">
        <f t="shared" si="22"/>
        <v>LTER 472</v>
      </c>
      <c r="D443" s="94">
        <v>68.828059999999994</v>
      </c>
      <c r="E443" s="76">
        <v>-149.76449</v>
      </c>
      <c r="F443" s="95">
        <v>624</v>
      </c>
      <c r="G443" s="93" t="s">
        <v>301</v>
      </c>
      <c r="H443" s="93" t="s">
        <v>516</v>
      </c>
      <c r="I443" s="93"/>
      <c r="J443" s="76" t="s">
        <v>538</v>
      </c>
      <c r="K443" s="73" t="str">
        <f t="shared" si="20"/>
        <v>View on Google Map</v>
      </c>
    </row>
    <row r="444" spans="1:11" x14ac:dyDescent="0.25">
      <c r="A444" s="92">
        <v>473</v>
      </c>
      <c r="B444" s="93" t="s">
        <v>974</v>
      </c>
      <c r="C444" s="93" t="str">
        <f t="shared" si="22"/>
        <v>LTER 473</v>
      </c>
      <c r="D444" s="94">
        <v>68.826400000000007</v>
      </c>
      <c r="E444" s="76">
        <v>-149.7585</v>
      </c>
      <c r="F444" s="95">
        <v>592</v>
      </c>
      <c r="G444" s="93" t="s">
        <v>301</v>
      </c>
      <c r="H444" s="93" t="s">
        <v>516</v>
      </c>
      <c r="I444" s="93"/>
      <c r="J444" s="76" t="s">
        <v>539</v>
      </c>
      <c r="K444" s="73" t="str">
        <f t="shared" si="20"/>
        <v>View on Google Map</v>
      </c>
    </row>
    <row r="445" spans="1:11" x14ac:dyDescent="0.25">
      <c r="A445" s="92">
        <v>474</v>
      </c>
      <c r="B445" s="93" t="s">
        <v>975</v>
      </c>
      <c r="C445" s="93" t="str">
        <f t="shared" si="22"/>
        <v>LTER 474</v>
      </c>
      <c r="D445" s="94">
        <v>68.827349999999996</v>
      </c>
      <c r="E445" s="76">
        <v>-149.74993000000001</v>
      </c>
      <c r="F445" s="95">
        <v>592</v>
      </c>
      <c r="G445" s="93" t="s">
        <v>301</v>
      </c>
      <c r="H445" s="93" t="s">
        <v>516</v>
      </c>
      <c r="I445" s="93"/>
      <c r="J445" s="76" t="s">
        <v>540</v>
      </c>
      <c r="K445" s="73" t="str">
        <f t="shared" si="20"/>
        <v>View on Google Map</v>
      </c>
    </row>
    <row r="446" spans="1:11" x14ac:dyDescent="0.25">
      <c r="A446" s="92">
        <v>475</v>
      </c>
      <c r="B446" s="93" t="s">
        <v>976</v>
      </c>
      <c r="C446" s="93" t="str">
        <f t="shared" si="22"/>
        <v>LTER 475</v>
      </c>
      <c r="D446" s="108">
        <v>68.831180000000003</v>
      </c>
      <c r="E446" s="76">
        <v>-149.74606</v>
      </c>
      <c r="F446" s="95">
        <v>593</v>
      </c>
      <c r="G446" s="93" t="s">
        <v>301</v>
      </c>
      <c r="H446" s="93" t="s">
        <v>516</v>
      </c>
      <c r="I446" s="93"/>
      <c r="J446" s="76" t="s">
        <v>1266</v>
      </c>
      <c r="K446" s="73" t="str">
        <f t="shared" si="20"/>
        <v>View on Google Map</v>
      </c>
    </row>
    <row r="447" spans="1:11" x14ac:dyDescent="0.25">
      <c r="A447" s="92">
        <v>476</v>
      </c>
      <c r="B447" s="93" t="s">
        <v>977</v>
      </c>
      <c r="C447" s="93" t="str">
        <f t="shared" si="22"/>
        <v>LTER 476</v>
      </c>
      <c r="D447" s="108">
        <v>68.825339999999997</v>
      </c>
      <c r="E447" s="76">
        <v>-149.76837</v>
      </c>
      <c r="F447" s="95">
        <v>621</v>
      </c>
      <c r="G447" s="93" t="s">
        <v>301</v>
      </c>
      <c r="H447" s="93" t="s">
        <v>516</v>
      </c>
      <c r="I447" s="93"/>
      <c r="J447" s="76" t="s">
        <v>541</v>
      </c>
      <c r="K447" s="73" t="str">
        <f t="shared" si="20"/>
        <v>View on Google Map</v>
      </c>
    </row>
    <row r="448" spans="1:11" x14ac:dyDescent="0.25">
      <c r="A448" s="92">
        <v>477</v>
      </c>
      <c r="B448" s="93" t="s">
        <v>978</v>
      </c>
      <c r="C448" s="93" t="str">
        <f t="shared" si="22"/>
        <v>LTER 477</v>
      </c>
      <c r="D448" s="108">
        <v>68.821740000000005</v>
      </c>
      <c r="E448" s="76">
        <v>-149.76378</v>
      </c>
      <c r="F448" s="95">
        <v>605</v>
      </c>
      <c r="G448" s="93" t="s">
        <v>301</v>
      </c>
      <c r="H448" s="93" t="s">
        <v>516</v>
      </c>
      <c r="I448" s="93"/>
      <c r="J448" s="76" t="s">
        <v>542</v>
      </c>
      <c r="K448" s="73" t="str">
        <f t="shared" si="20"/>
        <v>View on Google Map</v>
      </c>
    </row>
    <row r="449" spans="1:11" x14ac:dyDescent="0.25">
      <c r="A449" s="92">
        <v>478</v>
      </c>
      <c r="B449" s="93" t="s">
        <v>979</v>
      </c>
      <c r="C449" s="93" t="str">
        <f t="shared" si="22"/>
        <v>LTER 478</v>
      </c>
      <c r="D449" s="108">
        <v>68.510069999999999</v>
      </c>
      <c r="E449" s="76">
        <v>-149.62691000000001</v>
      </c>
      <c r="F449" s="95">
        <v>996</v>
      </c>
      <c r="G449" s="93" t="s">
        <v>301</v>
      </c>
      <c r="H449" s="93" t="s">
        <v>516</v>
      </c>
      <c r="I449" s="93"/>
      <c r="J449" s="76" t="s">
        <v>543</v>
      </c>
      <c r="K449" s="73" t="str">
        <f t="shared" si="20"/>
        <v>View on Google Map</v>
      </c>
    </row>
    <row r="450" spans="1:11" x14ac:dyDescent="0.25">
      <c r="A450" s="92">
        <v>479</v>
      </c>
      <c r="B450" s="93" t="s">
        <v>980</v>
      </c>
      <c r="C450" s="93" t="str">
        <f t="shared" si="22"/>
        <v>LTER 479</v>
      </c>
      <c r="D450" s="108">
        <v>68.505080000000007</v>
      </c>
      <c r="E450" s="76">
        <v>-149.62766999999999</v>
      </c>
      <c r="F450" s="95">
        <v>986</v>
      </c>
      <c r="G450" s="93" t="s">
        <v>301</v>
      </c>
      <c r="H450" s="93" t="s">
        <v>516</v>
      </c>
      <c r="I450" s="93"/>
      <c r="J450" s="76" t="s">
        <v>544</v>
      </c>
      <c r="K450" s="73" t="str">
        <f t="shared" si="20"/>
        <v>View on Google Map</v>
      </c>
    </row>
    <row r="451" spans="1:11" x14ac:dyDescent="0.25">
      <c r="A451" s="92">
        <v>480</v>
      </c>
      <c r="B451" s="93" t="s">
        <v>981</v>
      </c>
      <c r="C451" s="93" t="str">
        <f t="shared" si="22"/>
        <v>LTER 480</v>
      </c>
      <c r="D451" s="108">
        <v>68.502449999999996</v>
      </c>
      <c r="E451" s="76">
        <v>-149.63137</v>
      </c>
      <c r="F451" s="95">
        <v>982</v>
      </c>
      <c r="G451" s="93" t="s">
        <v>301</v>
      </c>
      <c r="H451" s="93" t="s">
        <v>516</v>
      </c>
      <c r="I451" s="93"/>
      <c r="J451" s="76" t="s">
        <v>545</v>
      </c>
      <c r="K451" s="73" t="str">
        <f t="shared" ref="K451:K493" si="23">HYPERLINK("http://maps.google.com/maps?q="&amp;D451&amp;","&amp;E451,"View on Google Map")</f>
        <v>View on Google Map</v>
      </c>
    </row>
    <row r="452" spans="1:11" x14ac:dyDescent="0.25">
      <c r="A452" s="96">
        <v>550</v>
      </c>
      <c r="B452" s="111" t="s">
        <v>808</v>
      </c>
      <c r="C452" s="93" t="str">
        <f t="shared" si="22"/>
        <v>LTER 550</v>
      </c>
      <c r="D452" s="112">
        <v>68.631862799999993</v>
      </c>
      <c r="E452" s="76">
        <v>-149.83454699999999</v>
      </c>
      <c r="F452" s="106">
        <v>641</v>
      </c>
      <c r="G452" s="93" t="s">
        <v>301</v>
      </c>
      <c r="H452" s="93"/>
      <c r="I452" s="93"/>
      <c r="J452" s="76" t="s">
        <v>1267</v>
      </c>
      <c r="K452" s="73" t="str">
        <f t="shared" si="23"/>
        <v>View on Google Map</v>
      </c>
    </row>
    <row r="453" spans="1:11" x14ac:dyDescent="0.25">
      <c r="A453" s="92">
        <v>551</v>
      </c>
      <c r="B453" s="111" t="s">
        <v>809</v>
      </c>
      <c r="C453" s="93" t="str">
        <f t="shared" si="22"/>
        <v>LTER 551</v>
      </c>
      <c r="D453" s="112">
        <v>68.636553300000003</v>
      </c>
      <c r="E453" s="76">
        <v>-149.84441760000001</v>
      </c>
      <c r="F453" s="106">
        <v>637</v>
      </c>
      <c r="G453" s="93" t="s">
        <v>301</v>
      </c>
      <c r="H453" s="93"/>
      <c r="I453" s="93"/>
      <c r="J453" s="76" t="s">
        <v>1268</v>
      </c>
      <c r="K453" s="73" t="str">
        <f t="shared" si="23"/>
        <v>View on Google Map</v>
      </c>
    </row>
    <row r="454" spans="1:11" x14ac:dyDescent="0.25">
      <c r="A454" s="92">
        <v>552</v>
      </c>
      <c r="B454" s="111" t="s">
        <v>810</v>
      </c>
      <c r="C454" s="93" t="str">
        <f t="shared" si="22"/>
        <v>LTER 552</v>
      </c>
      <c r="D454" s="112">
        <v>68.637178599999999</v>
      </c>
      <c r="E454" s="76">
        <v>-149.86433030000001</v>
      </c>
      <c r="F454" s="106">
        <v>626</v>
      </c>
      <c r="G454" s="93" t="s">
        <v>301</v>
      </c>
      <c r="H454" s="93"/>
      <c r="I454" s="93"/>
      <c r="J454" s="76" t="s">
        <v>1269</v>
      </c>
      <c r="K454" s="73" t="str">
        <f t="shared" si="23"/>
        <v>View on Google Map</v>
      </c>
    </row>
    <row r="455" spans="1:11" x14ac:dyDescent="0.25">
      <c r="A455" s="96">
        <v>553</v>
      </c>
      <c r="B455" s="111" t="s">
        <v>811</v>
      </c>
      <c r="C455" s="93" t="str">
        <f t="shared" si="22"/>
        <v>LTER 553</v>
      </c>
      <c r="D455" s="112">
        <v>68.649681400000006</v>
      </c>
      <c r="E455" s="76">
        <v>-149.84870910000001</v>
      </c>
      <c r="F455" s="106">
        <v>623</v>
      </c>
      <c r="G455" s="93" t="s">
        <v>301</v>
      </c>
      <c r="H455" s="93"/>
      <c r="I455" s="93"/>
      <c r="J455" s="76" t="s">
        <v>1270</v>
      </c>
      <c r="K455" s="73" t="str">
        <f t="shared" si="23"/>
        <v>View on Google Map</v>
      </c>
    </row>
    <row r="456" spans="1:11" x14ac:dyDescent="0.25">
      <c r="A456" s="92">
        <v>554</v>
      </c>
      <c r="B456" s="111" t="s">
        <v>812</v>
      </c>
      <c r="C456" s="93" t="str">
        <f t="shared" si="22"/>
        <v>LTER 554</v>
      </c>
      <c r="D456" s="112">
        <v>68.577067900000003</v>
      </c>
      <c r="E456" s="76">
        <v>-149.78416440000001</v>
      </c>
      <c r="F456" s="106">
        <v>745</v>
      </c>
      <c r="G456" s="93" t="s">
        <v>301</v>
      </c>
      <c r="H456" s="93"/>
      <c r="I456" s="93"/>
      <c r="J456" s="76" t="s">
        <v>1271</v>
      </c>
      <c r="K456" s="73" t="str">
        <f t="shared" si="23"/>
        <v>View on Google Map</v>
      </c>
    </row>
    <row r="457" spans="1:11" x14ac:dyDescent="0.25">
      <c r="A457" s="92">
        <v>555</v>
      </c>
      <c r="B457" s="111" t="s">
        <v>813</v>
      </c>
      <c r="C457" s="93" t="str">
        <f t="shared" si="22"/>
        <v>LTER 555</v>
      </c>
      <c r="D457" s="112">
        <v>68.565716399999999</v>
      </c>
      <c r="E457" s="76">
        <v>-149.76373670000001</v>
      </c>
      <c r="F457" s="106">
        <v>727</v>
      </c>
      <c r="G457" s="93" t="s">
        <v>301</v>
      </c>
      <c r="H457" s="93"/>
      <c r="I457" s="93"/>
      <c r="J457" s="76" t="s">
        <v>1272</v>
      </c>
      <c r="K457" s="73" t="str">
        <f t="shared" si="23"/>
        <v>View on Google Map</v>
      </c>
    </row>
    <row r="458" spans="1:11" x14ac:dyDescent="0.25">
      <c r="A458" s="96">
        <v>556</v>
      </c>
      <c r="B458" s="111" t="s">
        <v>814</v>
      </c>
      <c r="C458" s="93" t="str">
        <f t="shared" si="22"/>
        <v>LTER 556</v>
      </c>
      <c r="D458" s="112">
        <v>68.556367600000002</v>
      </c>
      <c r="E458" s="76">
        <v>-149.7611618</v>
      </c>
      <c r="F458" s="106">
        <v>732</v>
      </c>
      <c r="G458" s="93" t="s">
        <v>301</v>
      </c>
      <c r="H458" s="93"/>
      <c r="I458" s="93"/>
      <c r="J458" s="76" t="s">
        <v>1273</v>
      </c>
      <c r="K458" s="73" t="str">
        <f t="shared" si="23"/>
        <v>View on Google Map</v>
      </c>
    </row>
    <row r="459" spans="1:11" x14ac:dyDescent="0.25">
      <c r="A459" s="92">
        <v>557</v>
      </c>
      <c r="B459" s="111" t="s">
        <v>815</v>
      </c>
      <c r="C459" s="93" t="str">
        <f t="shared" si="22"/>
        <v>LTER 557</v>
      </c>
      <c r="D459" s="112">
        <v>68.552476299999995</v>
      </c>
      <c r="E459" s="76">
        <v>-149.7596169</v>
      </c>
      <c r="F459" s="106">
        <v>732</v>
      </c>
      <c r="G459" s="93" t="s">
        <v>301</v>
      </c>
      <c r="H459" s="93"/>
      <c r="I459" s="93"/>
      <c r="J459" s="76" t="s">
        <v>1274</v>
      </c>
      <c r="K459" s="73" t="str">
        <f t="shared" si="23"/>
        <v>View on Google Map</v>
      </c>
    </row>
    <row r="460" spans="1:11" x14ac:dyDescent="0.25">
      <c r="A460" s="92">
        <v>558</v>
      </c>
      <c r="B460" s="111" t="s">
        <v>816</v>
      </c>
      <c r="C460" s="93" t="str">
        <f t="shared" si="22"/>
        <v>LTER 558</v>
      </c>
      <c r="D460" s="112">
        <v>68.737690799999996</v>
      </c>
      <c r="E460" s="76">
        <v>-149.9424362</v>
      </c>
      <c r="F460" s="106">
        <v>529</v>
      </c>
      <c r="G460" s="93" t="s">
        <v>301</v>
      </c>
      <c r="H460" s="93"/>
      <c r="I460" s="93"/>
      <c r="J460" s="76" t="s">
        <v>1275</v>
      </c>
      <c r="K460" s="73" t="str">
        <f t="shared" si="23"/>
        <v>View on Google Map</v>
      </c>
    </row>
    <row r="461" spans="1:11" x14ac:dyDescent="0.25">
      <c r="A461" s="96">
        <v>559</v>
      </c>
      <c r="B461" s="111" t="s">
        <v>817</v>
      </c>
      <c r="C461" s="93" t="str">
        <f t="shared" si="22"/>
        <v>LTER 559</v>
      </c>
      <c r="D461" s="112">
        <v>68.734577999999999</v>
      </c>
      <c r="E461" s="76">
        <v>-149.90982059999999</v>
      </c>
      <c r="F461" s="106">
        <v>561</v>
      </c>
      <c r="G461" s="93" t="s">
        <v>301</v>
      </c>
      <c r="H461" s="93"/>
      <c r="I461" s="93"/>
      <c r="J461" s="76" t="s">
        <v>1276</v>
      </c>
      <c r="K461" s="73" t="str">
        <f t="shared" si="23"/>
        <v>View on Google Map</v>
      </c>
    </row>
    <row r="462" spans="1:11" x14ac:dyDescent="0.25">
      <c r="A462" s="92">
        <v>560</v>
      </c>
      <c r="B462" s="111" t="s">
        <v>818</v>
      </c>
      <c r="C462" s="93" t="str">
        <f t="shared" ref="C462:C493" si="24">B462</f>
        <v>LTER 560</v>
      </c>
      <c r="D462" s="112">
        <v>68.730281700000006</v>
      </c>
      <c r="E462" s="76">
        <v>-149.93024829999999</v>
      </c>
      <c r="F462" s="106">
        <v>534</v>
      </c>
      <c r="G462" s="93" t="s">
        <v>301</v>
      </c>
      <c r="H462" s="93"/>
      <c r="I462" s="93"/>
      <c r="J462" s="76" t="s">
        <v>1277</v>
      </c>
      <c r="K462" s="73" t="str">
        <f t="shared" si="23"/>
        <v>View on Google Map</v>
      </c>
    </row>
    <row r="463" spans="1:11" x14ac:dyDescent="0.25">
      <c r="A463" s="92">
        <v>561</v>
      </c>
      <c r="B463" s="111" t="s">
        <v>819</v>
      </c>
      <c r="C463" s="93" t="str">
        <f t="shared" si="24"/>
        <v>LTER 561</v>
      </c>
      <c r="D463" s="112">
        <v>68.724489599999998</v>
      </c>
      <c r="E463" s="76">
        <v>-149.94312289999999</v>
      </c>
      <c r="F463" s="106">
        <v>530</v>
      </c>
      <c r="G463" s="93" t="s">
        <v>301</v>
      </c>
      <c r="H463" s="93"/>
      <c r="I463" s="93"/>
      <c r="J463" s="76" t="s">
        <v>1278</v>
      </c>
      <c r="K463" s="73" t="str">
        <f t="shared" si="23"/>
        <v>View on Google Map</v>
      </c>
    </row>
    <row r="464" spans="1:11" x14ac:dyDescent="0.25">
      <c r="A464" s="96">
        <v>562</v>
      </c>
      <c r="B464" s="111" t="s">
        <v>820</v>
      </c>
      <c r="C464" s="93" t="str">
        <f t="shared" si="24"/>
        <v>LTER 562</v>
      </c>
      <c r="D464" s="112">
        <v>68.620194900000001</v>
      </c>
      <c r="E464" s="76">
        <v>-149.2360497</v>
      </c>
      <c r="F464" s="106">
        <v>865</v>
      </c>
      <c r="G464" s="93" t="s">
        <v>301</v>
      </c>
      <c r="H464" s="93"/>
      <c r="I464" s="93"/>
      <c r="J464" s="76" t="s">
        <v>946</v>
      </c>
      <c r="K464" s="73" t="str">
        <f t="shared" si="23"/>
        <v>View on Google Map</v>
      </c>
    </row>
    <row r="465" spans="1:11" x14ac:dyDescent="0.25">
      <c r="A465" s="92">
        <v>563</v>
      </c>
      <c r="B465" s="111" t="s">
        <v>821</v>
      </c>
      <c r="C465" s="93" t="str">
        <f t="shared" si="24"/>
        <v>LTER 563</v>
      </c>
      <c r="D465" s="112">
        <v>68.623167199999997</v>
      </c>
      <c r="E465" s="76">
        <v>-149.23433299999999</v>
      </c>
      <c r="F465" s="106">
        <v>861</v>
      </c>
      <c r="G465" s="93" t="s">
        <v>301</v>
      </c>
      <c r="H465" s="93"/>
      <c r="I465" s="93"/>
      <c r="J465" s="76" t="s">
        <v>946</v>
      </c>
      <c r="K465" s="73" t="str">
        <f t="shared" si="23"/>
        <v>View on Google Map</v>
      </c>
    </row>
    <row r="466" spans="1:11" x14ac:dyDescent="0.25">
      <c r="A466" s="92">
        <v>564</v>
      </c>
      <c r="B466" s="111" t="s">
        <v>822</v>
      </c>
      <c r="C466" s="93" t="str">
        <f t="shared" si="24"/>
        <v>LTER 564</v>
      </c>
      <c r="D466" s="112">
        <v>68.630956800000007</v>
      </c>
      <c r="E466" s="76">
        <v>-149.22682470000001</v>
      </c>
      <c r="F466" s="106">
        <v>848</v>
      </c>
      <c r="G466" s="93" t="s">
        <v>301</v>
      </c>
      <c r="H466" s="93"/>
      <c r="I466" s="93"/>
      <c r="J466" s="76" t="s">
        <v>946</v>
      </c>
      <c r="K466" s="73" t="str">
        <f t="shared" si="23"/>
        <v>View on Google Map</v>
      </c>
    </row>
    <row r="467" spans="1:11" x14ac:dyDescent="0.25">
      <c r="A467" s="96">
        <v>565</v>
      </c>
      <c r="B467" s="111" t="s">
        <v>823</v>
      </c>
      <c r="C467" s="93" t="str">
        <f t="shared" si="24"/>
        <v>LTER 565</v>
      </c>
      <c r="D467" s="112">
        <v>68.634051900000003</v>
      </c>
      <c r="E467" s="76">
        <v>-149.2322293</v>
      </c>
      <c r="F467" s="106">
        <v>847</v>
      </c>
      <c r="G467" s="93" t="s">
        <v>301</v>
      </c>
      <c r="H467" s="93"/>
      <c r="I467" s="93"/>
      <c r="J467" s="76" t="s">
        <v>946</v>
      </c>
      <c r="K467" s="73" t="str">
        <f t="shared" si="23"/>
        <v>View on Google Map</v>
      </c>
    </row>
    <row r="468" spans="1:11" x14ac:dyDescent="0.25">
      <c r="A468" s="92">
        <v>566</v>
      </c>
      <c r="B468" s="111" t="s">
        <v>824</v>
      </c>
      <c r="C468" s="93" t="str">
        <f t="shared" si="24"/>
        <v>LTER 566</v>
      </c>
      <c r="D468" s="112">
        <v>68.611479200000005</v>
      </c>
      <c r="E468" s="76">
        <v>-149.12241</v>
      </c>
      <c r="F468" s="106">
        <v>885</v>
      </c>
      <c r="G468" s="93" t="s">
        <v>301</v>
      </c>
      <c r="H468" s="93"/>
      <c r="I468" s="93"/>
      <c r="J468" s="76" t="s">
        <v>946</v>
      </c>
      <c r="K468" s="73" t="str">
        <f t="shared" si="23"/>
        <v>View on Google Map</v>
      </c>
    </row>
    <row r="469" spans="1:11" x14ac:dyDescent="0.25">
      <c r="A469" s="92">
        <v>567</v>
      </c>
      <c r="B469" s="111" t="s">
        <v>825</v>
      </c>
      <c r="C469" s="93" t="str">
        <f t="shared" si="24"/>
        <v>LTER 567</v>
      </c>
      <c r="D469" s="112">
        <v>68.605593600000006</v>
      </c>
      <c r="E469" s="76">
        <v>-149.13914689999999</v>
      </c>
      <c r="F469" s="106">
        <v>867</v>
      </c>
      <c r="G469" s="93" t="s">
        <v>301</v>
      </c>
      <c r="H469" s="93"/>
      <c r="I469" s="93"/>
      <c r="J469" s="76" t="s">
        <v>946</v>
      </c>
      <c r="K469" s="73" t="str">
        <f t="shared" si="23"/>
        <v>View on Google Map</v>
      </c>
    </row>
    <row r="470" spans="1:11" x14ac:dyDescent="0.25">
      <c r="A470" s="92">
        <v>568</v>
      </c>
      <c r="B470" s="111" t="s">
        <v>826</v>
      </c>
      <c r="C470" s="93" t="str">
        <f t="shared" si="24"/>
        <v>LTER 568</v>
      </c>
      <c r="D470" s="112">
        <v>68.603949700000001</v>
      </c>
      <c r="E470" s="76">
        <v>-149.15245060000001</v>
      </c>
      <c r="F470" s="106">
        <v>883</v>
      </c>
      <c r="G470" s="93" t="s">
        <v>301</v>
      </c>
      <c r="H470" s="93"/>
      <c r="I470" s="93"/>
      <c r="J470" s="76" t="s">
        <v>946</v>
      </c>
      <c r="K470" s="73" t="str">
        <f t="shared" si="23"/>
        <v>View on Google Map</v>
      </c>
    </row>
    <row r="471" spans="1:11" x14ac:dyDescent="0.25">
      <c r="A471" s="96">
        <v>569</v>
      </c>
      <c r="B471" s="111" t="s">
        <v>827</v>
      </c>
      <c r="C471" s="93" t="str">
        <f t="shared" si="24"/>
        <v>LTER 569</v>
      </c>
      <c r="D471" s="112">
        <v>68.601569900000001</v>
      </c>
      <c r="E471" s="76">
        <v>-149.1294479</v>
      </c>
      <c r="F471" s="106">
        <v>855</v>
      </c>
      <c r="G471" s="93" t="s">
        <v>301</v>
      </c>
      <c r="H471" s="93"/>
      <c r="I471" s="93"/>
      <c r="J471" s="76" t="s">
        <v>946</v>
      </c>
      <c r="K471" s="73" t="str">
        <f t="shared" si="23"/>
        <v>View on Google Map</v>
      </c>
    </row>
    <row r="472" spans="1:11" x14ac:dyDescent="0.25">
      <c r="A472" s="92">
        <v>570</v>
      </c>
      <c r="B472" s="111" t="s">
        <v>828</v>
      </c>
      <c r="C472" s="93" t="str">
        <f t="shared" si="24"/>
        <v>LTER 570</v>
      </c>
      <c r="D472" s="112">
        <v>68.575476800000004</v>
      </c>
      <c r="E472" s="76">
        <v>-149.139297</v>
      </c>
      <c r="F472" s="106">
        <v>846</v>
      </c>
      <c r="G472" s="93" t="s">
        <v>301</v>
      </c>
      <c r="H472" s="93"/>
      <c r="I472" s="93"/>
      <c r="J472" s="76" t="s">
        <v>946</v>
      </c>
      <c r="K472" s="73" t="str">
        <f t="shared" si="23"/>
        <v>View on Google Map</v>
      </c>
    </row>
    <row r="473" spans="1:11" x14ac:dyDescent="0.25">
      <c r="A473" s="92">
        <v>571</v>
      </c>
      <c r="B473" s="111" t="s">
        <v>829</v>
      </c>
      <c r="C473" s="93" t="str">
        <f t="shared" si="24"/>
        <v>LTER 571</v>
      </c>
      <c r="D473" s="112">
        <v>68.573619100000002</v>
      </c>
      <c r="E473" s="76">
        <v>-149.137001</v>
      </c>
      <c r="F473" s="106">
        <v>839</v>
      </c>
      <c r="G473" s="93" t="s">
        <v>301</v>
      </c>
      <c r="H473" s="93"/>
      <c r="I473" s="93"/>
      <c r="J473" s="76" t="s">
        <v>946</v>
      </c>
      <c r="K473" s="73" t="str">
        <f t="shared" si="23"/>
        <v>View on Google Map</v>
      </c>
    </row>
    <row r="474" spans="1:11" x14ac:dyDescent="0.25">
      <c r="A474" s="96">
        <v>572</v>
      </c>
      <c r="B474" s="111" t="s">
        <v>830</v>
      </c>
      <c r="C474" s="93" t="str">
        <f t="shared" si="24"/>
        <v>LTER 572</v>
      </c>
      <c r="D474" s="112">
        <v>68.556477400000006</v>
      </c>
      <c r="E474" s="76">
        <v>-149.17616129999999</v>
      </c>
      <c r="F474" s="106">
        <v>946</v>
      </c>
      <c r="G474" s="93" t="s">
        <v>301</v>
      </c>
      <c r="H474" s="93"/>
      <c r="I474" s="93"/>
      <c r="J474" s="76" t="s">
        <v>946</v>
      </c>
      <c r="K474" s="73" t="str">
        <f t="shared" si="23"/>
        <v>View on Google Map</v>
      </c>
    </row>
    <row r="475" spans="1:11" x14ac:dyDescent="0.25">
      <c r="A475" s="92">
        <v>573</v>
      </c>
      <c r="B475" s="111" t="s">
        <v>831</v>
      </c>
      <c r="C475" s="93" t="str">
        <f t="shared" si="24"/>
        <v>LTER 573</v>
      </c>
      <c r="D475" s="112">
        <v>68.541740500000003</v>
      </c>
      <c r="E475" s="76">
        <v>-149.16687010000001</v>
      </c>
      <c r="F475" s="106">
        <v>1022</v>
      </c>
      <c r="G475" s="93" t="s">
        <v>301</v>
      </c>
      <c r="H475" s="93"/>
      <c r="I475" s="93"/>
      <c r="J475" s="76" t="s">
        <v>946</v>
      </c>
      <c r="K475" s="73" t="str">
        <f t="shared" si="23"/>
        <v>View on Google Map</v>
      </c>
    </row>
    <row r="476" spans="1:11" x14ac:dyDescent="0.25">
      <c r="A476" s="92">
        <v>574</v>
      </c>
      <c r="B476" s="111" t="s">
        <v>832</v>
      </c>
      <c r="C476" s="93" t="str">
        <f t="shared" si="24"/>
        <v>LTER 574</v>
      </c>
      <c r="D476" s="112">
        <v>68.522453299999995</v>
      </c>
      <c r="E476" s="76">
        <v>-149.14223670000001</v>
      </c>
      <c r="F476" s="106">
        <v>910</v>
      </c>
      <c r="G476" s="93" t="s">
        <v>301</v>
      </c>
      <c r="H476" s="93"/>
      <c r="I476" s="93"/>
      <c r="J476" s="76" t="s">
        <v>946</v>
      </c>
      <c r="K476" s="73" t="str">
        <f t="shared" si="23"/>
        <v>View on Google Map</v>
      </c>
    </row>
    <row r="477" spans="1:11" x14ac:dyDescent="0.25">
      <c r="A477" s="92">
        <v>575</v>
      </c>
      <c r="B477" s="111" t="s">
        <v>833</v>
      </c>
      <c r="C477" s="93" t="str">
        <f t="shared" si="24"/>
        <v>LTER 575</v>
      </c>
      <c r="D477" s="112">
        <v>68.528329200000002</v>
      </c>
      <c r="E477" s="76">
        <v>-149.14996149999999</v>
      </c>
      <c r="F477" s="106">
        <v>938</v>
      </c>
      <c r="G477" s="93" t="s">
        <v>301</v>
      </c>
      <c r="H477" s="93"/>
      <c r="I477" s="93"/>
      <c r="J477" s="76" t="s">
        <v>1279</v>
      </c>
      <c r="K477" s="73" t="str">
        <f t="shared" si="23"/>
        <v>View on Google Map</v>
      </c>
    </row>
    <row r="478" spans="1:11" x14ac:dyDescent="0.25">
      <c r="A478" s="96">
        <v>576</v>
      </c>
      <c r="B478" s="111" t="s">
        <v>834</v>
      </c>
      <c r="C478" s="93" t="str">
        <f t="shared" si="24"/>
        <v>LTER 576</v>
      </c>
      <c r="D478" s="112">
        <v>68.507819900000001</v>
      </c>
      <c r="E478" s="76">
        <v>-149.19764040000001</v>
      </c>
      <c r="F478" s="106">
        <v>1022</v>
      </c>
      <c r="G478" s="93" t="s">
        <v>301</v>
      </c>
      <c r="H478" s="93"/>
      <c r="I478" s="93"/>
      <c r="J478" s="76" t="s">
        <v>946</v>
      </c>
      <c r="K478" s="73" t="str">
        <f t="shared" si="23"/>
        <v>View on Google Map</v>
      </c>
    </row>
    <row r="479" spans="1:11" x14ac:dyDescent="0.25">
      <c r="A479" s="92">
        <v>577</v>
      </c>
      <c r="B479" s="111" t="s">
        <v>835</v>
      </c>
      <c r="C479" s="93" t="str">
        <f t="shared" si="24"/>
        <v>LTER 577</v>
      </c>
      <c r="D479" s="112">
        <v>68.512976499999994</v>
      </c>
      <c r="E479" s="76">
        <v>-149.2026615</v>
      </c>
      <c r="F479" s="106">
        <v>997</v>
      </c>
      <c r="G479" s="93" t="s">
        <v>301</v>
      </c>
      <c r="H479" s="93"/>
      <c r="I479" s="93"/>
      <c r="J479" s="76" t="s">
        <v>946</v>
      </c>
      <c r="K479" s="73" t="str">
        <f t="shared" si="23"/>
        <v>View on Google Map</v>
      </c>
    </row>
    <row r="480" spans="1:11" x14ac:dyDescent="0.25">
      <c r="A480" s="92">
        <v>578</v>
      </c>
      <c r="B480" s="111" t="s">
        <v>836</v>
      </c>
      <c r="C480" s="93" t="str">
        <f t="shared" si="24"/>
        <v>LTER 578</v>
      </c>
      <c r="D480" s="112">
        <v>68.528737599999999</v>
      </c>
      <c r="E480" s="76">
        <v>-149.2639446</v>
      </c>
      <c r="F480" s="106">
        <v>1006</v>
      </c>
      <c r="G480" s="93" t="s">
        <v>301</v>
      </c>
      <c r="H480" s="93"/>
      <c r="I480" s="93"/>
      <c r="J480" s="76" t="s">
        <v>946</v>
      </c>
      <c r="K480" s="73" t="str">
        <f t="shared" si="23"/>
        <v>View on Google Map</v>
      </c>
    </row>
    <row r="481" spans="1:11" x14ac:dyDescent="0.25">
      <c r="A481" s="96">
        <v>579</v>
      </c>
      <c r="B481" s="111" t="s">
        <v>837</v>
      </c>
      <c r="C481" s="93" t="str">
        <f t="shared" si="24"/>
        <v>LTER 579</v>
      </c>
      <c r="D481" s="112">
        <v>68.589870500000004</v>
      </c>
      <c r="E481" s="76">
        <v>-149.20248989999999</v>
      </c>
      <c r="F481" s="106">
        <v>893</v>
      </c>
      <c r="G481" s="93" t="s">
        <v>301</v>
      </c>
      <c r="H481" s="93"/>
      <c r="I481" s="93"/>
      <c r="J481" s="76" t="s">
        <v>946</v>
      </c>
      <c r="K481" s="73" t="str">
        <f t="shared" si="23"/>
        <v>View on Google Map</v>
      </c>
    </row>
    <row r="482" spans="1:11" x14ac:dyDescent="0.25">
      <c r="A482" s="92">
        <v>580</v>
      </c>
      <c r="B482" s="111" t="s">
        <v>838</v>
      </c>
      <c r="C482" s="93" t="str">
        <f t="shared" si="24"/>
        <v>LTER 580</v>
      </c>
      <c r="D482" s="112">
        <v>68.595258900000005</v>
      </c>
      <c r="E482" s="76">
        <v>-149.19841289999999</v>
      </c>
      <c r="F482" s="106">
        <v>869</v>
      </c>
      <c r="G482" s="93" t="s">
        <v>301</v>
      </c>
      <c r="H482" s="93"/>
      <c r="I482" s="93"/>
      <c r="J482" s="76" t="s">
        <v>946</v>
      </c>
      <c r="K482" s="73" t="str">
        <f t="shared" si="23"/>
        <v>View on Google Map</v>
      </c>
    </row>
    <row r="483" spans="1:11" x14ac:dyDescent="0.25">
      <c r="A483" s="92">
        <v>581</v>
      </c>
      <c r="B483" s="111" t="s">
        <v>839</v>
      </c>
      <c r="C483" s="93" t="str">
        <f t="shared" si="24"/>
        <v>LTER 581</v>
      </c>
      <c r="D483" s="112">
        <v>68.5967311</v>
      </c>
      <c r="E483" s="76">
        <v>-149.20223240000001</v>
      </c>
      <c r="F483" s="106">
        <v>870</v>
      </c>
      <c r="G483" s="93" t="s">
        <v>301</v>
      </c>
      <c r="H483" s="93"/>
      <c r="I483" s="93"/>
      <c r="J483" s="76" t="s">
        <v>946</v>
      </c>
      <c r="K483" s="73" t="str">
        <f t="shared" si="23"/>
        <v>View on Google Map</v>
      </c>
    </row>
    <row r="484" spans="1:11" x14ac:dyDescent="0.25">
      <c r="A484" s="92">
        <v>582</v>
      </c>
      <c r="B484" s="111" t="s">
        <v>840</v>
      </c>
      <c r="C484" s="93" t="str">
        <f t="shared" si="24"/>
        <v>LTER 582</v>
      </c>
      <c r="D484" s="112">
        <v>68.598547800000006</v>
      </c>
      <c r="E484" s="76">
        <v>-149.20068739999999</v>
      </c>
      <c r="F484" s="106">
        <v>870</v>
      </c>
      <c r="G484" s="93" t="s">
        <v>301</v>
      </c>
      <c r="H484" s="93"/>
      <c r="I484" s="93"/>
      <c r="J484" s="76" t="s">
        <v>946</v>
      </c>
      <c r="K484" s="73" t="str">
        <f t="shared" si="23"/>
        <v>View on Google Map</v>
      </c>
    </row>
    <row r="485" spans="1:11" x14ac:dyDescent="0.25">
      <c r="A485" s="92">
        <v>583</v>
      </c>
      <c r="B485" s="111" t="s">
        <v>841</v>
      </c>
      <c r="C485" s="93" t="str">
        <f t="shared" si="24"/>
        <v>LTER 583</v>
      </c>
      <c r="D485" s="112">
        <v>68.594209599999999</v>
      </c>
      <c r="E485" s="76">
        <v>-149.22184469999999</v>
      </c>
      <c r="F485" s="106">
        <v>898</v>
      </c>
      <c r="G485" s="93" t="s">
        <v>301</v>
      </c>
      <c r="H485" s="93"/>
      <c r="I485" s="93"/>
      <c r="J485" s="76" t="s">
        <v>946</v>
      </c>
      <c r="K485" s="73" t="str">
        <f t="shared" si="23"/>
        <v>View on Google Map</v>
      </c>
    </row>
    <row r="486" spans="1:11" x14ac:dyDescent="0.25">
      <c r="A486" s="92">
        <v>584</v>
      </c>
      <c r="B486" s="111" t="s">
        <v>842</v>
      </c>
      <c r="C486" s="93" t="str">
        <f t="shared" si="24"/>
        <v>LTER 584</v>
      </c>
      <c r="D486" s="112">
        <v>68.601021900000006</v>
      </c>
      <c r="E486" s="76">
        <v>-149.21433450000001</v>
      </c>
      <c r="F486" s="106">
        <v>878</v>
      </c>
      <c r="G486" s="93" t="s">
        <v>301</v>
      </c>
      <c r="H486" s="93"/>
      <c r="I486" s="93"/>
      <c r="J486" s="76" t="s">
        <v>946</v>
      </c>
      <c r="K486" s="73" t="str">
        <f t="shared" si="23"/>
        <v>View on Google Map</v>
      </c>
    </row>
    <row r="487" spans="1:11" x14ac:dyDescent="0.25">
      <c r="A487" s="92">
        <v>585</v>
      </c>
      <c r="B487" s="111" t="s">
        <v>843</v>
      </c>
      <c r="C487" s="93" t="str">
        <f t="shared" si="24"/>
        <v>LTER 585</v>
      </c>
      <c r="D487" s="112">
        <v>68.630783800000003</v>
      </c>
      <c r="E487" s="76">
        <v>-149.15266510000001</v>
      </c>
      <c r="F487" s="106">
        <v>868</v>
      </c>
      <c r="G487" s="93" t="s">
        <v>301</v>
      </c>
      <c r="H487" s="93"/>
      <c r="I487" s="93"/>
      <c r="J487" s="76" t="s">
        <v>946</v>
      </c>
      <c r="K487" s="73" t="str">
        <f t="shared" si="23"/>
        <v>View on Google Map</v>
      </c>
    </row>
    <row r="488" spans="1:11" x14ac:dyDescent="0.25">
      <c r="A488" s="92">
        <v>586</v>
      </c>
      <c r="B488" s="111" t="s">
        <v>844</v>
      </c>
      <c r="C488" s="93" t="str">
        <f t="shared" si="24"/>
        <v>LTER 586</v>
      </c>
      <c r="D488" s="112">
        <v>68.639523400000002</v>
      </c>
      <c r="E488" s="76">
        <v>-149.13386819999999</v>
      </c>
      <c r="F488" s="106">
        <v>879</v>
      </c>
      <c r="G488" s="93" t="s">
        <v>301</v>
      </c>
      <c r="H488" s="93"/>
      <c r="I488" s="93"/>
      <c r="J488" s="76" t="s">
        <v>946</v>
      </c>
      <c r="K488" s="73" t="str">
        <f t="shared" si="23"/>
        <v>View on Google Map</v>
      </c>
    </row>
    <row r="489" spans="1:11" x14ac:dyDescent="0.25">
      <c r="A489" s="92">
        <v>587</v>
      </c>
      <c r="B489" s="111" t="s">
        <v>845</v>
      </c>
      <c r="C489" s="93" t="str">
        <f t="shared" si="24"/>
        <v>LTER 587</v>
      </c>
      <c r="D489" s="112">
        <v>68.658054399999997</v>
      </c>
      <c r="E489" s="76">
        <v>-149.22532079999999</v>
      </c>
      <c r="F489" s="106">
        <v>819</v>
      </c>
      <c r="G489" s="93" t="s">
        <v>301</v>
      </c>
      <c r="H489" s="93"/>
      <c r="I489" s="93"/>
      <c r="J489" s="76" t="s">
        <v>946</v>
      </c>
      <c r="K489" s="73" t="str">
        <f t="shared" si="23"/>
        <v>View on Google Map</v>
      </c>
    </row>
    <row r="490" spans="1:11" x14ac:dyDescent="0.25">
      <c r="A490" s="92">
        <v>588</v>
      </c>
      <c r="B490" s="111" t="s">
        <v>846</v>
      </c>
      <c r="C490" s="93" t="str">
        <f t="shared" si="24"/>
        <v>LTER 588</v>
      </c>
      <c r="D490" s="112">
        <v>68.644685199999998</v>
      </c>
      <c r="E490" s="76">
        <v>-149.27148740000001</v>
      </c>
      <c r="F490" s="106">
        <v>856</v>
      </c>
      <c r="G490" s="93" t="s">
        <v>301</v>
      </c>
      <c r="H490" s="93"/>
      <c r="I490" s="93"/>
      <c r="J490" s="76" t="s">
        <v>946</v>
      </c>
      <c r="K490" s="73" t="str">
        <f t="shared" si="23"/>
        <v>View on Google Map</v>
      </c>
    </row>
    <row r="491" spans="1:11" x14ac:dyDescent="0.25">
      <c r="A491" s="92">
        <v>589</v>
      </c>
      <c r="B491" s="111" t="s">
        <v>847</v>
      </c>
      <c r="C491" s="93" t="str">
        <f t="shared" si="24"/>
        <v>LTER 589</v>
      </c>
      <c r="D491" s="112">
        <v>68.654719700000001</v>
      </c>
      <c r="E491" s="76">
        <v>-149.23302409999999</v>
      </c>
      <c r="F491" s="106">
        <v>822</v>
      </c>
      <c r="G491" s="93" t="s">
        <v>301</v>
      </c>
      <c r="H491" s="93"/>
      <c r="I491" s="93"/>
      <c r="J491" s="76" t="s">
        <v>946</v>
      </c>
      <c r="K491" s="73" t="str">
        <f t="shared" si="23"/>
        <v>View on Google Map</v>
      </c>
    </row>
    <row r="492" spans="1:11" x14ac:dyDescent="0.25">
      <c r="A492" s="92">
        <v>590</v>
      </c>
      <c r="B492" s="111" t="s">
        <v>848</v>
      </c>
      <c r="C492" s="93" t="str">
        <f t="shared" si="24"/>
        <v>LTER 590</v>
      </c>
      <c r="D492" s="112">
        <v>68.653462099999999</v>
      </c>
      <c r="E492" s="76">
        <v>-149.2221236</v>
      </c>
      <c r="F492" s="106">
        <v>816</v>
      </c>
      <c r="G492" s="93" t="s">
        <v>301</v>
      </c>
      <c r="H492" s="93"/>
      <c r="I492" s="93"/>
      <c r="J492" s="76" t="s">
        <v>946</v>
      </c>
      <c r="K492" s="73" t="str">
        <f t="shared" si="23"/>
        <v>View on Google Map</v>
      </c>
    </row>
    <row r="493" spans="1:11" x14ac:dyDescent="0.25">
      <c r="A493" s="92">
        <v>591</v>
      </c>
      <c r="B493" s="111" t="s">
        <v>849</v>
      </c>
      <c r="C493" s="93" t="str">
        <f t="shared" si="24"/>
        <v>LTER 591</v>
      </c>
      <c r="D493" s="112">
        <v>68.656273799999994</v>
      </c>
      <c r="E493" s="76">
        <v>-149.17279250000001</v>
      </c>
      <c r="F493" s="106">
        <v>807</v>
      </c>
      <c r="G493" s="93" t="s">
        <v>301</v>
      </c>
      <c r="H493" s="93"/>
      <c r="I493" s="93"/>
      <c r="J493" s="76" t="s">
        <v>946</v>
      </c>
      <c r="K493" s="73" t="str">
        <f t="shared" si="23"/>
        <v>View on Google Map</v>
      </c>
    </row>
    <row r="494" spans="1:11" x14ac:dyDescent="0.25">
      <c r="A494">
        <v>1225</v>
      </c>
      <c r="B494" t="s">
        <v>1670</v>
      </c>
      <c r="C494" t="s">
        <v>1671</v>
      </c>
      <c r="D494">
        <v>68.641727000000003</v>
      </c>
      <c r="E494">
        <v>-149.58665300000001</v>
      </c>
      <c r="F494">
        <v>724</v>
      </c>
      <c r="G494" t="s">
        <v>619</v>
      </c>
    </row>
    <row r="495" spans="1:11" x14ac:dyDescent="0.25">
      <c r="B495" t="s">
        <v>1672</v>
      </c>
      <c r="C495" t="s">
        <v>1673</v>
      </c>
      <c r="D495">
        <v>68.622865000000004</v>
      </c>
      <c r="E495">
        <v>-149.60854499999999</v>
      </c>
      <c r="F495">
        <v>758</v>
      </c>
      <c r="G495" t="s">
        <v>619</v>
      </c>
    </row>
    <row r="496" spans="1:11" x14ac:dyDescent="0.25">
      <c r="A496">
        <v>1220</v>
      </c>
      <c r="B496" t="s">
        <v>1674</v>
      </c>
      <c r="C496" t="s">
        <v>1675</v>
      </c>
      <c r="D496">
        <v>68.624410999999995</v>
      </c>
      <c r="E496">
        <v>-149.609589</v>
      </c>
      <c r="F496">
        <v>750</v>
      </c>
      <c r="G496" t="s">
        <v>619</v>
      </c>
    </row>
    <row r="497" spans="1:11" x14ac:dyDescent="0.25">
      <c r="A497">
        <v>1222</v>
      </c>
      <c r="B497" t="s">
        <v>1676</v>
      </c>
      <c r="C497" t="s">
        <v>1677</v>
      </c>
      <c r="D497">
        <v>68.629636000000005</v>
      </c>
      <c r="E497">
        <v>-149.57565600000001</v>
      </c>
      <c r="F497">
        <v>755</v>
      </c>
      <c r="G497" t="s">
        <v>619</v>
      </c>
    </row>
    <row r="498" spans="1:11" x14ac:dyDescent="0.25">
      <c r="A498">
        <v>1228</v>
      </c>
      <c r="B498" t="s">
        <v>1678</v>
      </c>
      <c r="C498" t="s">
        <v>1679</v>
      </c>
      <c r="D498">
        <v>68.634530999999996</v>
      </c>
      <c r="E498">
        <v>-149.64205799999999</v>
      </c>
      <c r="F498">
        <v>748</v>
      </c>
      <c r="G498" t="s">
        <v>619</v>
      </c>
    </row>
    <row r="499" spans="1:11" x14ac:dyDescent="0.25">
      <c r="A499">
        <v>1227</v>
      </c>
      <c r="B499" t="s">
        <v>1680</v>
      </c>
      <c r="C499" t="s">
        <v>1681</v>
      </c>
      <c r="D499">
        <v>68.634039000000001</v>
      </c>
      <c r="E499">
        <v>-149.63704899999999</v>
      </c>
      <c r="F499">
        <v>750</v>
      </c>
      <c r="G499" t="s">
        <v>619</v>
      </c>
    </row>
    <row r="500" spans="1:11" x14ac:dyDescent="0.25">
      <c r="A500">
        <v>1223</v>
      </c>
      <c r="B500" t="s">
        <v>1682</v>
      </c>
      <c r="C500" t="s">
        <v>1683</v>
      </c>
      <c r="D500">
        <v>68.635624000000007</v>
      </c>
      <c r="E500">
        <v>-149.587064</v>
      </c>
      <c r="F500">
        <v>745</v>
      </c>
      <c r="G500" t="s">
        <v>619</v>
      </c>
    </row>
    <row r="501" spans="1:11" x14ac:dyDescent="0.25">
      <c r="A501">
        <v>1224</v>
      </c>
      <c r="B501" t="s">
        <v>1684</v>
      </c>
      <c r="C501" t="s">
        <v>1685</v>
      </c>
      <c r="D501">
        <v>68.638692000000006</v>
      </c>
      <c r="E501">
        <v>-149.567789</v>
      </c>
      <c r="F501">
        <v>731</v>
      </c>
      <c r="G501" t="s">
        <v>619</v>
      </c>
    </row>
    <row r="502" spans="1:11" x14ac:dyDescent="0.25">
      <c r="A502" s="92">
        <v>955</v>
      </c>
      <c r="B502" s="93" t="s">
        <v>1454</v>
      </c>
      <c r="C502" s="93" t="str">
        <f t="shared" ref="C502:C533" si="25">B502</f>
        <v xml:space="preserve">LTER Tussock Block 1 Control 1     </v>
      </c>
      <c r="D502" s="94"/>
      <c r="E502" s="76"/>
      <c r="F502" s="95">
        <v>750</v>
      </c>
      <c r="G502" s="93" t="s">
        <v>619</v>
      </c>
      <c r="H502" s="93" t="s">
        <v>726</v>
      </c>
      <c r="I502" s="93"/>
      <c r="J502" s="76" t="s">
        <v>946</v>
      </c>
      <c r="K502" s="73" t="str">
        <f t="shared" ref="K502:K533" si="26">HYPERLINK("http://maps.google.com/maps?q="&amp;D502&amp;","&amp;E502,"View on Google Map")</f>
        <v>View on Google Map</v>
      </c>
    </row>
    <row r="503" spans="1:11" x14ac:dyDescent="0.25">
      <c r="A503" s="92">
        <v>964</v>
      </c>
      <c r="B503" s="93" t="s">
        <v>1466</v>
      </c>
      <c r="C503" s="93" t="str">
        <f t="shared" si="25"/>
        <v xml:space="preserve">LTER Tussock Block 1 Control 2     </v>
      </c>
      <c r="D503" s="94"/>
      <c r="E503" s="76"/>
      <c r="F503" s="95">
        <v>750</v>
      </c>
      <c r="G503" s="93" t="s">
        <v>619</v>
      </c>
      <c r="H503" s="93" t="s">
        <v>726</v>
      </c>
      <c r="I503" s="93"/>
      <c r="J503" s="76" t="s">
        <v>946</v>
      </c>
      <c r="K503" s="73" t="str">
        <f t="shared" si="26"/>
        <v>View on Google Map</v>
      </c>
    </row>
    <row r="504" spans="1:11" x14ac:dyDescent="0.25">
      <c r="A504" s="92">
        <v>950</v>
      </c>
      <c r="B504" s="93" t="s">
        <v>1447</v>
      </c>
      <c r="C504" s="93" t="str">
        <f t="shared" si="25"/>
        <v xml:space="preserve">LTER Tussock Block 1 Exclosure Control     </v>
      </c>
      <c r="D504" s="94"/>
      <c r="E504" s="76"/>
      <c r="F504" s="95">
        <v>750</v>
      </c>
      <c r="G504" s="93" t="s">
        <v>619</v>
      </c>
      <c r="H504" s="93" t="s">
        <v>726</v>
      </c>
      <c r="I504" s="93"/>
      <c r="J504" s="76" t="s">
        <v>946</v>
      </c>
      <c r="K504" s="73" t="str">
        <f t="shared" si="26"/>
        <v>View on Google Map</v>
      </c>
    </row>
    <row r="505" spans="1:11" x14ac:dyDescent="0.25">
      <c r="A505" s="92">
        <v>951</v>
      </c>
      <c r="B505" s="93" t="s">
        <v>1448</v>
      </c>
      <c r="C505" s="93" t="str">
        <f t="shared" si="25"/>
        <v xml:space="preserve">LTER Tussock Block 1 Exclosure Control Large Mesh Fence  </v>
      </c>
      <c r="D505" s="94"/>
      <c r="E505" s="76"/>
      <c r="F505" s="95">
        <v>750</v>
      </c>
      <c r="G505" s="93" t="s">
        <v>301</v>
      </c>
      <c r="H505" s="93" t="s">
        <v>726</v>
      </c>
      <c r="I505" s="93"/>
      <c r="J505" s="76" t="s">
        <v>946</v>
      </c>
      <c r="K505" s="73" t="str">
        <f t="shared" si="26"/>
        <v>View on Google Map</v>
      </c>
    </row>
    <row r="506" spans="1:11" x14ac:dyDescent="0.25">
      <c r="A506" s="92">
        <v>952</v>
      </c>
      <c r="B506" s="93" t="s">
        <v>1449</v>
      </c>
      <c r="C506" s="93" t="str">
        <f t="shared" si="25"/>
        <v xml:space="preserve">LTER Tussock Block 1 Exclosure Control Small Mesh Fence  </v>
      </c>
      <c r="D506" s="94"/>
      <c r="E506" s="76"/>
      <c r="F506" s="95">
        <v>750</v>
      </c>
      <c r="G506" s="93" t="s">
        <v>619</v>
      </c>
      <c r="H506" s="93" t="s">
        <v>726</v>
      </c>
      <c r="I506" s="93"/>
      <c r="J506" s="76" t="s">
        <v>946</v>
      </c>
      <c r="K506" s="73" t="str">
        <f t="shared" si="26"/>
        <v>View on Google Map</v>
      </c>
    </row>
    <row r="507" spans="1:11" x14ac:dyDescent="0.25">
      <c r="A507" s="92">
        <v>961</v>
      </c>
      <c r="B507" s="93" t="s">
        <v>1463</v>
      </c>
      <c r="C507" s="93" t="str">
        <f t="shared" si="25"/>
        <v xml:space="preserve">LTER Tussock Block 1 Exclosure Nitrogen and Phosphorus Control  </v>
      </c>
      <c r="D507" s="94"/>
      <c r="E507" s="76"/>
      <c r="F507" s="95">
        <v>750</v>
      </c>
      <c r="G507" s="93" t="s">
        <v>619</v>
      </c>
      <c r="H507" s="93" t="s">
        <v>726</v>
      </c>
      <c r="I507" s="93"/>
      <c r="J507" s="76" t="s">
        <v>946</v>
      </c>
      <c r="K507" s="73" t="str">
        <f t="shared" si="26"/>
        <v>View on Google Map</v>
      </c>
    </row>
    <row r="508" spans="1:11" x14ac:dyDescent="0.25">
      <c r="A508" s="92">
        <v>959</v>
      </c>
      <c r="B508" s="93" t="s">
        <v>1461</v>
      </c>
      <c r="C508" s="93" t="str">
        <f t="shared" si="25"/>
        <v>LTER Tussock Block 1 Exclosure Nitrogen and Phosphorus Large Mesh Fence</v>
      </c>
      <c r="D508" s="94"/>
      <c r="E508" s="76"/>
      <c r="F508" s="95">
        <v>750</v>
      </c>
      <c r="G508" s="93" t="s">
        <v>619</v>
      </c>
      <c r="H508" s="93" t="s">
        <v>726</v>
      </c>
      <c r="I508" s="93"/>
      <c r="J508" s="76" t="s">
        <v>946</v>
      </c>
      <c r="K508" s="73" t="str">
        <f t="shared" si="26"/>
        <v>View on Google Map</v>
      </c>
    </row>
    <row r="509" spans="1:11" x14ac:dyDescent="0.25">
      <c r="A509" s="92">
        <v>960</v>
      </c>
      <c r="B509" s="93" t="s">
        <v>1462</v>
      </c>
      <c r="C509" s="93" t="str">
        <f t="shared" si="25"/>
        <v>LTER Tussock Block 1 Exclosure Nitrogen and Phosphorus Small Mesh Fence</v>
      </c>
      <c r="D509" s="94"/>
      <c r="E509" s="76"/>
      <c r="F509" s="95">
        <v>750</v>
      </c>
      <c r="G509" s="93" t="s">
        <v>619</v>
      </c>
      <c r="H509" s="93" t="s">
        <v>726</v>
      </c>
      <c r="I509" s="93"/>
      <c r="J509" s="76" t="s">
        <v>946</v>
      </c>
      <c r="K509" s="73" t="str">
        <f t="shared" si="26"/>
        <v>View on Google Map</v>
      </c>
    </row>
    <row r="510" spans="1:11" x14ac:dyDescent="0.25">
      <c r="A510" s="92">
        <v>965</v>
      </c>
      <c r="B510" s="93" t="s">
        <v>1467</v>
      </c>
      <c r="C510" s="93" t="str">
        <f t="shared" si="25"/>
        <v xml:space="preserve">LTER Tussock Block 1 Extra  3     </v>
      </c>
      <c r="D510" s="94"/>
      <c r="E510" s="76"/>
      <c r="F510" s="95">
        <v>750</v>
      </c>
      <c r="G510" s="93" t="s">
        <v>619</v>
      </c>
      <c r="H510" s="93" t="s">
        <v>726</v>
      </c>
      <c r="I510" s="93"/>
      <c r="J510" s="76" t="s">
        <v>946</v>
      </c>
      <c r="K510" s="73" t="str">
        <f t="shared" si="26"/>
        <v>View on Google Map</v>
      </c>
    </row>
    <row r="511" spans="1:11" x14ac:dyDescent="0.25">
      <c r="A511" s="92">
        <v>954</v>
      </c>
      <c r="B511" s="93" t="s">
        <v>1452</v>
      </c>
      <c r="C511" s="93" t="str">
        <f t="shared" si="25"/>
        <v xml:space="preserve">LTER Tussock Block 1 Greenhouse Control     </v>
      </c>
      <c r="D511" s="94"/>
      <c r="E511" s="76"/>
      <c r="F511" s="95">
        <v>750</v>
      </c>
      <c r="G511" s="93" t="s">
        <v>619</v>
      </c>
      <c r="H511" s="93" t="s">
        <v>726</v>
      </c>
      <c r="I511" s="93"/>
      <c r="J511" s="76" t="s">
        <v>1453</v>
      </c>
      <c r="K511" s="73" t="str">
        <f t="shared" si="26"/>
        <v>View on Google Map</v>
      </c>
    </row>
    <row r="512" spans="1:11" x14ac:dyDescent="0.25">
      <c r="A512" s="92">
        <v>953</v>
      </c>
      <c r="B512" s="93" t="s">
        <v>1450</v>
      </c>
      <c r="C512" s="93" t="str">
        <f t="shared" si="25"/>
        <v xml:space="preserve">LTER Tussock Block 1 Greenhouse with Nitrogen and Phosphorus  </v>
      </c>
      <c r="D512" s="94"/>
      <c r="E512" s="76"/>
      <c r="F512" s="95">
        <v>750</v>
      </c>
      <c r="G512" s="93" t="s">
        <v>619</v>
      </c>
      <c r="H512" s="93" t="s">
        <v>726</v>
      </c>
      <c r="I512" s="93"/>
      <c r="J512" s="76" t="s">
        <v>1451</v>
      </c>
      <c r="K512" s="73" t="str">
        <f t="shared" si="26"/>
        <v>View on Google Map</v>
      </c>
    </row>
    <row r="513" spans="1:11" x14ac:dyDescent="0.25">
      <c r="A513" s="92">
        <v>958</v>
      </c>
      <c r="B513" s="93" t="s">
        <v>1459</v>
      </c>
      <c r="C513" s="93" t="str">
        <f t="shared" si="25"/>
        <v xml:space="preserve">LTER Tussock Block 1 Nitrogen and Phosphorus    </v>
      </c>
      <c r="D513" s="94"/>
      <c r="E513" s="76"/>
      <c r="F513" s="95">
        <v>750</v>
      </c>
      <c r="G513" s="93" t="s">
        <v>619</v>
      </c>
      <c r="H513" s="93" t="s">
        <v>726</v>
      </c>
      <c r="I513" s="93"/>
      <c r="J513" s="76" t="s">
        <v>1460</v>
      </c>
      <c r="K513" s="73" t="str">
        <f t="shared" si="26"/>
        <v>View on Google Map</v>
      </c>
    </row>
    <row r="514" spans="1:11" x14ac:dyDescent="0.25">
      <c r="A514" s="92">
        <v>957</v>
      </c>
      <c r="B514" s="93" t="s">
        <v>1457</v>
      </c>
      <c r="C514" s="93" t="str">
        <f t="shared" si="25"/>
        <v xml:space="preserve">LTER Tussock Block 1 Nitrogen Only     </v>
      </c>
      <c r="D514" s="94"/>
      <c r="E514" s="76"/>
      <c r="F514" s="95">
        <v>750</v>
      </c>
      <c r="G514" s="93" t="s">
        <v>619</v>
      </c>
      <c r="H514" s="93" t="s">
        <v>726</v>
      </c>
      <c r="I514" s="93"/>
      <c r="J514" s="76" t="s">
        <v>1458</v>
      </c>
      <c r="K514" s="73" t="str">
        <f t="shared" si="26"/>
        <v>View on Google Map</v>
      </c>
    </row>
    <row r="515" spans="1:11" x14ac:dyDescent="0.25">
      <c r="A515" s="92">
        <v>956</v>
      </c>
      <c r="B515" s="93" t="s">
        <v>1455</v>
      </c>
      <c r="C515" s="93" t="str">
        <f t="shared" si="25"/>
        <v xml:space="preserve">LTER Tussock Block 1 Phosphorus Only     </v>
      </c>
      <c r="D515" s="94"/>
      <c r="E515" s="76"/>
      <c r="F515" s="95">
        <v>750</v>
      </c>
      <c r="G515" s="93" t="s">
        <v>619</v>
      </c>
      <c r="H515" s="93" t="s">
        <v>726</v>
      </c>
      <c r="I515" s="93"/>
      <c r="J515" s="76" t="s">
        <v>1456</v>
      </c>
      <c r="K515" s="73" t="str">
        <f t="shared" si="26"/>
        <v>View on Google Map</v>
      </c>
    </row>
    <row r="516" spans="1:11" x14ac:dyDescent="0.25">
      <c r="A516" s="92">
        <v>963</v>
      </c>
      <c r="B516" s="93" t="s">
        <v>1465</v>
      </c>
      <c r="C516" s="93" t="str">
        <f t="shared" si="25"/>
        <v xml:space="preserve">LTER Tussock Block 1 Shade Control     </v>
      </c>
      <c r="D516" s="94"/>
      <c r="E516" s="76"/>
      <c r="F516" s="95">
        <v>750</v>
      </c>
      <c r="G516" s="93" t="s">
        <v>619</v>
      </c>
      <c r="H516" s="93" t="s">
        <v>726</v>
      </c>
      <c r="I516" s="93"/>
      <c r="J516" s="76" t="s">
        <v>946</v>
      </c>
      <c r="K516" s="73" t="str">
        <f t="shared" si="26"/>
        <v>View on Google Map</v>
      </c>
    </row>
    <row r="517" spans="1:11" x14ac:dyDescent="0.25">
      <c r="A517" s="92">
        <v>962</v>
      </c>
      <c r="B517" s="93" t="s">
        <v>1464</v>
      </c>
      <c r="C517" s="93" t="str">
        <f t="shared" si="25"/>
        <v xml:space="preserve">LTER Tussock Block 1 Shade with Nitrogen and Phosphorus  </v>
      </c>
      <c r="D517" s="94"/>
      <c r="E517" s="76"/>
      <c r="F517" s="95">
        <v>750</v>
      </c>
      <c r="G517" s="93" t="s">
        <v>619</v>
      </c>
      <c r="H517" s="93" t="s">
        <v>726</v>
      </c>
      <c r="I517" s="93"/>
      <c r="J517" s="76" t="s">
        <v>946</v>
      </c>
      <c r="K517" s="73" t="str">
        <f t="shared" si="26"/>
        <v>View on Google Map</v>
      </c>
    </row>
    <row r="518" spans="1:11" x14ac:dyDescent="0.25">
      <c r="A518" s="92">
        <v>977</v>
      </c>
      <c r="B518" s="93" t="s">
        <v>1475</v>
      </c>
      <c r="C518" s="93" t="str">
        <f t="shared" si="25"/>
        <v xml:space="preserve">LTER Tussock Block 2 Control 1     </v>
      </c>
      <c r="D518" s="94"/>
      <c r="E518" s="76"/>
      <c r="F518" s="95">
        <v>750</v>
      </c>
      <c r="G518" s="93" t="s">
        <v>619</v>
      </c>
      <c r="H518" s="93" t="s">
        <v>726</v>
      </c>
      <c r="I518" s="93"/>
      <c r="J518" s="76" t="s">
        <v>946</v>
      </c>
      <c r="K518" s="73" t="str">
        <f t="shared" si="26"/>
        <v>View on Google Map</v>
      </c>
    </row>
    <row r="519" spans="1:11" x14ac:dyDescent="0.25">
      <c r="A519" s="92">
        <v>974</v>
      </c>
      <c r="B519" s="93" t="s">
        <v>1472</v>
      </c>
      <c r="C519" s="93" t="str">
        <f t="shared" si="25"/>
        <v xml:space="preserve">LTER Tussock Block 2 Control 2     </v>
      </c>
      <c r="D519" s="94"/>
      <c r="E519" s="76"/>
      <c r="F519" s="95">
        <v>750</v>
      </c>
      <c r="G519" s="93" t="s">
        <v>619</v>
      </c>
      <c r="H519" s="93" t="s">
        <v>726</v>
      </c>
      <c r="I519" s="93"/>
      <c r="J519" s="76" t="s">
        <v>946</v>
      </c>
      <c r="K519" s="73" t="str">
        <f t="shared" si="26"/>
        <v>View on Google Map</v>
      </c>
    </row>
    <row r="520" spans="1:11" x14ac:dyDescent="0.25">
      <c r="A520" s="92">
        <v>982</v>
      </c>
      <c r="B520" s="93" t="s">
        <v>1484</v>
      </c>
      <c r="C520" s="93" t="str">
        <f t="shared" si="25"/>
        <v xml:space="preserve">LTER Tussock Block 2 Exclosure Control     </v>
      </c>
      <c r="D520" s="94"/>
      <c r="E520" s="76"/>
      <c r="F520" s="95">
        <v>750</v>
      </c>
      <c r="G520" s="93" t="s">
        <v>619</v>
      </c>
      <c r="H520" s="93" t="s">
        <v>726</v>
      </c>
      <c r="I520" s="93"/>
      <c r="J520" s="76" t="s">
        <v>946</v>
      </c>
      <c r="K520" s="73" t="str">
        <f t="shared" si="26"/>
        <v>View on Google Map</v>
      </c>
    </row>
    <row r="521" spans="1:11" x14ac:dyDescent="0.25">
      <c r="A521" s="92">
        <v>983</v>
      </c>
      <c r="B521" s="93" t="s">
        <v>1485</v>
      </c>
      <c r="C521" s="93" t="str">
        <f t="shared" si="25"/>
        <v xml:space="preserve">LTER Tussock Block 2 Exclosure Control Large Mesh Fence  </v>
      </c>
      <c r="D521" s="94"/>
      <c r="E521" s="76"/>
      <c r="F521" s="95">
        <v>750</v>
      </c>
      <c r="G521" s="93" t="s">
        <v>619</v>
      </c>
      <c r="H521" s="93" t="s">
        <v>726</v>
      </c>
      <c r="I521" s="93"/>
      <c r="J521" s="76" t="s">
        <v>946</v>
      </c>
      <c r="K521" s="73" t="str">
        <f t="shared" si="26"/>
        <v>View on Google Map</v>
      </c>
    </row>
    <row r="522" spans="1:11" x14ac:dyDescent="0.25">
      <c r="A522" s="92">
        <v>984</v>
      </c>
      <c r="B522" s="93" t="s">
        <v>1486</v>
      </c>
      <c r="C522" s="93" t="str">
        <f t="shared" si="25"/>
        <v xml:space="preserve">LTER Tussock Block 2 Exclosure Control Small Mesh Fence  </v>
      </c>
      <c r="D522" s="94"/>
      <c r="E522" s="76"/>
      <c r="F522" s="95">
        <v>750</v>
      </c>
      <c r="G522" s="93" t="s">
        <v>619</v>
      </c>
      <c r="H522" s="93" t="s">
        <v>726</v>
      </c>
      <c r="I522" s="93"/>
      <c r="J522" s="76" t="s">
        <v>946</v>
      </c>
      <c r="K522" s="73" t="str">
        <f t="shared" si="26"/>
        <v>View on Google Map</v>
      </c>
    </row>
    <row r="523" spans="1:11" x14ac:dyDescent="0.25">
      <c r="A523" s="92">
        <v>970</v>
      </c>
      <c r="B523" s="93" t="s">
        <v>1468</v>
      </c>
      <c r="C523" s="93" t="str">
        <f t="shared" si="25"/>
        <v xml:space="preserve">LTER Tussock Block 2 Exclosure Nitrogen and Phosphorus Control  </v>
      </c>
      <c r="D523" s="94"/>
      <c r="E523" s="76"/>
      <c r="F523" s="95">
        <v>750</v>
      </c>
      <c r="G523" s="93" t="s">
        <v>619</v>
      </c>
      <c r="H523" s="93" t="s">
        <v>726</v>
      </c>
      <c r="I523" s="93"/>
      <c r="J523" s="76" t="s">
        <v>946</v>
      </c>
      <c r="K523" s="73" t="str">
        <f t="shared" si="26"/>
        <v>View on Google Map</v>
      </c>
    </row>
    <row r="524" spans="1:11" x14ac:dyDescent="0.25">
      <c r="A524" s="92">
        <v>972</v>
      </c>
      <c r="B524" s="93" t="s">
        <v>1470</v>
      </c>
      <c r="C524" s="93" t="str">
        <f t="shared" si="25"/>
        <v>LTER Tussock Block 2 Exclosure Nitrogen and Phosphorus Large Mesh Fence</v>
      </c>
      <c r="D524" s="94"/>
      <c r="E524" s="76"/>
      <c r="F524" s="95">
        <v>750</v>
      </c>
      <c r="G524" s="93" t="s">
        <v>619</v>
      </c>
      <c r="H524" s="93" t="s">
        <v>726</v>
      </c>
      <c r="I524" s="93"/>
      <c r="J524" s="76" t="s">
        <v>946</v>
      </c>
      <c r="K524" s="73" t="str">
        <f t="shared" si="26"/>
        <v>View on Google Map</v>
      </c>
    </row>
    <row r="525" spans="1:11" x14ac:dyDescent="0.25">
      <c r="A525" s="92">
        <v>971</v>
      </c>
      <c r="B525" s="93" t="s">
        <v>1469</v>
      </c>
      <c r="C525" s="93" t="str">
        <f t="shared" si="25"/>
        <v>LTER Tussock Block 2 Exclosure Nitrogen and Phosphorus Small Mesh Fence</v>
      </c>
      <c r="D525" s="94"/>
      <c r="E525" s="76"/>
      <c r="F525" s="95">
        <v>750</v>
      </c>
      <c r="G525" s="93" t="s">
        <v>619</v>
      </c>
      <c r="H525" s="93" t="s">
        <v>726</v>
      </c>
      <c r="I525" s="93"/>
      <c r="J525" s="76" t="s">
        <v>946</v>
      </c>
      <c r="K525" s="73" t="str">
        <f t="shared" si="26"/>
        <v>View on Google Map</v>
      </c>
    </row>
    <row r="526" spans="1:11" x14ac:dyDescent="0.25">
      <c r="A526" s="92">
        <v>985</v>
      </c>
      <c r="B526" s="93" t="s">
        <v>1487</v>
      </c>
      <c r="C526" s="93" t="str">
        <f t="shared" si="25"/>
        <v xml:space="preserve">LTER Tussock Block 2 Extra  3     </v>
      </c>
      <c r="D526" s="94"/>
      <c r="E526" s="76"/>
      <c r="F526" s="95">
        <v>750</v>
      </c>
      <c r="G526" s="93" t="s">
        <v>619</v>
      </c>
      <c r="H526" s="93" t="s">
        <v>726</v>
      </c>
      <c r="I526" s="93"/>
      <c r="J526" s="76" t="s">
        <v>946</v>
      </c>
      <c r="K526" s="73" t="str">
        <f t="shared" si="26"/>
        <v>View on Google Map</v>
      </c>
    </row>
    <row r="527" spans="1:11" x14ac:dyDescent="0.25">
      <c r="A527" s="92">
        <v>979</v>
      </c>
      <c r="B527" s="93" t="s">
        <v>1478</v>
      </c>
      <c r="C527" s="93" t="str">
        <f t="shared" si="25"/>
        <v xml:space="preserve">LTER Tussock Block 2 Greenhouse Control     </v>
      </c>
      <c r="D527" s="94"/>
      <c r="E527" s="76"/>
      <c r="F527" s="95">
        <v>750</v>
      </c>
      <c r="G527" s="93" t="s">
        <v>619</v>
      </c>
      <c r="H527" s="93" t="s">
        <v>726</v>
      </c>
      <c r="I527" s="93"/>
      <c r="J527" s="76" t="s">
        <v>1479</v>
      </c>
      <c r="K527" s="73" t="str">
        <f t="shared" si="26"/>
        <v>View on Google Map</v>
      </c>
    </row>
    <row r="528" spans="1:11" x14ac:dyDescent="0.25">
      <c r="A528" s="92">
        <v>978</v>
      </c>
      <c r="B528" s="93" t="s">
        <v>1476</v>
      </c>
      <c r="C528" s="93" t="str">
        <f t="shared" si="25"/>
        <v xml:space="preserve">LTER Tussock Block 2 Greenhouse with Nitrogen and Phosphorus  </v>
      </c>
      <c r="D528" s="94"/>
      <c r="E528" s="76"/>
      <c r="F528" s="95">
        <v>750</v>
      </c>
      <c r="G528" s="93" t="s">
        <v>619</v>
      </c>
      <c r="H528" s="93" t="s">
        <v>726</v>
      </c>
      <c r="I528" s="93"/>
      <c r="J528" s="76" t="s">
        <v>1477</v>
      </c>
      <c r="K528" s="73" t="str">
        <f t="shared" si="26"/>
        <v>View on Google Map</v>
      </c>
    </row>
    <row r="529" spans="1:11" x14ac:dyDescent="0.25">
      <c r="A529" s="92">
        <v>981</v>
      </c>
      <c r="B529" s="93" t="s">
        <v>1482</v>
      </c>
      <c r="C529" s="93" t="str">
        <f t="shared" si="25"/>
        <v xml:space="preserve">LTER Tussock Block 2 Nitrogen and Phosphorus    </v>
      </c>
      <c r="D529" s="94"/>
      <c r="E529" s="76"/>
      <c r="F529" s="95">
        <v>750</v>
      </c>
      <c r="G529" s="93" t="s">
        <v>619</v>
      </c>
      <c r="H529" s="93" t="s">
        <v>726</v>
      </c>
      <c r="I529" s="93"/>
      <c r="J529" s="76" t="s">
        <v>1483</v>
      </c>
      <c r="K529" s="73" t="str">
        <f t="shared" si="26"/>
        <v>View on Google Map</v>
      </c>
    </row>
    <row r="530" spans="1:11" x14ac:dyDescent="0.25">
      <c r="A530" s="92">
        <v>980</v>
      </c>
      <c r="B530" s="93" t="s">
        <v>1480</v>
      </c>
      <c r="C530" s="93" t="str">
        <f t="shared" si="25"/>
        <v xml:space="preserve">LTER Tussock Block 2 Nitrogen Only     </v>
      </c>
      <c r="D530" s="94"/>
      <c r="E530" s="76"/>
      <c r="F530" s="95">
        <v>750</v>
      </c>
      <c r="G530" s="93" t="s">
        <v>619</v>
      </c>
      <c r="H530" s="93" t="s">
        <v>726</v>
      </c>
      <c r="I530" s="93"/>
      <c r="J530" s="76" t="s">
        <v>1481</v>
      </c>
      <c r="K530" s="73" t="str">
        <f t="shared" si="26"/>
        <v>View on Google Map</v>
      </c>
    </row>
    <row r="531" spans="1:11" x14ac:dyDescent="0.25">
      <c r="A531" s="92">
        <v>973</v>
      </c>
      <c r="B531" s="93" t="s">
        <v>1471</v>
      </c>
      <c r="C531" s="93" t="str">
        <f t="shared" si="25"/>
        <v xml:space="preserve">LTER Tussock Block 2 Phosphorus Only     </v>
      </c>
      <c r="D531" s="94"/>
      <c r="E531" s="76"/>
      <c r="F531" s="95">
        <v>750</v>
      </c>
      <c r="G531" s="93" t="s">
        <v>619</v>
      </c>
      <c r="H531" s="93" t="s">
        <v>726</v>
      </c>
      <c r="I531" s="93"/>
      <c r="J531" s="76" t="s">
        <v>946</v>
      </c>
      <c r="K531" s="73" t="str">
        <f t="shared" si="26"/>
        <v>View on Google Map</v>
      </c>
    </row>
    <row r="532" spans="1:11" x14ac:dyDescent="0.25">
      <c r="A532" s="92">
        <v>976</v>
      </c>
      <c r="B532" s="93" t="s">
        <v>1474</v>
      </c>
      <c r="C532" s="93" t="str">
        <f t="shared" si="25"/>
        <v xml:space="preserve">LTER Tussock Block 2 Shade Control     </v>
      </c>
      <c r="D532" s="94"/>
      <c r="E532" s="76"/>
      <c r="F532" s="95">
        <v>750</v>
      </c>
      <c r="G532" s="93" t="s">
        <v>619</v>
      </c>
      <c r="H532" s="93" t="s">
        <v>726</v>
      </c>
      <c r="I532" s="93"/>
      <c r="J532" s="76" t="s">
        <v>946</v>
      </c>
      <c r="K532" s="73" t="str">
        <f t="shared" si="26"/>
        <v>View on Google Map</v>
      </c>
    </row>
    <row r="533" spans="1:11" x14ac:dyDescent="0.25">
      <c r="A533" s="92">
        <v>975</v>
      </c>
      <c r="B533" s="93" t="s">
        <v>1473</v>
      </c>
      <c r="C533" s="93" t="str">
        <f t="shared" si="25"/>
        <v xml:space="preserve">LTER Tussock Block 2 Shade with Nitrogen and Phosphorus  </v>
      </c>
      <c r="D533" s="94"/>
      <c r="E533" s="76"/>
      <c r="F533" s="95">
        <v>750</v>
      </c>
      <c r="G533" s="93" t="s">
        <v>619</v>
      </c>
      <c r="H533" s="93" t="s">
        <v>726</v>
      </c>
      <c r="I533" s="93"/>
      <c r="J533" s="76" t="s">
        <v>946</v>
      </c>
      <c r="K533" s="73" t="str">
        <f t="shared" si="26"/>
        <v>View on Google Map</v>
      </c>
    </row>
    <row r="534" spans="1:11" x14ac:dyDescent="0.25">
      <c r="A534" s="92">
        <v>994</v>
      </c>
      <c r="B534" s="93" t="s">
        <v>1494</v>
      </c>
      <c r="C534" s="93" t="str">
        <f t="shared" ref="C534:C565" si="27">B534</f>
        <v xml:space="preserve">LTER Tussock Block 3 Control 1     </v>
      </c>
      <c r="D534" s="94"/>
      <c r="E534" s="76"/>
      <c r="F534" s="95">
        <v>750</v>
      </c>
      <c r="G534" s="93" t="s">
        <v>619</v>
      </c>
      <c r="H534" s="93" t="s">
        <v>726</v>
      </c>
      <c r="I534" s="93"/>
      <c r="J534" s="76" t="s">
        <v>1495</v>
      </c>
      <c r="K534" s="73" t="str">
        <f t="shared" ref="K534:K565" si="28">HYPERLINK("http://maps.google.com/maps?q="&amp;D534&amp;","&amp;E534,"View on Google Map")</f>
        <v>View on Google Map</v>
      </c>
    </row>
    <row r="535" spans="1:11" x14ac:dyDescent="0.25">
      <c r="A535" s="92">
        <v>995</v>
      </c>
      <c r="B535" s="93" t="s">
        <v>1496</v>
      </c>
      <c r="C535" s="93" t="str">
        <f t="shared" si="27"/>
        <v xml:space="preserve">LTER Tussock Block 3 Control 2     </v>
      </c>
      <c r="D535" s="94"/>
      <c r="E535" s="76"/>
      <c r="F535" s="95">
        <v>750</v>
      </c>
      <c r="G535" s="93" t="s">
        <v>619</v>
      </c>
      <c r="H535" s="93" t="s">
        <v>726</v>
      </c>
      <c r="I535" s="93"/>
      <c r="J535" s="76" t="s">
        <v>1497</v>
      </c>
      <c r="K535" s="73" t="str">
        <f t="shared" si="28"/>
        <v>View on Google Map</v>
      </c>
    </row>
    <row r="536" spans="1:11" x14ac:dyDescent="0.25">
      <c r="A536" s="92">
        <v>1003</v>
      </c>
      <c r="B536" s="93" t="s">
        <v>1508</v>
      </c>
      <c r="C536" s="93" t="str">
        <f t="shared" si="27"/>
        <v xml:space="preserve">LTER Tussock Block 3 Exclosure Control     </v>
      </c>
      <c r="D536" s="94"/>
      <c r="E536" s="76"/>
      <c r="F536" s="95">
        <v>750</v>
      </c>
      <c r="G536" s="93" t="s">
        <v>619</v>
      </c>
      <c r="H536" s="93" t="s">
        <v>726</v>
      </c>
      <c r="I536" s="93"/>
      <c r="J536" s="76" t="s">
        <v>946</v>
      </c>
      <c r="K536" s="73" t="str">
        <f t="shared" si="28"/>
        <v>View on Google Map</v>
      </c>
    </row>
    <row r="537" spans="1:11" x14ac:dyDescent="0.25">
      <c r="A537" s="92">
        <v>1005</v>
      </c>
      <c r="B537" s="93" t="s">
        <v>1510</v>
      </c>
      <c r="C537" s="93" t="str">
        <f t="shared" si="27"/>
        <v xml:space="preserve">LTER Tussock Block 3 Exclosure Control Large Mesh Fence  </v>
      </c>
      <c r="D537" s="94"/>
      <c r="E537" s="76"/>
      <c r="F537" s="95">
        <v>750</v>
      </c>
      <c r="G537" s="93" t="s">
        <v>619</v>
      </c>
      <c r="H537" s="93" t="s">
        <v>726</v>
      </c>
      <c r="I537" s="93"/>
      <c r="J537" s="76" t="s">
        <v>946</v>
      </c>
      <c r="K537" s="73" t="str">
        <f t="shared" si="28"/>
        <v>View on Google Map</v>
      </c>
    </row>
    <row r="538" spans="1:11" x14ac:dyDescent="0.25">
      <c r="A538" s="92">
        <v>1004</v>
      </c>
      <c r="B538" s="93" t="s">
        <v>1509</v>
      </c>
      <c r="C538" s="93" t="str">
        <f t="shared" si="27"/>
        <v xml:space="preserve">LTER Tussock Block 3 Exclosure Control Small Mesh Fence  </v>
      </c>
      <c r="D538" s="94"/>
      <c r="E538" s="76"/>
      <c r="F538" s="95">
        <v>750</v>
      </c>
      <c r="G538" s="93" t="s">
        <v>619</v>
      </c>
      <c r="H538" s="93" t="s">
        <v>726</v>
      </c>
      <c r="I538" s="93"/>
      <c r="J538" s="76" t="s">
        <v>946</v>
      </c>
      <c r="K538" s="73" t="str">
        <f t="shared" si="28"/>
        <v>View on Google Map</v>
      </c>
    </row>
    <row r="539" spans="1:11" x14ac:dyDescent="0.25">
      <c r="A539" s="92">
        <v>998</v>
      </c>
      <c r="B539" s="93" t="s">
        <v>1502</v>
      </c>
      <c r="C539" s="93" t="str">
        <f t="shared" si="27"/>
        <v xml:space="preserve">LTER Tussock Block 3 Exclosure Nitrogen and Phosphorus Control  </v>
      </c>
      <c r="D539" s="94"/>
      <c r="E539" s="76"/>
      <c r="F539" s="95">
        <v>750</v>
      </c>
      <c r="G539" s="93" t="s">
        <v>619</v>
      </c>
      <c r="H539" s="93" t="s">
        <v>726</v>
      </c>
      <c r="I539" s="93"/>
      <c r="J539" s="76" t="s">
        <v>946</v>
      </c>
      <c r="K539" s="73" t="str">
        <f t="shared" si="28"/>
        <v>View on Google Map</v>
      </c>
    </row>
    <row r="540" spans="1:11" x14ac:dyDescent="0.25">
      <c r="A540" s="92">
        <v>999</v>
      </c>
      <c r="B540" s="93" t="s">
        <v>1503</v>
      </c>
      <c r="C540" s="93" t="str">
        <f t="shared" si="27"/>
        <v>LTER Tussock Block 3 Exclosure Nitrogen and Phosphorus Large Mesh Fence</v>
      </c>
      <c r="D540" s="94"/>
      <c r="E540" s="76"/>
      <c r="F540" s="95">
        <v>750</v>
      </c>
      <c r="G540" s="93" t="s">
        <v>619</v>
      </c>
      <c r="H540" s="93" t="s">
        <v>726</v>
      </c>
      <c r="I540" s="93"/>
      <c r="J540" s="76" t="s">
        <v>946</v>
      </c>
      <c r="K540" s="73" t="str">
        <f t="shared" si="28"/>
        <v>View on Google Map</v>
      </c>
    </row>
    <row r="541" spans="1:11" x14ac:dyDescent="0.25">
      <c r="A541" s="92">
        <v>1000</v>
      </c>
      <c r="B541" s="93" t="s">
        <v>1504</v>
      </c>
      <c r="C541" s="93" t="str">
        <f t="shared" si="27"/>
        <v>LTER Tussock Block 3 Exclosure Nitrogen and Phosphorus Small Mesh Fence</v>
      </c>
      <c r="D541" s="94"/>
      <c r="E541" s="76"/>
      <c r="F541" s="95">
        <v>750</v>
      </c>
      <c r="G541" s="93" t="s">
        <v>619</v>
      </c>
      <c r="H541" s="93" t="s">
        <v>726</v>
      </c>
      <c r="I541" s="93"/>
      <c r="J541" s="76" t="s">
        <v>946</v>
      </c>
      <c r="K541" s="73" t="str">
        <f t="shared" si="28"/>
        <v>View on Google Map</v>
      </c>
    </row>
    <row r="542" spans="1:11" x14ac:dyDescent="0.25">
      <c r="A542" s="92">
        <v>1001</v>
      </c>
      <c r="B542" s="93" t="s">
        <v>1505</v>
      </c>
      <c r="C542" s="93" t="str">
        <f t="shared" si="27"/>
        <v xml:space="preserve">LTER Tussock Block 3 Extra  3     </v>
      </c>
      <c r="D542" s="94"/>
      <c r="E542" s="76"/>
      <c r="F542" s="95">
        <v>750</v>
      </c>
      <c r="G542" s="93" t="s">
        <v>619</v>
      </c>
      <c r="H542" s="93" t="s">
        <v>726</v>
      </c>
      <c r="I542" s="93"/>
      <c r="J542" s="76" t="s">
        <v>946</v>
      </c>
      <c r="K542" s="73" t="str">
        <f t="shared" si="28"/>
        <v>View on Google Map</v>
      </c>
    </row>
    <row r="543" spans="1:11" x14ac:dyDescent="0.25">
      <c r="A543" s="92">
        <v>997</v>
      </c>
      <c r="B543" s="93" t="s">
        <v>1500</v>
      </c>
      <c r="C543" s="93" t="str">
        <f t="shared" si="27"/>
        <v xml:space="preserve">LTER Tussock Block 3 Greenhouse Control     </v>
      </c>
      <c r="D543" s="94"/>
      <c r="E543" s="76"/>
      <c r="F543" s="95">
        <v>750</v>
      </c>
      <c r="G543" s="93" t="s">
        <v>619</v>
      </c>
      <c r="H543" s="93" t="s">
        <v>726</v>
      </c>
      <c r="I543" s="93"/>
      <c r="J543" s="76" t="s">
        <v>1501</v>
      </c>
      <c r="K543" s="73" t="str">
        <f t="shared" si="28"/>
        <v>View on Google Map</v>
      </c>
    </row>
    <row r="544" spans="1:11" x14ac:dyDescent="0.25">
      <c r="A544" s="92">
        <v>996</v>
      </c>
      <c r="B544" s="93" t="s">
        <v>1498</v>
      </c>
      <c r="C544" s="93" t="str">
        <f t="shared" si="27"/>
        <v xml:space="preserve">LTER Tussock Block 3 Greenhouse with Nitrogen and Phosphorus  </v>
      </c>
      <c r="D544" s="94"/>
      <c r="E544" s="76"/>
      <c r="F544" s="95">
        <v>750</v>
      </c>
      <c r="G544" s="93" t="s">
        <v>619</v>
      </c>
      <c r="H544" s="93" t="s">
        <v>726</v>
      </c>
      <c r="I544" s="93"/>
      <c r="J544" s="76" t="s">
        <v>1499</v>
      </c>
      <c r="K544" s="73" t="str">
        <f t="shared" si="28"/>
        <v>View on Google Map</v>
      </c>
    </row>
    <row r="545" spans="1:11" x14ac:dyDescent="0.25">
      <c r="A545" s="92">
        <v>993</v>
      </c>
      <c r="B545" s="93" t="s">
        <v>1492</v>
      </c>
      <c r="C545" s="93" t="str">
        <f t="shared" si="27"/>
        <v xml:space="preserve">LTER Tussock Block 3 Nitrogen and Phosphorus    </v>
      </c>
      <c r="D545" s="94"/>
      <c r="E545" s="76"/>
      <c r="F545" s="95">
        <v>750</v>
      </c>
      <c r="G545" s="93" t="s">
        <v>619</v>
      </c>
      <c r="H545" s="93" t="s">
        <v>726</v>
      </c>
      <c r="I545" s="93"/>
      <c r="J545" s="76" t="s">
        <v>1493</v>
      </c>
      <c r="K545" s="73" t="str">
        <f t="shared" si="28"/>
        <v>View on Google Map</v>
      </c>
    </row>
    <row r="546" spans="1:11" x14ac:dyDescent="0.25">
      <c r="A546" s="92">
        <v>1002</v>
      </c>
      <c r="B546" s="93" t="s">
        <v>1506</v>
      </c>
      <c r="C546" s="93" t="str">
        <f t="shared" si="27"/>
        <v xml:space="preserve">LTER Tussock Block 3 Nitrogen Only     </v>
      </c>
      <c r="D546" s="94"/>
      <c r="E546" s="76"/>
      <c r="F546" s="95">
        <v>750</v>
      </c>
      <c r="G546" s="93" t="s">
        <v>619</v>
      </c>
      <c r="H546" s="93" t="s">
        <v>726</v>
      </c>
      <c r="I546" s="93"/>
      <c r="J546" s="76" t="s">
        <v>1507</v>
      </c>
      <c r="K546" s="73" t="str">
        <f t="shared" si="28"/>
        <v>View on Google Map</v>
      </c>
    </row>
    <row r="547" spans="1:11" x14ac:dyDescent="0.25">
      <c r="A547" s="92">
        <v>992</v>
      </c>
      <c r="B547" s="93" t="s">
        <v>1490</v>
      </c>
      <c r="C547" s="93" t="str">
        <f t="shared" si="27"/>
        <v xml:space="preserve">LTER Tussock Block 3 Phosphorus Only     </v>
      </c>
      <c r="D547" s="94"/>
      <c r="E547" s="76"/>
      <c r="F547" s="95">
        <v>750</v>
      </c>
      <c r="G547" s="93" t="s">
        <v>619</v>
      </c>
      <c r="H547" s="93" t="s">
        <v>726</v>
      </c>
      <c r="I547" s="93"/>
      <c r="J547" s="76" t="s">
        <v>1491</v>
      </c>
      <c r="K547" s="73" t="str">
        <f t="shared" si="28"/>
        <v>View on Google Map</v>
      </c>
    </row>
    <row r="548" spans="1:11" x14ac:dyDescent="0.25">
      <c r="A548" s="92">
        <v>991</v>
      </c>
      <c r="B548" s="93" t="s">
        <v>1489</v>
      </c>
      <c r="C548" s="93" t="str">
        <f t="shared" si="27"/>
        <v xml:space="preserve">LTER Tussock Block 3 Shade Control     </v>
      </c>
      <c r="D548" s="94"/>
      <c r="E548" s="76"/>
      <c r="F548" s="95">
        <v>750</v>
      </c>
      <c r="G548" s="93" t="s">
        <v>619</v>
      </c>
      <c r="H548" s="93" t="s">
        <v>726</v>
      </c>
      <c r="I548" s="93"/>
      <c r="J548" s="76" t="s">
        <v>946</v>
      </c>
      <c r="K548" s="73" t="str">
        <f t="shared" si="28"/>
        <v>View on Google Map</v>
      </c>
    </row>
    <row r="549" spans="1:11" x14ac:dyDescent="0.25">
      <c r="A549" s="92">
        <v>990</v>
      </c>
      <c r="B549" s="93" t="s">
        <v>1488</v>
      </c>
      <c r="C549" s="93" t="str">
        <f t="shared" si="27"/>
        <v xml:space="preserve">LTER Tussock Block 3 Shade with Nitrogen and Phosphorus  </v>
      </c>
      <c r="D549" s="94"/>
      <c r="E549" s="76"/>
      <c r="F549" s="95">
        <v>750</v>
      </c>
      <c r="G549" s="93" t="s">
        <v>619</v>
      </c>
      <c r="H549" s="93" t="s">
        <v>726</v>
      </c>
      <c r="I549" s="93"/>
      <c r="J549" s="76" t="s">
        <v>946</v>
      </c>
      <c r="K549" s="73" t="str">
        <f t="shared" si="28"/>
        <v>View on Google Map</v>
      </c>
    </row>
    <row r="550" spans="1:11" x14ac:dyDescent="0.25">
      <c r="A550" s="92">
        <v>1103</v>
      </c>
      <c r="B550" s="93" t="s">
        <v>1517</v>
      </c>
      <c r="C550" s="93" t="str">
        <f t="shared" si="27"/>
        <v xml:space="preserve">LTER Tussock Block 4 Control 1     </v>
      </c>
      <c r="D550" s="94"/>
      <c r="E550" s="76"/>
      <c r="F550" s="95">
        <v>750</v>
      </c>
      <c r="G550" s="93" t="s">
        <v>619</v>
      </c>
      <c r="H550" s="93" t="s">
        <v>726</v>
      </c>
      <c r="I550" s="93"/>
      <c r="J550" s="76" t="s">
        <v>1518</v>
      </c>
      <c r="K550" s="73" t="str">
        <f t="shared" si="28"/>
        <v>View on Google Map</v>
      </c>
    </row>
    <row r="551" spans="1:11" x14ac:dyDescent="0.25">
      <c r="A551" s="92">
        <v>1102</v>
      </c>
      <c r="B551" s="93" t="s">
        <v>1515</v>
      </c>
      <c r="C551" s="93" t="str">
        <f t="shared" si="27"/>
        <v xml:space="preserve">LTER Tussock Block 4 Control 2     </v>
      </c>
      <c r="D551" s="94"/>
      <c r="E551" s="76"/>
      <c r="F551" s="95">
        <v>750</v>
      </c>
      <c r="G551" s="93" t="s">
        <v>619</v>
      </c>
      <c r="H551" s="93" t="s">
        <v>726</v>
      </c>
      <c r="I551" s="93"/>
      <c r="J551" s="76" t="s">
        <v>1516</v>
      </c>
      <c r="K551" s="73" t="str">
        <f t="shared" si="28"/>
        <v>View on Google Map</v>
      </c>
    </row>
    <row r="552" spans="1:11" x14ac:dyDescent="0.25">
      <c r="A552" s="92">
        <v>1112</v>
      </c>
      <c r="B552" s="93" t="s">
        <v>1529</v>
      </c>
      <c r="C552" s="93" t="str">
        <f t="shared" si="27"/>
        <v xml:space="preserve">LTER Tussock Block 4 Exclosure Control     </v>
      </c>
      <c r="D552" s="94"/>
      <c r="E552" s="76"/>
      <c r="F552" s="95">
        <v>750</v>
      </c>
      <c r="G552" s="93" t="s">
        <v>619</v>
      </c>
      <c r="H552" s="93" t="s">
        <v>726</v>
      </c>
      <c r="I552" s="93"/>
      <c r="J552" s="76" t="s">
        <v>946</v>
      </c>
      <c r="K552" s="73" t="str">
        <f t="shared" si="28"/>
        <v>View on Google Map</v>
      </c>
    </row>
    <row r="553" spans="1:11" x14ac:dyDescent="0.25">
      <c r="A553" s="92">
        <v>1113</v>
      </c>
      <c r="B553" s="93" t="s">
        <v>1530</v>
      </c>
      <c r="C553" s="93" t="str">
        <f t="shared" si="27"/>
        <v xml:space="preserve">LTER Tussock Block 4 Exclosure Control Large Mesh Fence  </v>
      </c>
      <c r="D553" s="94"/>
      <c r="E553" s="76"/>
      <c r="F553" s="95">
        <v>750</v>
      </c>
      <c r="G553" s="93" t="s">
        <v>619</v>
      </c>
      <c r="H553" s="93" t="s">
        <v>726</v>
      </c>
      <c r="I553" s="93"/>
      <c r="J553" s="76" t="s">
        <v>946</v>
      </c>
      <c r="K553" s="73" t="str">
        <f t="shared" si="28"/>
        <v>View on Google Map</v>
      </c>
    </row>
    <row r="554" spans="1:11" x14ac:dyDescent="0.25">
      <c r="A554" s="92">
        <v>1114</v>
      </c>
      <c r="B554" s="93" t="s">
        <v>1531</v>
      </c>
      <c r="C554" s="93" t="str">
        <f t="shared" si="27"/>
        <v xml:space="preserve">LTER Tussock Block 4 Exclosure Control Small Mesh Fence  </v>
      </c>
      <c r="D554" s="94"/>
      <c r="E554" s="76"/>
      <c r="F554" s="95">
        <v>750</v>
      </c>
      <c r="G554" s="93" t="s">
        <v>619</v>
      </c>
      <c r="H554" s="93" t="s">
        <v>726</v>
      </c>
      <c r="I554" s="93"/>
      <c r="J554" s="76" t="s">
        <v>946</v>
      </c>
      <c r="K554" s="73" t="str">
        <f t="shared" si="28"/>
        <v>View on Google Map</v>
      </c>
    </row>
    <row r="555" spans="1:11" x14ac:dyDescent="0.25">
      <c r="A555" s="92">
        <v>1111</v>
      </c>
      <c r="B555" s="93" t="s">
        <v>1528</v>
      </c>
      <c r="C555" s="93" t="str">
        <f t="shared" si="27"/>
        <v xml:space="preserve">LTER Tussock Block 4 Exclosure Nitrogen and Phosphorus Control  </v>
      </c>
      <c r="D555" s="94"/>
      <c r="E555" s="76"/>
      <c r="F555" s="95">
        <v>750</v>
      </c>
      <c r="G555" s="93" t="s">
        <v>619</v>
      </c>
      <c r="H555" s="93" t="s">
        <v>726</v>
      </c>
      <c r="I555" s="93"/>
      <c r="J555" s="76" t="s">
        <v>946</v>
      </c>
      <c r="K555" s="73" t="str">
        <f t="shared" si="28"/>
        <v>View on Google Map</v>
      </c>
    </row>
    <row r="556" spans="1:11" x14ac:dyDescent="0.25">
      <c r="A556" s="92">
        <v>1110</v>
      </c>
      <c r="B556" s="93" t="s">
        <v>1527</v>
      </c>
      <c r="C556" s="93" t="str">
        <f t="shared" si="27"/>
        <v>LTER Tussock Block 4 Exclosure Nitrogen and Phosphorus Large Mesh Fence</v>
      </c>
      <c r="D556" s="94"/>
      <c r="E556" s="76"/>
      <c r="F556" s="95">
        <v>750</v>
      </c>
      <c r="G556" s="93" t="s">
        <v>619</v>
      </c>
      <c r="H556" s="93" t="s">
        <v>726</v>
      </c>
      <c r="I556" s="93"/>
      <c r="J556" s="76" t="s">
        <v>946</v>
      </c>
      <c r="K556" s="73" t="str">
        <f t="shared" si="28"/>
        <v>View on Google Map</v>
      </c>
    </row>
    <row r="557" spans="1:11" x14ac:dyDescent="0.25">
      <c r="A557" s="92">
        <v>1109</v>
      </c>
      <c r="B557" s="93" t="s">
        <v>1526</v>
      </c>
      <c r="C557" s="93" t="str">
        <f t="shared" si="27"/>
        <v>LTER Tussock Block 4 Exclosure Nitrogen and Phosphorus Small Mesh Fence</v>
      </c>
      <c r="D557" s="94"/>
      <c r="E557" s="76"/>
      <c r="F557" s="95">
        <v>750</v>
      </c>
      <c r="G557" s="93" t="s">
        <v>619</v>
      </c>
      <c r="H557" s="93" t="s">
        <v>726</v>
      </c>
      <c r="I557" s="93"/>
      <c r="J557" s="76" t="s">
        <v>946</v>
      </c>
      <c r="K557" s="73" t="str">
        <f t="shared" si="28"/>
        <v>View on Google Map</v>
      </c>
    </row>
    <row r="558" spans="1:11" x14ac:dyDescent="0.25">
      <c r="A558" s="92">
        <v>1106</v>
      </c>
      <c r="B558" s="93" t="s">
        <v>1521</v>
      </c>
      <c r="C558" s="93" t="str">
        <f t="shared" si="27"/>
        <v xml:space="preserve">LTER Tussock Block 4 Extra  3     </v>
      </c>
      <c r="D558" s="94"/>
      <c r="E558" s="76"/>
      <c r="F558" s="95">
        <v>750</v>
      </c>
      <c r="G558" s="93" t="s">
        <v>619</v>
      </c>
      <c r="H558" s="93" t="s">
        <v>726</v>
      </c>
      <c r="I558" s="93"/>
      <c r="J558" s="76" t="s">
        <v>946</v>
      </c>
      <c r="K558" s="73" t="str">
        <f t="shared" si="28"/>
        <v>View on Google Map</v>
      </c>
    </row>
    <row r="559" spans="1:11" x14ac:dyDescent="0.25">
      <c r="A559" s="92">
        <v>1108</v>
      </c>
      <c r="B559" s="93" t="s">
        <v>1524</v>
      </c>
      <c r="C559" s="93" t="str">
        <f t="shared" si="27"/>
        <v xml:space="preserve">LTER Tussock Block 4 Greenhouse Control     </v>
      </c>
      <c r="D559" s="94"/>
      <c r="E559" s="76"/>
      <c r="F559" s="95">
        <v>750</v>
      </c>
      <c r="G559" s="93" t="s">
        <v>619</v>
      </c>
      <c r="H559" s="93" t="s">
        <v>726</v>
      </c>
      <c r="I559" s="93"/>
      <c r="J559" s="76" t="s">
        <v>1525</v>
      </c>
      <c r="K559" s="73" t="str">
        <f t="shared" si="28"/>
        <v>View on Google Map</v>
      </c>
    </row>
    <row r="560" spans="1:11" x14ac:dyDescent="0.25">
      <c r="A560" s="92">
        <v>1107</v>
      </c>
      <c r="B560" s="93" t="s">
        <v>1522</v>
      </c>
      <c r="C560" s="93" t="str">
        <f t="shared" si="27"/>
        <v xml:space="preserve">LTER Tussock Block 4 Greenhouse with Nitrogen and Phosphorus  </v>
      </c>
      <c r="D560" s="94"/>
      <c r="E560" s="76"/>
      <c r="F560" s="95">
        <v>750</v>
      </c>
      <c r="G560" s="93" t="s">
        <v>619</v>
      </c>
      <c r="H560" s="93" t="s">
        <v>726</v>
      </c>
      <c r="I560" s="93"/>
      <c r="J560" s="76" t="s">
        <v>1523</v>
      </c>
      <c r="K560" s="73" t="str">
        <f t="shared" si="28"/>
        <v>View on Google Map</v>
      </c>
    </row>
    <row r="561" spans="1:11" x14ac:dyDescent="0.25">
      <c r="A561" s="92">
        <v>1115</v>
      </c>
      <c r="B561" s="93" t="s">
        <v>1532</v>
      </c>
      <c r="C561" s="93" t="str">
        <f t="shared" si="27"/>
        <v xml:space="preserve">LTER Tussock Block 4 Nitrogen and Phosphorus    </v>
      </c>
      <c r="D561" s="94"/>
      <c r="E561" s="76"/>
      <c r="F561" s="95">
        <v>750</v>
      </c>
      <c r="G561" s="93" t="s">
        <v>619</v>
      </c>
      <c r="H561" s="93" t="s">
        <v>726</v>
      </c>
      <c r="I561" s="93"/>
      <c r="J561" s="76" t="s">
        <v>1533</v>
      </c>
      <c r="K561" s="73" t="str">
        <f t="shared" si="28"/>
        <v>View on Google Map</v>
      </c>
    </row>
    <row r="562" spans="1:11" x14ac:dyDescent="0.25">
      <c r="A562" s="92">
        <v>1100</v>
      </c>
      <c r="B562" s="93" t="s">
        <v>1511</v>
      </c>
      <c r="C562" s="93" t="str">
        <f t="shared" si="27"/>
        <v xml:space="preserve">LTER Tussock Block 4 Nitrogen Only     </v>
      </c>
      <c r="D562" s="94"/>
      <c r="E562" s="76"/>
      <c r="F562" s="95">
        <v>750</v>
      </c>
      <c r="G562" s="93" t="s">
        <v>619</v>
      </c>
      <c r="H562" s="93" t="s">
        <v>726</v>
      </c>
      <c r="I562" s="93"/>
      <c r="J562" s="76" t="s">
        <v>1512</v>
      </c>
      <c r="K562" s="73" t="str">
        <f t="shared" si="28"/>
        <v>View on Google Map</v>
      </c>
    </row>
    <row r="563" spans="1:11" x14ac:dyDescent="0.25">
      <c r="A563" s="92">
        <v>1101</v>
      </c>
      <c r="B563" s="93" t="s">
        <v>1513</v>
      </c>
      <c r="C563" s="93" t="str">
        <f t="shared" si="27"/>
        <v xml:space="preserve">LTER Tussock Block 4 Phosphorus Only     </v>
      </c>
      <c r="D563" s="94"/>
      <c r="E563" s="76"/>
      <c r="F563" s="95">
        <v>750</v>
      </c>
      <c r="G563" s="93" t="s">
        <v>619</v>
      </c>
      <c r="H563" s="93" t="s">
        <v>726</v>
      </c>
      <c r="I563" s="93"/>
      <c r="J563" s="76" t="s">
        <v>1514</v>
      </c>
      <c r="K563" s="73" t="str">
        <f t="shared" si="28"/>
        <v>View on Google Map</v>
      </c>
    </row>
    <row r="564" spans="1:11" x14ac:dyDescent="0.25">
      <c r="A564" s="92">
        <v>1105</v>
      </c>
      <c r="B564" s="93" t="s">
        <v>1520</v>
      </c>
      <c r="C564" s="93" t="str">
        <f t="shared" si="27"/>
        <v xml:space="preserve">LTER Tussock Block 4 Shade Control     </v>
      </c>
      <c r="D564" s="94"/>
      <c r="E564" s="76"/>
      <c r="F564" s="95">
        <v>750</v>
      </c>
      <c r="G564" s="93" t="s">
        <v>619</v>
      </c>
      <c r="H564" s="93" t="s">
        <v>726</v>
      </c>
      <c r="I564" s="93"/>
      <c r="J564" s="76" t="s">
        <v>946</v>
      </c>
      <c r="K564" s="73" t="str">
        <f t="shared" si="28"/>
        <v>View on Google Map</v>
      </c>
    </row>
    <row r="565" spans="1:11" x14ac:dyDescent="0.25">
      <c r="A565" s="92">
        <v>1104</v>
      </c>
      <c r="B565" s="93" t="s">
        <v>1519</v>
      </c>
      <c r="C565" s="93" t="str">
        <f t="shared" si="27"/>
        <v xml:space="preserve">LTER Tussock Block 4 Shade with Nitrogen and Phosphorus  </v>
      </c>
      <c r="D565" s="94"/>
      <c r="E565" s="76"/>
      <c r="F565" s="95">
        <v>750</v>
      </c>
      <c r="G565" s="93" t="s">
        <v>619</v>
      </c>
      <c r="H565" s="93" t="s">
        <v>726</v>
      </c>
      <c r="I565" s="93"/>
      <c r="J565" s="76" t="s">
        <v>946</v>
      </c>
      <c r="K565" s="73" t="str">
        <f t="shared" si="28"/>
        <v>View on Google Map</v>
      </c>
    </row>
    <row r="566" spans="1:11" x14ac:dyDescent="0.25">
      <c r="A566">
        <v>1221</v>
      </c>
      <c r="B566" t="s">
        <v>1686</v>
      </c>
      <c r="C566" t="s">
        <v>1687</v>
      </c>
      <c r="D566">
        <v>68.625440999999995</v>
      </c>
      <c r="E566">
        <v>-149.60287299999999</v>
      </c>
      <c r="F566">
        <v>717</v>
      </c>
      <c r="G566" t="s">
        <v>619</v>
      </c>
    </row>
    <row r="567" spans="1:11" x14ac:dyDescent="0.25">
      <c r="A567">
        <v>1226</v>
      </c>
      <c r="B567" t="s">
        <v>1688</v>
      </c>
      <c r="C567" t="s">
        <v>1689</v>
      </c>
      <c r="D567">
        <v>68.647621999999998</v>
      </c>
      <c r="E567">
        <v>-149.57729800000001</v>
      </c>
      <c r="F567">
        <v>719</v>
      </c>
      <c r="G567" t="s">
        <v>619</v>
      </c>
    </row>
    <row r="568" spans="1:11" x14ac:dyDescent="0.25">
      <c r="A568" s="92">
        <v>487</v>
      </c>
      <c r="B568" s="97" t="s">
        <v>552</v>
      </c>
      <c r="C568" s="93" t="str">
        <f>B568</f>
        <v>Luna Lake</v>
      </c>
      <c r="D568" s="99">
        <v>68.961579999999998</v>
      </c>
      <c r="E568" s="76">
        <v>-150.20962</v>
      </c>
      <c r="F568" s="92">
        <v>380</v>
      </c>
      <c r="G568" s="93" t="s">
        <v>301</v>
      </c>
      <c r="H568" s="93" t="s">
        <v>283</v>
      </c>
      <c r="I568" s="93" t="s">
        <v>284</v>
      </c>
      <c r="J568" s="76" t="s">
        <v>946</v>
      </c>
      <c r="K568" s="73" t="str">
        <f t="shared" ref="K568:K631" si="29">HYPERLINK("http://maps.google.com/maps?q="&amp;D568&amp;","&amp;E568,"View on Google Map")</f>
        <v>View on Google Map</v>
      </c>
    </row>
    <row r="569" spans="1:11" x14ac:dyDescent="0.25">
      <c r="A569" s="92">
        <v>23</v>
      </c>
      <c r="B569" s="93" t="s">
        <v>1367</v>
      </c>
      <c r="C569" s="93" t="str">
        <f>B569</f>
        <v>May Creek</v>
      </c>
      <c r="D569" s="94"/>
      <c r="E569" s="76"/>
      <c r="F569" s="95"/>
      <c r="G569" s="93" t="s">
        <v>269</v>
      </c>
      <c r="H569" s="93" t="s">
        <v>726</v>
      </c>
      <c r="I569" s="93"/>
      <c r="J569" s="76" t="s">
        <v>946</v>
      </c>
      <c r="K569" s="73" t="str">
        <f t="shared" si="29"/>
        <v>View on Google Map</v>
      </c>
    </row>
    <row r="570" spans="1:11" x14ac:dyDescent="0.25">
      <c r="A570" s="96">
        <v>529</v>
      </c>
      <c r="B570" s="93" t="s">
        <v>592</v>
      </c>
      <c r="C570" s="93" t="s">
        <v>593</v>
      </c>
      <c r="D570" s="109">
        <v>68.672939999999997</v>
      </c>
      <c r="E570" s="76">
        <v>-149.61752000000001</v>
      </c>
      <c r="F570" s="106">
        <v>708</v>
      </c>
      <c r="G570" s="93" t="s">
        <v>301</v>
      </c>
      <c r="H570" s="93" t="s">
        <v>516</v>
      </c>
      <c r="I570" s="93" t="s">
        <v>556</v>
      </c>
      <c r="J570" s="76" t="s">
        <v>946</v>
      </c>
      <c r="K570" s="73" t="str">
        <f t="shared" si="29"/>
        <v>View on Google Map</v>
      </c>
    </row>
    <row r="571" spans="1:11" x14ac:dyDescent="0.25">
      <c r="A571" s="92">
        <v>494</v>
      </c>
      <c r="B571" s="93" t="s">
        <v>554</v>
      </c>
      <c r="C571" s="93" t="str">
        <f>B571</f>
        <v>Milake into NE 14</v>
      </c>
      <c r="D571" s="108">
        <v>68.673760000000001</v>
      </c>
      <c r="E571" s="76">
        <v>-149.61827</v>
      </c>
      <c r="F571" s="106">
        <v>701</v>
      </c>
      <c r="G571" s="93" t="s">
        <v>269</v>
      </c>
      <c r="H571" s="93" t="s">
        <v>555</v>
      </c>
      <c r="I571" s="93" t="s">
        <v>556</v>
      </c>
      <c r="J571" s="76" t="s">
        <v>946</v>
      </c>
      <c r="K571" s="73" t="str">
        <f t="shared" si="29"/>
        <v>View on Google Map</v>
      </c>
    </row>
    <row r="572" spans="1:11" x14ac:dyDescent="0.25">
      <c r="A572" s="102">
        <v>1247</v>
      </c>
      <c r="B572" s="93" t="s">
        <v>850</v>
      </c>
      <c r="C572" s="93" t="s">
        <v>851</v>
      </c>
      <c r="D572" s="93">
        <v>68.673505000000006</v>
      </c>
      <c r="E572" s="76">
        <v>-149.617874</v>
      </c>
      <c r="F572" s="92">
        <v>705</v>
      </c>
      <c r="G572" s="93"/>
      <c r="H572" s="93" t="s">
        <v>852</v>
      </c>
      <c r="I572" s="93"/>
      <c r="J572" s="76" t="s">
        <v>946</v>
      </c>
      <c r="K572" s="73" t="str">
        <f t="shared" si="29"/>
        <v>View on Google Map</v>
      </c>
    </row>
    <row r="573" spans="1:11" x14ac:dyDescent="0.25">
      <c r="A573" s="92">
        <v>189</v>
      </c>
      <c r="B573" s="93" t="s">
        <v>386</v>
      </c>
      <c r="C573" s="93" t="str">
        <f t="shared" ref="C573:C582" si="30">B573</f>
        <v>Milkyway Lower</v>
      </c>
      <c r="D573" s="94">
        <v>68.622</v>
      </c>
      <c r="E573" s="76">
        <v>-149.59066999999999</v>
      </c>
      <c r="F573" s="95">
        <v>725</v>
      </c>
      <c r="G573" s="93" t="s">
        <v>269</v>
      </c>
      <c r="H573" s="93" t="s">
        <v>726</v>
      </c>
      <c r="I573" s="93" t="s">
        <v>281</v>
      </c>
      <c r="J573" s="76" t="s">
        <v>1280</v>
      </c>
      <c r="K573" s="73" t="str">
        <f t="shared" si="29"/>
        <v>View on Google Map</v>
      </c>
    </row>
    <row r="574" spans="1:11" x14ac:dyDescent="0.25">
      <c r="A574" s="92">
        <v>273</v>
      </c>
      <c r="B574" s="93" t="s">
        <v>426</v>
      </c>
      <c r="C574" s="93" t="str">
        <f t="shared" si="30"/>
        <v>Milkyway Upper</v>
      </c>
      <c r="D574" s="94">
        <v>68.620170000000002</v>
      </c>
      <c r="E574" s="76">
        <v>-149.56817000000001</v>
      </c>
      <c r="F574" s="95">
        <v>739</v>
      </c>
      <c r="G574" s="93" t="s">
        <v>269</v>
      </c>
      <c r="H574" s="93" t="s">
        <v>726</v>
      </c>
      <c r="I574" s="93" t="s">
        <v>281</v>
      </c>
      <c r="J574" s="76" t="s">
        <v>1281</v>
      </c>
      <c r="K574" s="73" t="str">
        <f t="shared" si="29"/>
        <v>View on Google Map</v>
      </c>
    </row>
    <row r="575" spans="1:11" x14ac:dyDescent="0.25">
      <c r="A575" s="102">
        <v>1175</v>
      </c>
      <c r="B575" s="101" t="s">
        <v>628</v>
      </c>
      <c r="C575" s="93" t="str">
        <f t="shared" si="30"/>
        <v>Moderate CALM grid, NW corner</v>
      </c>
      <c r="D575" s="99">
        <v>68.951925000000003</v>
      </c>
      <c r="E575" s="76">
        <v>-150.20976669999999</v>
      </c>
      <c r="F575" s="92"/>
      <c r="G575" s="93" t="s">
        <v>269</v>
      </c>
      <c r="H575" s="93" t="s">
        <v>622</v>
      </c>
      <c r="I575" s="93"/>
      <c r="J575" s="76" t="s">
        <v>946</v>
      </c>
      <c r="K575" s="73" t="str">
        <f t="shared" si="29"/>
        <v>View on Google Map</v>
      </c>
    </row>
    <row r="576" spans="1:11" x14ac:dyDescent="0.25">
      <c r="A576" s="92">
        <v>103</v>
      </c>
      <c r="B576" s="93" t="s">
        <v>304</v>
      </c>
      <c r="C576" s="93" t="str">
        <f t="shared" si="30"/>
        <v>N 01</v>
      </c>
      <c r="D576" s="93">
        <v>68.639899999999997</v>
      </c>
      <c r="E576" s="76">
        <v>-149.60704000000001</v>
      </c>
      <c r="F576" s="95">
        <v>731</v>
      </c>
      <c r="G576" s="93" t="s">
        <v>301</v>
      </c>
      <c r="H576" s="93" t="s">
        <v>726</v>
      </c>
      <c r="I576" s="93"/>
      <c r="J576" s="76" t="s">
        <v>1282</v>
      </c>
      <c r="K576" s="73" t="str">
        <f t="shared" si="29"/>
        <v>View on Google Map</v>
      </c>
    </row>
    <row r="577" spans="1:11" x14ac:dyDescent="0.25">
      <c r="A577" s="92">
        <v>104</v>
      </c>
      <c r="B577" s="93" t="s">
        <v>305</v>
      </c>
      <c r="C577" s="93" t="str">
        <f t="shared" si="30"/>
        <v>N 02</v>
      </c>
      <c r="D577" s="93">
        <v>68.640960000000007</v>
      </c>
      <c r="E577" s="76">
        <v>-149.62529000000001</v>
      </c>
      <c r="F577" s="95">
        <v>724</v>
      </c>
      <c r="G577" s="93" t="s">
        <v>301</v>
      </c>
      <c r="H577" s="93" t="s">
        <v>726</v>
      </c>
      <c r="I577" s="93"/>
      <c r="J577" s="76" t="s">
        <v>1283</v>
      </c>
      <c r="K577" s="73" t="str">
        <f t="shared" si="29"/>
        <v>View on Google Map</v>
      </c>
    </row>
    <row r="578" spans="1:11" x14ac:dyDescent="0.25">
      <c r="A578" s="92">
        <v>105</v>
      </c>
      <c r="B578" s="93" t="s">
        <v>306</v>
      </c>
      <c r="C578" s="93" t="str">
        <f t="shared" si="30"/>
        <v>N 03</v>
      </c>
      <c r="D578" s="93">
        <v>68.642430000000004</v>
      </c>
      <c r="E578" s="76">
        <v>-149.63086999999999</v>
      </c>
      <c r="F578" s="95"/>
      <c r="G578" s="93" t="s">
        <v>301</v>
      </c>
      <c r="H578" s="93" t="s">
        <v>726</v>
      </c>
      <c r="I578" s="93"/>
      <c r="J578" s="76" t="s">
        <v>1284</v>
      </c>
      <c r="K578" s="73" t="str">
        <f t="shared" si="29"/>
        <v>View on Google Map</v>
      </c>
    </row>
    <row r="579" spans="1:11" x14ac:dyDescent="0.25">
      <c r="A579" s="92">
        <v>245</v>
      </c>
      <c r="B579" s="93" t="s">
        <v>397</v>
      </c>
      <c r="C579" s="93" t="str">
        <f t="shared" si="30"/>
        <v>N 04</v>
      </c>
      <c r="D579" s="94">
        <v>68.644880000000001</v>
      </c>
      <c r="E579" s="76">
        <v>-149.64073999999999</v>
      </c>
      <c r="F579" s="95"/>
      <c r="G579" s="93" t="s">
        <v>301</v>
      </c>
      <c r="H579" s="93" t="s">
        <v>726</v>
      </c>
      <c r="I579" s="93"/>
      <c r="J579" s="76" t="s">
        <v>1285</v>
      </c>
      <c r="K579" s="73" t="str">
        <f t="shared" si="29"/>
        <v>View on Google Map</v>
      </c>
    </row>
    <row r="580" spans="1:11" x14ac:dyDescent="0.25">
      <c r="A580" s="92">
        <v>240</v>
      </c>
      <c r="B580" s="93" t="s">
        <v>394</v>
      </c>
      <c r="C580" s="93" t="str">
        <f t="shared" si="30"/>
        <v>N 05</v>
      </c>
      <c r="D580" s="94">
        <v>68.645330000000001</v>
      </c>
      <c r="E580" s="76">
        <v>-149.62923000000001</v>
      </c>
      <c r="F580" s="95"/>
      <c r="G580" s="93" t="s">
        <v>301</v>
      </c>
      <c r="H580" s="93" t="s">
        <v>726</v>
      </c>
      <c r="I580" s="93"/>
      <c r="J580" s="76" t="s">
        <v>1286</v>
      </c>
      <c r="K580" s="73" t="str">
        <f t="shared" si="29"/>
        <v>View on Google Map</v>
      </c>
    </row>
    <row r="581" spans="1:11" x14ac:dyDescent="0.25">
      <c r="A581" s="92">
        <v>593</v>
      </c>
      <c r="B581" s="111" t="s">
        <v>853</v>
      </c>
      <c r="C581" s="93" t="str">
        <f t="shared" si="30"/>
        <v>N 06</v>
      </c>
      <c r="D581" s="112">
        <v>68.669790000000006</v>
      </c>
      <c r="E581" s="76">
        <v>-149.64202</v>
      </c>
      <c r="F581" s="106"/>
      <c r="G581" s="93"/>
      <c r="H581" s="93"/>
      <c r="I581" s="93"/>
      <c r="J581" s="76" t="s">
        <v>1287</v>
      </c>
      <c r="K581" s="73" t="str">
        <f t="shared" si="29"/>
        <v>View on Google Map</v>
      </c>
    </row>
    <row r="582" spans="1:11" x14ac:dyDescent="0.25">
      <c r="A582" s="92">
        <v>594</v>
      </c>
      <c r="B582" s="111" t="s">
        <v>854</v>
      </c>
      <c r="C582" s="93" t="str">
        <f t="shared" si="30"/>
        <v>N 07</v>
      </c>
      <c r="D582" s="112">
        <v>68.67304</v>
      </c>
      <c r="E582" s="76">
        <v>-149.65369999999999</v>
      </c>
      <c r="F582" s="106"/>
      <c r="G582" s="93"/>
      <c r="H582" s="93"/>
      <c r="I582" s="93"/>
      <c r="J582" s="76" t="s">
        <v>1288</v>
      </c>
      <c r="K582" s="73" t="str">
        <f t="shared" si="29"/>
        <v>View on Google Map</v>
      </c>
    </row>
    <row r="583" spans="1:11" x14ac:dyDescent="0.25">
      <c r="A583" s="96">
        <v>508</v>
      </c>
      <c r="B583" s="93" t="s">
        <v>569</v>
      </c>
      <c r="C583" s="93" t="s">
        <v>570</v>
      </c>
      <c r="D583" s="109">
        <v>68.396289999999993</v>
      </c>
      <c r="E583" s="76">
        <v>-150.58781999999999</v>
      </c>
      <c r="F583" s="106">
        <v>841</v>
      </c>
      <c r="G583" s="93" t="s">
        <v>301</v>
      </c>
      <c r="H583" s="93" t="s">
        <v>516</v>
      </c>
      <c r="I583" s="93" t="s">
        <v>571</v>
      </c>
      <c r="J583" s="76" t="s">
        <v>571</v>
      </c>
      <c r="K583" s="73" t="str">
        <f t="shared" si="29"/>
        <v>View on Google Map</v>
      </c>
    </row>
    <row r="584" spans="1:11" x14ac:dyDescent="0.25">
      <c r="A584" s="96">
        <v>513</v>
      </c>
      <c r="B584" s="93" t="s">
        <v>576</v>
      </c>
      <c r="C584" s="93" t="s">
        <v>570</v>
      </c>
      <c r="D584" s="109">
        <v>68.362489999999994</v>
      </c>
      <c r="E584" s="76">
        <v>-151.70716999999999</v>
      </c>
      <c r="F584" s="106">
        <v>792</v>
      </c>
      <c r="G584" s="93" t="s">
        <v>301</v>
      </c>
      <c r="H584" s="93" t="s">
        <v>516</v>
      </c>
      <c r="I584" s="93" t="s">
        <v>571</v>
      </c>
      <c r="J584" s="76" t="s">
        <v>946</v>
      </c>
      <c r="K584" s="73" t="str">
        <f t="shared" si="29"/>
        <v>View on Google Map</v>
      </c>
    </row>
    <row r="585" spans="1:11" x14ac:dyDescent="0.25">
      <c r="A585" s="96">
        <v>512</v>
      </c>
      <c r="B585" s="93" t="s">
        <v>575</v>
      </c>
      <c r="C585" s="93" t="s">
        <v>570</v>
      </c>
      <c r="D585" s="109">
        <v>68.351330000000004</v>
      </c>
      <c r="E585" s="76">
        <v>-151.70217</v>
      </c>
      <c r="F585" s="106">
        <v>789</v>
      </c>
      <c r="G585" s="93" t="s">
        <v>301</v>
      </c>
      <c r="H585" s="93" t="s">
        <v>516</v>
      </c>
      <c r="I585" s="93" t="s">
        <v>571</v>
      </c>
      <c r="J585" s="76" t="s">
        <v>946</v>
      </c>
      <c r="K585" s="73" t="str">
        <f t="shared" si="29"/>
        <v>View on Google Map</v>
      </c>
    </row>
    <row r="586" spans="1:11" x14ac:dyDescent="0.25">
      <c r="A586" s="96">
        <v>511</v>
      </c>
      <c r="B586" s="93" t="s">
        <v>574</v>
      </c>
      <c r="C586" s="93" t="s">
        <v>570</v>
      </c>
      <c r="D586" s="109">
        <v>68.347329999999999</v>
      </c>
      <c r="E586" s="76">
        <v>-151.70317</v>
      </c>
      <c r="F586" s="106">
        <v>798</v>
      </c>
      <c r="G586" s="93" t="s">
        <v>301</v>
      </c>
      <c r="H586" s="93" t="s">
        <v>516</v>
      </c>
      <c r="I586" s="93" t="s">
        <v>571</v>
      </c>
      <c r="J586" s="76" t="s">
        <v>946</v>
      </c>
      <c r="K586" s="73" t="str">
        <f t="shared" si="29"/>
        <v>View on Google Map</v>
      </c>
    </row>
    <row r="587" spans="1:11" x14ac:dyDescent="0.25">
      <c r="A587" s="92">
        <v>510</v>
      </c>
      <c r="B587" s="93" t="s">
        <v>573</v>
      </c>
      <c r="C587" s="93" t="s">
        <v>570</v>
      </c>
      <c r="D587" s="109">
        <v>68.351330000000004</v>
      </c>
      <c r="E587" s="76">
        <v>-151.70217</v>
      </c>
      <c r="F587" s="106">
        <v>810</v>
      </c>
      <c r="G587" s="93" t="s">
        <v>301</v>
      </c>
      <c r="H587" s="93" t="s">
        <v>516</v>
      </c>
      <c r="I587" s="93" t="s">
        <v>571</v>
      </c>
      <c r="J587" s="76" t="s">
        <v>946</v>
      </c>
      <c r="K587" s="73" t="str">
        <f t="shared" si="29"/>
        <v>View on Google Map</v>
      </c>
    </row>
    <row r="588" spans="1:11" x14ac:dyDescent="0.25">
      <c r="A588" s="92">
        <v>233</v>
      </c>
      <c r="B588" s="93" t="s">
        <v>390</v>
      </c>
      <c r="C588" s="93" t="str">
        <f t="shared" ref="C588:C619" si="31">B588</f>
        <v>NE 01</v>
      </c>
      <c r="D588" s="94">
        <v>68.643829999999994</v>
      </c>
      <c r="E588" s="76">
        <v>-149.58949999999999</v>
      </c>
      <c r="F588" s="95">
        <v>716</v>
      </c>
      <c r="G588" s="93" t="s">
        <v>301</v>
      </c>
      <c r="H588" s="93" t="s">
        <v>726</v>
      </c>
      <c r="I588" s="93"/>
      <c r="J588" s="76" t="s">
        <v>1289</v>
      </c>
      <c r="K588" s="73" t="str">
        <f t="shared" si="29"/>
        <v>View on Google Map</v>
      </c>
    </row>
    <row r="589" spans="1:11" x14ac:dyDescent="0.25">
      <c r="A589" s="92">
        <v>147</v>
      </c>
      <c r="B589" s="93" t="s">
        <v>351</v>
      </c>
      <c r="C589" s="93" t="str">
        <f t="shared" si="31"/>
        <v>NE 02</v>
      </c>
      <c r="D589" s="94">
        <v>68.646330000000006</v>
      </c>
      <c r="E589" s="76">
        <v>-149.58305999999999</v>
      </c>
      <c r="F589" s="95">
        <v>716</v>
      </c>
      <c r="G589" s="93" t="s">
        <v>301</v>
      </c>
      <c r="H589" s="93" t="s">
        <v>726</v>
      </c>
      <c r="I589" s="93"/>
      <c r="J589" s="76" t="s">
        <v>1290</v>
      </c>
      <c r="K589" s="73" t="str">
        <f t="shared" si="29"/>
        <v>View on Google Map</v>
      </c>
    </row>
    <row r="590" spans="1:11" x14ac:dyDescent="0.25">
      <c r="A590" s="92">
        <v>234</v>
      </c>
      <c r="B590" s="93" t="s">
        <v>391</v>
      </c>
      <c r="C590" s="93" t="str">
        <f t="shared" si="31"/>
        <v>NE 03</v>
      </c>
      <c r="D590" s="94">
        <v>68.650080000000003</v>
      </c>
      <c r="E590" s="76">
        <v>-149.58279999999999</v>
      </c>
      <c r="F590" s="95">
        <v>731</v>
      </c>
      <c r="G590" s="93" t="s">
        <v>301</v>
      </c>
      <c r="H590" s="93" t="s">
        <v>726</v>
      </c>
      <c r="I590" s="93"/>
      <c r="J590" s="76" t="s">
        <v>1291</v>
      </c>
      <c r="K590" s="73" t="str">
        <f t="shared" si="29"/>
        <v>View on Google Map</v>
      </c>
    </row>
    <row r="591" spans="1:11" x14ac:dyDescent="0.25">
      <c r="A591" s="92">
        <v>306</v>
      </c>
      <c r="B591" s="93" t="s">
        <v>428</v>
      </c>
      <c r="C591" s="93" t="str">
        <f t="shared" si="31"/>
        <v>NE 04</v>
      </c>
      <c r="D591" s="94">
        <v>68.651139999999998</v>
      </c>
      <c r="E591" s="76">
        <v>-149.57998000000001</v>
      </c>
      <c r="F591" s="95">
        <v>731</v>
      </c>
      <c r="G591" s="93" t="s">
        <v>301</v>
      </c>
      <c r="H591" s="93" t="s">
        <v>726</v>
      </c>
      <c r="I591" s="93"/>
      <c r="J591" s="76" t="s">
        <v>1292</v>
      </c>
      <c r="K591" s="73" t="str">
        <f t="shared" si="29"/>
        <v>View on Google Map</v>
      </c>
    </row>
    <row r="592" spans="1:11" x14ac:dyDescent="0.25">
      <c r="A592" s="92">
        <v>235</v>
      </c>
      <c r="B592" s="93" t="s">
        <v>392</v>
      </c>
      <c r="C592" s="93" t="str">
        <f t="shared" si="31"/>
        <v>NE 05</v>
      </c>
      <c r="D592" s="94">
        <v>68.652140000000003</v>
      </c>
      <c r="E592" s="76">
        <v>-149.57866999999999</v>
      </c>
      <c r="F592" s="95">
        <v>716</v>
      </c>
      <c r="G592" s="93" t="s">
        <v>301</v>
      </c>
      <c r="H592" s="93" t="s">
        <v>726</v>
      </c>
      <c r="I592" s="93"/>
      <c r="J592" s="76" t="s">
        <v>1293</v>
      </c>
      <c r="K592" s="73" t="str">
        <f t="shared" si="29"/>
        <v>View on Google Map</v>
      </c>
    </row>
    <row r="593" spans="1:11" x14ac:dyDescent="0.25">
      <c r="A593" s="92">
        <v>307</v>
      </c>
      <c r="B593" s="93" t="s">
        <v>429</v>
      </c>
      <c r="C593" s="93" t="str">
        <f t="shared" si="31"/>
        <v>NE 06</v>
      </c>
      <c r="D593" s="94">
        <v>68.652929999999998</v>
      </c>
      <c r="E593" s="76">
        <v>-149.57729</v>
      </c>
      <c r="F593" s="95">
        <v>716</v>
      </c>
      <c r="G593" s="93" t="s">
        <v>301</v>
      </c>
      <c r="H593" s="93" t="s">
        <v>726</v>
      </c>
      <c r="I593" s="93"/>
      <c r="J593" s="76" t="s">
        <v>1294</v>
      </c>
      <c r="K593" s="73" t="str">
        <f t="shared" si="29"/>
        <v>View on Google Map</v>
      </c>
    </row>
    <row r="594" spans="1:11" x14ac:dyDescent="0.25">
      <c r="A594" s="92">
        <v>236</v>
      </c>
      <c r="B594" s="93" t="s">
        <v>393</v>
      </c>
      <c r="C594" s="93" t="str">
        <f t="shared" si="31"/>
        <v>NE 07</v>
      </c>
      <c r="D594" s="94">
        <v>68.65352</v>
      </c>
      <c r="E594" s="76">
        <v>-149.58099999999999</v>
      </c>
      <c r="F594" s="95">
        <v>731</v>
      </c>
      <c r="G594" s="93" t="s">
        <v>301</v>
      </c>
      <c r="H594" s="93" t="s">
        <v>726</v>
      </c>
      <c r="I594" s="93"/>
      <c r="J594" s="76" t="s">
        <v>1295</v>
      </c>
      <c r="K594" s="73" t="str">
        <f t="shared" si="29"/>
        <v>View on Google Map</v>
      </c>
    </row>
    <row r="595" spans="1:11" x14ac:dyDescent="0.25">
      <c r="A595" s="92">
        <v>308</v>
      </c>
      <c r="B595" s="93" t="s">
        <v>430</v>
      </c>
      <c r="C595" s="93" t="str">
        <f t="shared" si="31"/>
        <v>NE 08</v>
      </c>
      <c r="D595" s="94">
        <v>68.652209999999997</v>
      </c>
      <c r="E595" s="76">
        <v>-149.58494999999999</v>
      </c>
      <c r="F595" s="95">
        <v>731</v>
      </c>
      <c r="G595" s="93" t="s">
        <v>301</v>
      </c>
      <c r="H595" s="93" t="s">
        <v>726</v>
      </c>
      <c r="I595" s="93"/>
      <c r="J595" s="76" t="s">
        <v>1296</v>
      </c>
      <c r="K595" s="73" t="str">
        <f t="shared" si="29"/>
        <v>View on Google Map</v>
      </c>
    </row>
    <row r="596" spans="1:11" x14ac:dyDescent="0.25">
      <c r="A596" s="92">
        <v>446</v>
      </c>
      <c r="B596" s="97" t="s">
        <v>511</v>
      </c>
      <c r="C596" s="93" t="str">
        <f t="shared" si="31"/>
        <v>NE 09</v>
      </c>
      <c r="D596" s="94">
        <v>68.65352</v>
      </c>
      <c r="E596" s="76">
        <v>-149.59628000000001</v>
      </c>
      <c r="F596" s="95">
        <v>747</v>
      </c>
      <c r="G596" s="93" t="s">
        <v>301</v>
      </c>
      <c r="H596" s="93" t="s">
        <v>726</v>
      </c>
      <c r="I596" s="93"/>
      <c r="J596" s="76" t="s">
        <v>1297</v>
      </c>
      <c r="K596" s="73" t="str">
        <f t="shared" si="29"/>
        <v>View on Google Map</v>
      </c>
    </row>
    <row r="597" spans="1:11" x14ac:dyDescent="0.25">
      <c r="A597" s="92">
        <v>447</v>
      </c>
      <c r="B597" s="93" t="s">
        <v>512</v>
      </c>
      <c r="C597" s="93" t="str">
        <f t="shared" si="31"/>
        <v>NE 10</v>
      </c>
      <c r="D597" s="94">
        <v>68.652600000000007</v>
      </c>
      <c r="E597" s="76">
        <v>-149.60773</v>
      </c>
      <c r="F597" s="95"/>
      <c r="G597" s="93" t="s">
        <v>301</v>
      </c>
      <c r="H597" s="93" t="s">
        <v>726</v>
      </c>
      <c r="I597" s="93"/>
      <c r="J597" s="76" t="s">
        <v>1298</v>
      </c>
      <c r="K597" s="73" t="str">
        <f t="shared" si="29"/>
        <v>View on Google Map</v>
      </c>
    </row>
    <row r="598" spans="1:11" x14ac:dyDescent="0.25">
      <c r="A598" s="96">
        <v>504</v>
      </c>
      <c r="B598" s="93" t="s">
        <v>565</v>
      </c>
      <c r="C598" s="93" t="str">
        <f t="shared" si="31"/>
        <v>NE 11</v>
      </c>
      <c r="D598" s="108">
        <v>68.647329999999997</v>
      </c>
      <c r="E598" s="76">
        <v>-149.60932</v>
      </c>
      <c r="F598" s="95">
        <v>731</v>
      </c>
      <c r="G598" s="93" t="s">
        <v>301</v>
      </c>
      <c r="H598" s="93" t="s">
        <v>726</v>
      </c>
      <c r="I598" s="93"/>
      <c r="J598" s="76" t="s">
        <v>946</v>
      </c>
      <c r="K598" s="73" t="str">
        <f t="shared" si="29"/>
        <v>View on Google Map</v>
      </c>
    </row>
    <row r="599" spans="1:11" x14ac:dyDescent="0.25">
      <c r="A599" s="92">
        <v>108</v>
      </c>
      <c r="B599" s="93" t="s">
        <v>309</v>
      </c>
      <c r="C599" s="93" t="str">
        <f t="shared" si="31"/>
        <v>NE 12</v>
      </c>
      <c r="D599" s="93">
        <v>68.662149999999997</v>
      </c>
      <c r="E599" s="76">
        <v>-149.62335999999999</v>
      </c>
      <c r="F599" s="95">
        <v>699</v>
      </c>
      <c r="G599" s="93" t="s">
        <v>301</v>
      </c>
      <c r="H599" s="93" t="s">
        <v>726</v>
      </c>
      <c r="I599" s="93"/>
      <c r="J599" s="76" t="s">
        <v>1299</v>
      </c>
      <c r="K599" s="73" t="str">
        <f t="shared" si="29"/>
        <v>View on Google Map</v>
      </c>
    </row>
    <row r="600" spans="1:11" x14ac:dyDescent="0.25">
      <c r="A600" s="92">
        <v>309</v>
      </c>
      <c r="B600" s="93" t="s">
        <v>1391</v>
      </c>
      <c r="C600" s="93" t="str">
        <f t="shared" si="31"/>
        <v>NE 13</v>
      </c>
      <c r="D600" s="94" t="s">
        <v>946</v>
      </c>
      <c r="E600" s="76" t="s">
        <v>946</v>
      </c>
      <c r="F600" s="95"/>
      <c r="G600" s="93" t="s">
        <v>301</v>
      </c>
      <c r="H600" s="93" t="s">
        <v>726</v>
      </c>
      <c r="I600" s="93"/>
      <c r="J600" s="76" t="s">
        <v>1392</v>
      </c>
      <c r="K600" s="73" t="str">
        <f t="shared" si="29"/>
        <v>View on Google Map</v>
      </c>
    </row>
    <row r="601" spans="1:11" ht="12" customHeight="1" x14ac:dyDescent="0.25">
      <c r="A601" s="92">
        <v>109</v>
      </c>
      <c r="B601" s="93" t="s">
        <v>310</v>
      </c>
      <c r="C601" s="93" t="str">
        <f t="shared" si="31"/>
        <v>NE 14</v>
      </c>
      <c r="D601" s="93">
        <v>68.676674000000006</v>
      </c>
      <c r="E601" s="76">
        <v>-149.630222</v>
      </c>
      <c r="F601" s="95">
        <v>701</v>
      </c>
      <c r="G601" s="93" t="s">
        <v>301</v>
      </c>
      <c r="H601" s="93" t="s">
        <v>726</v>
      </c>
      <c r="I601" s="93"/>
      <c r="J601" s="76" t="s">
        <v>1300</v>
      </c>
      <c r="K601" s="73" t="str">
        <f t="shared" si="29"/>
        <v>View on Google Map</v>
      </c>
    </row>
    <row r="602" spans="1:11" x14ac:dyDescent="0.25">
      <c r="A602" s="102">
        <v>1248</v>
      </c>
      <c r="B602" s="93" t="s">
        <v>855</v>
      </c>
      <c r="C602" s="93" t="str">
        <f t="shared" si="31"/>
        <v>NE 14 Lake Shore</v>
      </c>
      <c r="D602" s="93">
        <v>68.677769999999995</v>
      </c>
      <c r="E602" s="76">
        <v>-149.62411700000001</v>
      </c>
      <c r="F602" s="92">
        <v>701</v>
      </c>
      <c r="G602" s="93"/>
      <c r="H602" s="93" t="s">
        <v>852</v>
      </c>
      <c r="I602" s="93"/>
      <c r="J602" s="76" t="s">
        <v>946</v>
      </c>
      <c r="K602" s="73" t="str">
        <f t="shared" si="29"/>
        <v>View on Google Map</v>
      </c>
    </row>
    <row r="603" spans="1:11" x14ac:dyDescent="0.25">
      <c r="A603" s="92">
        <v>498</v>
      </c>
      <c r="B603" s="110" t="s">
        <v>559</v>
      </c>
      <c r="C603" s="93" t="str">
        <f t="shared" si="31"/>
        <v>NE 14 Lake Slump Inlet</v>
      </c>
      <c r="D603" s="109">
        <v>68.677719999999994</v>
      </c>
      <c r="E603" s="76">
        <v>-149.62403</v>
      </c>
      <c r="F603" s="106">
        <v>701</v>
      </c>
      <c r="G603" s="93" t="s">
        <v>269</v>
      </c>
      <c r="H603" s="93" t="s">
        <v>555</v>
      </c>
      <c r="I603" s="93" t="s">
        <v>556</v>
      </c>
      <c r="J603" s="76" t="s">
        <v>946</v>
      </c>
      <c r="K603" s="73" t="str">
        <f t="shared" si="29"/>
        <v>View on Google Map</v>
      </c>
    </row>
    <row r="604" spans="1:11" x14ac:dyDescent="0.25">
      <c r="A604" s="92">
        <v>495</v>
      </c>
      <c r="B604" s="93" t="s">
        <v>557</v>
      </c>
      <c r="C604" s="93" t="str">
        <f t="shared" si="31"/>
        <v>NE 14 Outlet</v>
      </c>
      <c r="D604" s="109">
        <v>68.674120000000002</v>
      </c>
      <c r="E604" s="76">
        <v>-149.62885</v>
      </c>
      <c r="F604" s="106">
        <v>701</v>
      </c>
      <c r="G604" s="93" t="s">
        <v>269</v>
      </c>
      <c r="H604" s="93" t="s">
        <v>555</v>
      </c>
      <c r="I604" s="93" t="s">
        <v>556</v>
      </c>
      <c r="J604" s="76" t="s">
        <v>946</v>
      </c>
      <c r="K604" s="73" t="str">
        <f t="shared" si="29"/>
        <v>View on Google Map</v>
      </c>
    </row>
    <row r="605" spans="1:11" x14ac:dyDescent="0.25">
      <c r="A605" s="92">
        <v>448</v>
      </c>
      <c r="B605" s="93" t="s">
        <v>513</v>
      </c>
      <c r="C605" s="93" t="str">
        <f t="shared" si="31"/>
        <v>NE 15</v>
      </c>
      <c r="D605" s="94">
        <v>68.655959999999993</v>
      </c>
      <c r="E605" s="76">
        <v>-149.58528999999999</v>
      </c>
      <c r="F605" s="95"/>
      <c r="G605" s="93" t="s">
        <v>301</v>
      </c>
      <c r="H605" s="93" t="s">
        <v>726</v>
      </c>
      <c r="I605" s="93"/>
      <c r="J605" s="76" t="s">
        <v>1301</v>
      </c>
      <c r="K605" s="73" t="str">
        <f t="shared" si="29"/>
        <v>View on Google Map</v>
      </c>
    </row>
    <row r="606" spans="1:11" x14ac:dyDescent="0.25">
      <c r="A606" s="92">
        <v>449</v>
      </c>
      <c r="B606" s="93" t="s">
        <v>514</v>
      </c>
      <c r="C606" s="93" t="str">
        <f t="shared" si="31"/>
        <v>NE 16</v>
      </c>
      <c r="D606" s="94">
        <v>68.661079999999998</v>
      </c>
      <c r="E606" s="76">
        <v>-149.58674999999999</v>
      </c>
      <c r="F606" s="95"/>
      <c r="G606" s="93" t="s">
        <v>301</v>
      </c>
      <c r="H606" s="93" t="s">
        <v>726</v>
      </c>
      <c r="I606" s="93"/>
      <c r="J606" s="76" t="s">
        <v>1302</v>
      </c>
      <c r="K606" s="73" t="str">
        <f t="shared" si="29"/>
        <v>View on Google Map</v>
      </c>
    </row>
    <row r="607" spans="1:11" x14ac:dyDescent="0.25">
      <c r="A607" s="92">
        <v>171</v>
      </c>
      <c r="B607" s="93" t="s">
        <v>369</v>
      </c>
      <c r="C607" s="93" t="str">
        <f t="shared" si="31"/>
        <v>NE 9B</v>
      </c>
      <c r="D607" s="94">
        <v>68.652609999999996</v>
      </c>
      <c r="E607" s="76">
        <v>-149.59949</v>
      </c>
      <c r="F607" s="95">
        <v>747</v>
      </c>
      <c r="G607" s="93" t="s">
        <v>301</v>
      </c>
      <c r="H607" s="93" t="s">
        <v>726</v>
      </c>
      <c r="I607" s="93"/>
      <c r="J607" s="76" t="s">
        <v>1303</v>
      </c>
      <c r="K607" s="73" t="str">
        <f t="shared" si="29"/>
        <v>View on Google Map</v>
      </c>
    </row>
    <row r="608" spans="1:11" x14ac:dyDescent="0.25">
      <c r="A608" s="92">
        <v>499</v>
      </c>
      <c r="B608" s="93" t="s">
        <v>560</v>
      </c>
      <c r="C608" s="93" t="str">
        <f t="shared" si="31"/>
        <v>North Itigaknit A1</v>
      </c>
      <c r="D608" s="108">
        <v>68.829610000000002</v>
      </c>
      <c r="E608" s="76">
        <v>-149.77901</v>
      </c>
      <c r="F608" s="92">
        <v>633</v>
      </c>
      <c r="G608" s="93" t="s">
        <v>301</v>
      </c>
      <c r="H608" s="93" t="s">
        <v>516</v>
      </c>
      <c r="I608" s="93"/>
      <c r="J608" s="76" t="s">
        <v>1304</v>
      </c>
      <c r="K608" s="73" t="str">
        <f t="shared" si="29"/>
        <v>View on Google Map</v>
      </c>
    </row>
    <row r="609" spans="1:11" x14ac:dyDescent="0.25">
      <c r="A609" s="92">
        <v>500</v>
      </c>
      <c r="B609" s="93" t="s">
        <v>561</v>
      </c>
      <c r="C609" s="93" t="str">
        <f t="shared" si="31"/>
        <v>North Itigaknit A2</v>
      </c>
      <c r="D609" s="108">
        <v>68.832999999999998</v>
      </c>
      <c r="E609" s="76">
        <v>-149.76808</v>
      </c>
      <c r="F609" s="92">
        <v>624</v>
      </c>
      <c r="G609" s="93" t="s">
        <v>301</v>
      </c>
      <c r="H609" s="93" t="s">
        <v>516</v>
      </c>
      <c r="I609" s="93"/>
      <c r="J609" s="76" t="s">
        <v>1305</v>
      </c>
      <c r="K609" s="73" t="str">
        <f t="shared" si="29"/>
        <v>View on Google Map</v>
      </c>
    </row>
    <row r="610" spans="1:11" x14ac:dyDescent="0.25">
      <c r="A610" s="92">
        <v>501</v>
      </c>
      <c r="B610" s="93" t="s">
        <v>562</v>
      </c>
      <c r="C610" s="93" t="str">
        <f t="shared" si="31"/>
        <v>North Itigaknit B1</v>
      </c>
      <c r="D610" s="108">
        <v>68.828299999999999</v>
      </c>
      <c r="E610" s="76">
        <v>-149.76473999999999</v>
      </c>
      <c r="F610" s="92">
        <v>624</v>
      </c>
      <c r="G610" s="93" t="s">
        <v>301</v>
      </c>
      <c r="H610" s="93" t="s">
        <v>516</v>
      </c>
      <c r="I610" s="93"/>
      <c r="J610" s="76" t="s">
        <v>1306</v>
      </c>
      <c r="K610" s="73" t="str">
        <f t="shared" si="29"/>
        <v>View on Google Map</v>
      </c>
    </row>
    <row r="611" spans="1:11" x14ac:dyDescent="0.25">
      <c r="A611" s="92">
        <v>502</v>
      </c>
      <c r="B611" s="93" t="s">
        <v>563</v>
      </c>
      <c r="C611" s="93" t="str">
        <f t="shared" si="31"/>
        <v>North Itigaknit B2</v>
      </c>
      <c r="D611" s="108">
        <v>68.826520000000002</v>
      </c>
      <c r="E611" s="76">
        <v>-149.75897000000001</v>
      </c>
      <c r="F611" s="92">
        <v>592</v>
      </c>
      <c r="G611" s="93" t="s">
        <v>301</v>
      </c>
      <c r="H611" s="93" t="s">
        <v>516</v>
      </c>
      <c r="I611" s="93"/>
      <c r="J611" s="76" t="s">
        <v>1307</v>
      </c>
      <c r="K611" s="73" t="str">
        <f t="shared" si="29"/>
        <v>View on Google Map</v>
      </c>
    </row>
    <row r="612" spans="1:11" x14ac:dyDescent="0.25">
      <c r="A612" s="92">
        <v>503</v>
      </c>
      <c r="B612" s="93" t="s">
        <v>564</v>
      </c>
      <c r="C612" s="93" t="str">
        <f t="shared" si="31"/>
        <v>North Itigaknit B3</v>
      </c>
      <c r="D612" s="108">
        <v>68.827259999999995</v>
      </c>
      <c r="E612" s="76">
        <v>-149.75089</v>
      </c>
      <c r="F612" s="92">
        <v>592</v>
      </c>
      <c r="G612" s="93" t="s">
        <v>301</v>
      </c>
      <c r="H612" s="93" t="s">
        <v>516</v>
      </c>
      <c r="I612" s="93"/>
      <c r="J612" s="76" t="s">
        <v>1308</v>
      </c>
      <c r="K612" s="73" t="str">
        <f t="shared" si="29"/>
        <v>View on Google Map</v>
      </c>
    </row>
    <row r="613" spans="1:11" x14ac:dyDescent="0.25">
      <c r="A613" s="96">
        <v>609</v>
      </c>
      <c r="B613" s="117" t="s">
        <v>856</v>
      </c>
      <c r="C613" s="93" t="str">
        <f t="shared" si="31"/>
        <v>North Killeak Lake</v>
      </c>
      <c r="D613" s="118">
        <v>66.363</v>
      </c>
      <c r="E613" s="76">
        <v>-164.05709999999999</v>
      </c>
      <c r="F613" s="119">
        <v>15</v>
      </c>
      <c r="G613" s="97" t="s">
        <v>301</v>
      </c>
      <c r="H613" s="97" t="s">
        <v>728</v>
      </c>
      <c r="I613" s="97"/>
      <c r="J613" s="76" t="s">
        <v>946</v>
      </c>
      <c r="K613" s="73" t="str">
        <f t="shared" si="29"/>
        <v>View on Google Map</v>
      </c>
    </row>
    <row r="614" spans="1:11" x14ac:dyDescent="0.25">
      <c r="A614" s="92">
        <v>488</v>
      </c>
      <c r="B614" s="97" t="s">
        <v>553</v>
      </c>
      <c r="C614" s="93" t="str">
        <f t="shared" si="31"/>
        <v>North Lake</v>
      </c>
      <c r="D614" s="99">
        <v>69.329949999999997</v>
      </c>
      <c r="E614" s="76">
        <v>-150.95275000000001</v>
      </c>
      <c r="F614" s="92">
        <v>127</v>
      </c>
      <c r="G614" s="93" t="s">
        <v>301</v>
      </c>
      <c r="H614" s="93" t="s">
        <v>283</v>
      </c>
      <c r="I614" s="93" t="s">
        <v>284</v>
      </c>
      <c r="J614" s="76" t="s">
        <v>946</v>
      </c>
      <c r="K614" s="73" t="str">
        <f t="shared" si="29"/>
        <v>View on Google Map</v>
      </c>
    </row>
    <row r="615" spans="1:11" x14ac:dyDescent="0.25">
      <c r="A615" s="92">
        <v>489</v>
      </c>
      <c r="B615" s="97" t="s">
        <v>1407</v>
      </c>
      <c r="C615" s="93" t="str">
        <f t="shared" si="31"/>
        <v>North Lake Inlet</v>
      </c>
      <c r="D615" s="108" t="s">
        <v>946</v>
      </c>
      <c r="E615" s="76" t="s">
        <v>946</v>
      </c>
      <c r="F615" s="92">
        <v>127</v>
      </c>
      <c r="G615" s="93" t="s">
        <v>269</v>
      </c>
      <c r="H615" s="93" t="s">
        <v>283</v>
      </c>
      <c r="I615" s="93" t="s">
        <v>284</v>
      </c>
      <c r="J615" s="76" t="s">
        <v>946</v>
      </c>
      <c r="K615" s="73" t="str">
        <f t="shared" si="29"/>
        <v>View on Google Map</v>
      </c>
    </row>
    <row r="616" spans="1:11" x14ac:dyDescent="0.25">
      <c r="A616" s="92">
        <v>490</v>
      </c>
      <c r="B616" s="97" t="s">
        <v>1408</v>
      </c>
      <c r="C616" s="93" t="str">
        <f t="shared" si="31"/>
        <v>North Lake Outlet</v>
      </c>
      <c r="D616" s="108" t="s">
        <v>946</v>
      </c>
      <c r="E616" s="76" t="s">
        <v>946</v>
      </c>
      <c r="F616" s="92">
        <v>127</v>
      </c>
      <c r="G616" s="93" t="s">
        <v>301</v>
      </c>
      <c r="H616" s="93" t="s">
        <v>283</v>
      </c>
      <c r="I616" s="93" t="s">
        <v>284</v>
      </c>
      <c r="J616" s="76" t="s">
        <v>946</v>
      </c>
      <c r="K616" s="73" t="str">
        <f t="shared" si="29"/>
        <v>View on Google Map</v>
      </c>
    </row>
    <row r="617" spans="1:11" x14ac:dyDescent="0.25">
      <c r="A617" s="92">
        <v>34</v>
      </c>
      <c r="B617" s="100" t="s">
        <v>287</v>
      </c>
      <c r="C617" s="93" t="str">
        <f t="shared" si="31"/>
        <v>North River</v>
      </c>
      <c r="D617" s="99">
        <v>69.057400000000001</v>
      </c>
      <c r="E617" s="76">
        <v>-150.39599999999999</v>
      </c>
      <c r="F617" s="96">
        <v>274</v>
      </c>
      <c r="G617" s="93" t="s">
        <v>269</v>
      </c>
      <c r="H617" s="93" t="s">
        <v>283</v>
      </c>
      <c r="I617" s="93" t="s">
        <v>284</v>
      </c>
      <c r="J617" s="76" t="s">
        <v>946</v>
      </c>
      <c r="K617" s="73" t="str">
        <f t="shared" si="29"/>
        <v>View on Google Map</v>
      </c>
    </row>
    <row r="618" spans="1:11" x14ac:dyDescent="0.25">
      <c r="A618" s="102">
        <v>45</v>
      </c>
      <c r="B618" s="101" t="s">
        <v>297</v>
      </c>
      <c r="C618" s="93" t="str">
        <f t="shared" si="31"/>
        <v>North River - mouth</v>
      </c>
      <c r="D618" s="99">
        <v>69.063298000000003</v>
      </c>
      <c r="E618" s="76">
        <v>-150.394711</v>
      </c>
      <c r="F618" s="96"/>
      <c r="G618" s="93" t="s">
        <v>269</v>
      </c>
      <c r="H618" s="101" t="s">
        <v>294</v>
      </c>
      <c r="I618" s="93" t="s">
        <v>284</v>
      </c>
      <c r="J618" s="76" t="s">
        <v>946</v>
      </c>
      <c r="K618" s="73" t="str">
        <f t="shared" si="29"/>
        <v>View on Google Map</v>
      </c>
    </row>
    <row r="619" spans="1:11" x14ac:dyDescent="0.25">
      <c r="A619" s="92">
        <v>35</v>
      </c>
      <c r="B619" s="98" t="s">
        <v>288</v>
      </c>
      <c r="C619" s="93" t="str">
        <f t="shared" si="31"/>
        <v>North River Thermokarst</v>
      </c>
      <c r="D619" s="94">
        <v>69.063333333333333</v>
      </c>
      <c r="E619" s="76">
        <v>-150.393333333333</v>
      </c>
      <c r="F619" s="96">
        <v>281</v>
      </c>
      <c r="G619" s="93" t="s">
        <v>269</v>
      </c>
      <c r="H619" s="93" t="s">
        <v>283</v>
      </c>
      <c r="I619" s="93" t="s">
        <v>284</v>
      </c>
      <c r="J619" s="76" t="s">
        <v>946</v>
      </c>
      <c r="K619" s="73" t="str">
        <f t="shared" si="29"/>
        <v>View on Google Map</v>
      </c>
    </row>
    <row r="620" spans="1:11" x14ac:dyDescent="0.25">
      <c r="A620" s="92">
        <v>161</v>
      </c>
      <c r="B620" s="93" t="s">
        <v>363</v>
      </c>
      <c r="C620" s="93" t="s">
        <v>364</v>
      </c>
      <c r="D620" s="94">
        <v>68.599311099999994</v>
      </c>
      <c r="E620" s="76">
        <v>-149.1847033</v>
      </c>
      <c r="F620" s="95">
        <v>876</v>
      </c>
      <c r="G620" s="93" t="s">
        <v>301</v>
      </c>
      <c r="H620" s="93" t="s">
        <v>726</v>
      </c>
      <c r="I620" s="93" t="s">
        <v>272</v>
      </c>
      <c r="J620" s="76" t="s">
        <v>1309</v>
      </c>
      <c r="K620" s="73" t="str">
        <f t="shared" si="29"/>
        <v>View on Google Map</v>
      </c>
    </row>
    <row r="621" spans="1:11" x14ac:dyDescent="0.25">
      <c r="A621" s="92">
        <v>162</v>
      </c>
      <c r="B621" s="93" t="s">
        <v>365</v>
      </c>
      <c r="C621" s="93" t="s">
        <v>364</v>
      </c>
      <c r="D621" s="94">
        <v>68.583330000000004</v>
      </c>
      <c r="E621" s="76">
        <v>-149.19999999999999</v>
      </c>
      <c r="F621" s="95">
        <v>892</v>
      </c>
      <c r="G621" s="93" t="s">
        <v>301</v>
      </c>
      <c r="H621" s="93" t="s">
        <v>726</v>
      </c>
      <c r="I621" s="93" t="s">
        <v>272</v>
      </c>
      <c r="J621" s="76" t="s">
        <v>1310</v>
      </c>
      <c r="K621" s="73" t="str">
        <f t="shared" si="29"/>
        <v>View on Google Map</v>
      </c>
    </row>
    <row r="622" spans="1:11" x14ac:dyDescent="0.25">
      <c r="A622" s="92">
        <v>163</v>
      </c>
      <c r="B622" s="93" t="s">
        <v>366</v>
      </c>
      <c r="C622" s="93" t="s">
        <v>364</v>
      </c>
      <c r="D622" s="94">
        <v>68.596179000000006</v>
      </c>
      <c r="E622" s="76">
        <v>-149.16100510000001</v>
      </c>
      <c r="F622" s="95">
        <v>876</v>
      </c>
      <c r="G622" s="93" t="s">
        <v>301</v>
      </c>
      <c r="H622" s="93" t="s">
        <v>726</v>
      </c>
      <c r="I622" s="93" t="s">
        <v>272</v>
      </c>
      <c r="J622" s="76" t="s">
        <v>1311</v>
      </c>
      <c r="K622" s="73" t="str">
        <f t="shared" si="29"/>
        <v>View on Google Map</v>
      </c>
    </row>
    <row r="623" spans="1:11" x14ac:dyDescent="0.25">
      <c r="A623" s="92">
        <v>5</v>
      </c>
      <c r="B623" s="93" t="s">
        <v>276</v>
      </c>
      <c r="C623" s="93" t="s">
        <v>725</v>
      </c>
      <c r="D623" s="94">
        <v>68.687399999999997</v>
      </c>
      <c r="E623" s="76">
        <v>-149.095</v>
      </c>
      <c r="F623" s="95">
        <v>754</v>
      </c>
      <c r="G623" s="93" t="s">
        <v>269</v>
      </c>
      <c r="H623" s="93" t="s">
        <v>726</v>
      </c>
      <c r="I623" s="93" t="s">
        <v>272</v>
      </c>
      <c r="J623" s="76" t="s">
        <v>1312</v>
      </c>
      <c r="K623" s="73" t="str">
        <f t="shared" si="29"/>
        <v>View on Google Map</v>
      </c>
    </row>
    <row r="624" spans="1:11" x14ac:dyDescent="0.25">
      <c r="A624" s="92">
        <v>380</v>
      </c>
      <c r="B624" s="93" t="s">
        <v>933</v>
      </c>
      <c r="C624" s="93" t="str">
        <f t="shared" ref="C624:C633" si="32">B624</f>
        <v>Paleo Lakes survey 1</v>
      </c>
      <c r="D624" s="94">
        <v>68.671369999999996</v>
      </c>
      <c r="E624" s="76">
        <v>-149.67301</v>
      </c>
      <c r="F624" s="95">
        <v>650</v>
      </c>
      <c r="G624" s="93" t="s">
        <v>301</v>
      </c>
      <c r="H624" s="93" t="s">
        <v>857</v>
      </c>
      <c r="I624" s="93" t="s">
        <v>858</v>
      </c>
      <c r="J624" s="76" t="s">
        <v>1313</v>
      </c>
      <c r="K624" s="73" t="str">
        <f t="shared" si="29"/>
        <v>View on Google Map</v>
      </c>
    </row>
    <row r="625" spans="1:11" x14ac:dyDescent="0.25">
      <c r="A625" s="92">
        <v>381</v>
      </c>
      <c r="B625" s="93" t="s">
        <v>934</v>
      </c>
      <c r="C625" s="93" t="str">
        <f t="shared" si="32"/>
        <v>Paleo Lakes survey 2</v>
      </c>
      <c r="D625" s="94">
        <v>68.654219999999995</v>
      </c>
      <c r="E625" s="76">
        <v>-149.68099000000001</v>
      </c>
      <c r="F625" s="95">
        <v>650</v>
      </c>
      <c r="G625" s="93" t="s">
        <v>301</v>
      </c>
      <c r="H625" s="93" t="s">
        <v>857</v>
      </c>
      <c r="I625" s="93" t="s">
        <v>858</v>
      </c>
      <c r="J625" s="76" t="s">
        <v>1314</v>
      </c>
      <c r="K625" s="73" t="str">
        <f t="shared" si="29"/>
        <v>View on Google Map</v>
      </c>
    </row>
    <row r="626" spans="1:11" x14ac:dyDescent="0.25">
      <c r="A626" s="92">
        <v>382</v>
      </c>
      <c r="B626" s="93" t="s">
        <v>935</v>
      </c>
      <c r="C626" s="93" t="str">
        <f t="shared" si="32"/>
        <v>Paleo Lakes survey 3</v>
      </c>
      <c r="D626" s="94">
        <v>68.619720000000001</v>
      </c>
      <c r="E626" s="76">
        <v>-149.49328</v>
      </c>
      <c r="F626" s="95">
        <v>910</v>
      </c>
      <c r="G626" s="93" t="s">
        <v>301</v>
      </c>
      <c r="H626" s="93" t="s">
        <v>857</v>
      </c>
      <c r="I626" s="93" t="s">
        <v>858</v>
      </c>
      <c r="J626" s="76" t="s">
        <v>1315</v>
      </c>
      <c r="K626" s="73" t="str">
        <f t="shared" si="29"/>
        <v>View on Google Map</v>
      </c>
    </row>
    <row r="627" spans="1:11" x14ac:dyDescent="0.25">
      <c r="A627" s="92">
        <v>383</v>
      </c>
      <c r="B627" s="93" t="s">
        <v>936</v>
      </c>
      <c r="C627" s="93" t="str">
        <f t="shared" si="32"/>
        <v>Paleo Lakes survey 4</v>
      </c>
      <c r="D627" s="94">
        <v>68.628510000000006</v>
      </c>
      <c r="E627" s="76">
        <v>-149.41363000000001</v>
      </c>
      <c r="F627" s="95">
        <v>810</v>
      </c>
      <c r="G627" s="93" t="s">
        <v>301</v>
      </c>
      <c r="H627" s="93" t="s">
        <v>857</v>
      </c>
      <c r="I627" s="93" t="s">
        <v>858</v>
      </c>
      <c r="J627" s="76" t="s">
        <v>1316</v>
      </c>
      <c r="K627" s="73" t="str">
        <f t="shared" si="29"/>
        <v>View on Google Map</v>
      </c>
    </row>
    <row r="628" spans="1:11" x14ac:dyDescent="0.25">
      <c r="A628" s="92">
        <v>384</v>
      </c>
      <c r="B628" s="93" t="s">
        <v>937</v>
      </c>
      <c r="C628" s="93" t="str">
        <f t="shared" si="32"/>
        <v>Paleo Lakes survey 5</v>
      </c>
      <c r="D628" s="94">
        <v>68.632511699999995</v>
      </c>
      <c r="E628" s="76">
        <v>-149.4194698</v>
      </c>
      <c r="F628" s="95">
        <v>800</v>
      </c>
      <c r="G628" s="93" t="s">
        <v>301</v>
      </c>
      <c r="H628" s="93" t="s">
        <v>857</v>
      </c>
      <c r="I628" s="93" t="s">
        <v>858</v>
      </c>
      <c r="J628" s="76" t="s">
        <v>1317</v>
      </c>
      <c r="K628" s="73" t="str">
        <f t="shared" si="29"/>
        <v>View on Google Map</v>
      </c>
    </row>
    <row r="629" spans="1:11" x14ac:dyDescent="0.25">
      <c r="A629" s="92">
        <v>386</v>
      </c>
      <c r="B629" s="93" t="s">
        <v>938</v>
      </c>
      <c r="C629" s="93" t="str">
        <f t="shared" si="32"/>
        <v>Paleo Lakes survey 7</v>
      </c>
      <c r="D629" s="94">
        <v>68.770529999999994</v>
      </c>
      <c r="E629" s="76">
        <v>-149.37148999999999</v>
      </c>
      <c r="F629" s="95">
        <v>850</v>
      </c>
      <c r="G629" s="93" t="s">
        <v>301</v>
      </c>
      <c r="H629" s="93" t="s">
        <v>857</v>
      </c>
      <c r="I629" s="93" t="s">
        <v>858</v>
      </c>
      <c r="J629" s="76" t="s">
        <v>1318</v>
      </c>
      <c r="K629" s="73" t="str">
        <f t="shared" si="29"/>
        <v>View on Google Map</v>
      </c>
    </row>
    <row r="630" spans="1:11" x14ac:dyDescent="0.25">
      <c r="A630" s="92">
        <v>491</v>
      </c>
      <c r="B630" s="93" t="s">
        <v>939</v>
      </c>
      <c r="C630" s="93" t="str">
        <f t="shared" si="32"/>
        <v>Perched Lake</v>
      </c>
      <c r="D630" s="99">
        <v>68.941270000000003</v>
      </c>
      <c r="E630" s="76">
        <v>-150.5068</v>
      </c>
      <c r="F630" s="92">
        <v>408</v>
      </c>
      <c r="G630" s="93" t="s">
        <v>301</v>
      </c>
      <c r="H630" s="93" t="s">
        <v>283</v>
      </c>
      <c r="I630" s="93" t="s">
        <v>284</v>
      </c>
      <c r="J630" s="76" t="s">
        <v>1319</v>
      </c>
      <c r="K630" s="73" t="str">
        <f t="shared" si="29"/>
        <v>View on Google Map</v>
      </c>
    </row>
    <row r="631" spans="1:11" x14ac:dyDescent="0.25">
      <c r="A631" s="92">
        <v>492</v>
      </c>
      <c r="B631" s="97" t="s">
        <v>1409</v>
      </c>
      <c r="C631" s="93" t="str">
        <f t="shared" si="32"/>
        <v>Perched Lake Outlet</v>
      </c>
      <c r="D631" s="108" t="s">
        <v>946</v>
      </c>
      <c r="E631" s="76" t="s">
        <v>946</v>
      </c>
      <c r="F631" s="92">
        <v>408</v>
      </c>
      <c r="G631" s="93" t="s">
        <v>301</v>
      </c>
      <c r="H631" s="93" t="s">
        <v>283</v>
      </c>
      <c r="I631" s="93" t="s">
        <v>284</v>
      </c>
      <c r="J631" s="76" t="s">
        <v>1410</v>
      </c>
      <c r="K631" s="73" t="str">
        <f t="shared" si="29"/>
        <v>View on Google Map</v>
      </c>
    </row>
    <row r="632" spans="1:11" x14ac:dyDescent="0.25">
      <c r="A632" s="92">
        <v>1172</v>
      </c>
      <c r="B632" s="121" t="s">
        <v>626</v>
      </c>
      <c r="C632" s="93" t="str">
        <f t="shared" si="32"/>
        <v>Phenology Station at 2304 Tower</v>
      </c>
      <c r="D632" s="94">
        <v>68.99666666666667</v>
      </c>
      <c r="E632" s="76">
        <v>-150.21250000000001</v>
      </c>
      <c r="F632" s="92"/>
      <c r="G632" s="93" t="s">
        <v>619</v>
      </c>
      <c r="H632" s="93" t="s">
        <v>625</v>
      </c>
      <c r="I632" s="93" t="s">
        <v>284</v>
      </c>
      <c r="J632" s="76" t="s">
        <v>1320</v>
      </c>
      <c r="K632" s="73" t="str">
        <f t="shared" ref="K632:K695" si="33">HYPERLINK("http://maps.google.com/maps?q="&amp;D632&amp;","&amp;E632,"View on Google Map")</f>
        <v>View on Google Map</v>
      </c>
    </row>
    <row r="633" spans="1:11" x14ac:dyDescent="0.25">
      <c r="A633" s="92">
        <v>1509</v>
      </c>
      <c r="B633" s="93" t="s">
        <v>1635</v>
      </c>
      <c r="C633" s="93" t="str">
        <f t="shared" si="32"/>
        <v xml:space="preserve">Prudhoe Bay (PB) Kuparuk       </v>
      </c>
      <c r="D633" s="94"/>
      <c r="E633" s="94"/>
      <c r="F633" s="95">
        <v>3</v>
      </c>
      <c r="G633" s="93" t="s">
        <v>269</v>
      </c>
      <c r="H633" s="93" t="s">
        <v>726</v>
      </c>
      <c r="I633" s="93"/>
      <c r="J633" s="76" t="s">
        <v>1636</v>
      </c>
      <c r="K633" s="73" t="str">
        <f t="shared" si="33"/>
        <v>View on Google Map</v>
      </c>
    </row>
    <row r="634" spans="1:11" x14ac:dyDescent="0.25">
      <c r="A634" s="92">
        <v>1506</v>
      </c>
      <c r="B634" s="93" t="s">
        <v>1629</v>
      </c>
      <c r="C634" s="93" t="s">
        <v>1619</v>
      </c>
      <c r="D634" s="94"/>
      <c r="E634" s="94"/>
      <c r="F634" s="95">
        <v>10</v>
      </c>
      <c r="G634" s="93" t="s">
        <v>301</v>
      </c>
      <c r="H634" s="93" t="s">
        <v>726</v>
      </c>
      <c r="I634" s="93"/>
      <c r="J634" s="76" t="s">
        <v>1630</v>
      </c>
      <c r="K634" s="73" t="str">
        <f t="shared" si="33"/>
        <v>View on Google Map</v>
      </c>
    </row>
    <row r="635" spans="1:11" x14ac:dyDescent="0.25">
      <c r="A635" s="92">
        <v>1507</v>
      </c>
      <c r="B635" s="93" t="s">
        <v>1631</v>
      </c>
      <c r="C635" s="93" t="s">
        <v>1619</v>
      </c>
      <c r="D635" s="94"/>
      <c r="E635" s="94"/>
      <c r="F635" s="95">
        <v>10</v>
      </c>
      <c r="G635" s="93" t="s">
        <v>301</v>
      </c>
      <c r="H635" s="93" t="s">
        <v>726</v>
      </c>
      <c r="I635" s="93"/>
      <c r="J635" s="76" t="s">
        <v>1632</v>
      </c>
      <c r="K635" s="73" t="str">
        <f t="shared" si="33"/>
        <v>View on Google Map</v>
      </c>
    </row>
    <row r="636" spans="1:11" x14ac:dyDescent="0.25">
      <c r="A636" s="92">
        <v>1501</v>
      </c>
      <c r="B636" s="93" t="s">
        <v>1618</v>
      </c>
      <c r="C636" s="93" t="s">
        <v>1619</v>
      </c>
      <c r="D636" s="94"/>
      <c r="E636" s="94"/>
      <c r="F636" s="95">
        <v>10</v>
      </c>
      <c r="G636" s="93" t="s">
        <v>301</v>
      </c>
      <c r="H636" s="93" t="s">
        <v>726</v>
      </c>
      <c r="I636" s="93"/>
      <c r="J636" s="76" t="s">
        <v>1620</v>
      </c>
      <c r="K636" s="73" t="str">
        <f t="shared" si="33"/>
        <v>View on Google Map</v>
      </c>
    </row>
    <row r="637" spans="1:11" x14ac:dyDescent="0.25">
      <c r="A637" s="92">
        <v>1502</v>
      </c>
      <c r="B637" s="93" t="s">
        <v>1621</v>
      </c>
      <c r="C637" s="93" t="s">
        <v>1619</v>
      </c>
      <c r="D637" s="94"/>
      <c r="E637" s="94"/>
      <c r="F637" s="95">
        <v>10</v>
      </c>
      <c r="G637" s="93" t="s">
        <v>301</v>
      </c>
      <c r="H637" s="93" t="s">
        <v>726</v>
      </c>
      <c r="I637" s="93"/>
      <c r="J637" s="76" t="s">
        <v>1622</v>
      </c>
      <c r="K637" s="73" t="str">
        <f t="shared" si="33"/>
        <v>View on Google Map</v>
      </c>
    </row>
    <row r="638" spans="1:11" x14ac:dyDescent="0.25">
      <c r="A638" s="92">
        <v>1503</v>
      </c>
      <c r="B638" s="93" t="s">
        <v>1623</v>
      </c>
      <c r="C638" s="93" t="s">
        <v>1619</v>
      </c>
      <c r="D638" s="94"/>
      <c r="E638" s="94"/>
      <c r="F638" s="95">
        <v>10</v>
      </c>
      <c r="G638" s="93" t="s">
        <v>301</v>
      </c>
      <c r="H638" s="93" t="s">
        <v>726</v>
      </c>
      <c r="I638" s="93"/>
      <c r="J638" s="76" t="s">
        <v>1624</v>
      </c>
      <c r="K638" s="73" t="str">
        <f t="shared" si="33"/>
        <v>View on Google Map</v>
      </c>
    </row>
    <row r="639" spans="1:11" x14ac:dyDescent="0.25">
      <c r="A639" s="92">
        <v>1504</v>
      </c>
      <c r="B639" s="93" t="s">
        <v>1625</v>
      </c>
      <c r="C639" s="93" t="s">
        <v>1619</v>
      </c>
      <c r="D639" s="94"/>
      <c r="E639" s="94"/>
      <c r="F639" s="95">
        <v>10</v>
      </c>
      <c r="G639" s="93" t="s">
        <v>301</v>
      </c>
      <c r="H639" s="93" t="s">
        <v>726</v>
      </c>
      <c r="I639" s="93"/>
      <c r="J639" s="76" t="s">
        <v>1626</v>
      </c>
      <c r="K639" s="73" t="str">
        <f t="shared" si="33"/>
        <v>View on Google Map</v>
      </c>
    </row>
    <row r="640" spans="1:11" x14ac:dyDescent="0.25">
      <c r="A640" s="92">
        <v>1505</v>
      </c>
      <c r="B640" s="93" t="s">
        <v>1627</v>
      </c>
      <c r="C640" s="93" t="s">
        <v>1619</v>
      </c>
      <c r="D640" s="94"/>
      <c r="E640" s="94"/>
      <c r="F640" s="95">
        <v>10</v>
      </c>
      <c r="G640" s="93" t="s">
        <v>301</v>
      </c>
      <c r="H640" s="93" t="s">
        <v>726</v>
      </c>
      <c r="I640" s="93"/>
      <c r="J640" s="76" t="s">
        <v>1628</v>
      </c>
      <c r="K640" s="73" t="str">
        <f t="shared" si="33"/>
        <v>View on Google Map</v>
      </c>
    </row>
    <row r="641" spans="1:11" x14ac:dyDescent="0.25">
      <c r="A641" s="92">
        <v>1508</v>
      </c>
      <c r="B641" s="93" t="s">
        <v>1633</v>
      </c>
      <c r="C641" s="93" t="s">
        <v>1619</v>
      </c>
      <c r="D641" s="94"/>
      <c r="E641" s="94"/>
      <c r="F641" s="95"/>
      <c r="G641" s="93" t="s">
        <v>269</v>
      </c>
      <c r="H641" s="93" t="s">
        <v>726</v>
      </c>
      <c r="I641" s="93"/>
      <c r="J641" s="76" t="s">
        <v>1634</v>
      </c>
      <c r="K641" s="73" t="str">
        <f t="shared" si="33"/>
        <v>View on Google Map</v>
      </c>
    </row>
    <row r="642" spans="1:11" x14ac:dyDescent="0.25">
      <c r="A642" s="92">
        <v>1701</v>
      </c>
      <c r="B642" s="93" t="s">
        <v>1649</v>
      </c>
      <c r="C642" s="93" t="str">
        <f t="shared" ref="C642:C648" si="34">B642</f>
        <v xml:space="preserve">Rain water         </v>
      </c>
      <c r="D642" s="94"/>
      <c r="E642" s="94"/>
      <c r="F642" s="95"/>
      <c r="G642" s="93" t="s">
        <v>1650</v>
      </c>
      <c r="H642" s="93" t="s">
        <v>726</v>
      </c>
      <c r="I642" s="93"/>
      <c r="J642" s="76" t="s">
        <v>1651</v>
      </c>
      <c r="K642" s="73" t="str">
        <f t="shared" si="33"/>
        <v>View on Google Map</v>
      </c>
    </row>
    <row r="643" spans="1:11" x14ac:dyDescent="0.25">
      <c r="A643" s="92">
        <v>493</v>
      </c>
      <c r="B643" s="93" t="s">
        <v>940</v>
      </c>
      <c r="C643" s="93" t="str">
        <f t="shared" si="34"/>
        <v>Reba Lake</v>
      </c>
      <c r="D643" s="99">
        <v>68.974930000000001</v>
      </c>
      <c r="E643" s="76">
        <v>-150.22107</v>
      </c>
      <c r="F643" s="92">
        <v>364</v>
      </c>
      <c r="G643" s="93" t="s">
        <v>301</v>
      </c>
      <c r="H643" s="93" t="s">
        <v>283</v>
      </c>
      <c r="I643" s="93" t="s">
        <v>284</v>
      </c>
      <c r="J643" s="76" t="s">
        <v>946</v>
      </c>
      <c r="K643" s="73" t="str">
        <f t="shared" si="33"/>
        <v>View on Google Map</v>
      </c>
    </row>
    <row r="644" spans="1:11" x14ac:dyDescent="0.25">
      <c r="A644" s="92">
        <v>405</v>
      </c>
      <c r="B644" s="93" t="s">
        <v>494</v>
      </c>
      <c r="C644" s="93" t="str">
        <f t="shared" si="34"/>
        <v>Reds Lake</v>
      </c>
      <c r="D644" s="94">
        <v>67.837770000000006</v>
      </c>
      <c r="E644" s="76">
        <v>-148.59626</v>
      </c>
      <c r="F644" s="95"/>
      <c r="G644" s="93" t="s">
        <v>301</v>
      </c>
      <c r="H644" s="93" t="s">
        <v>726</v>
      </c>
      <c r="I644" s="93" t="s">
        <v>493</v>
      </c>
      <c r="J644" s="76" t="s">
        <v>946</v>
      </c>
      <c r="K644" s="73" t="str">
        <f t="shared" si="33"/>
        <v>View on Google Map</v>
      </c>
    </row>
    <row r="645" spans="1:11" x14ac:dyDescent="0.25">
      <c r="A645" s="96">
        <v>505</v>
      </c>
      <c r="B645" s="93" t="s">
        <v>566</v>
      </c>
      <c r="C645" s="93" t="str">
        <f t="shared" si="34"/>
        <v>REF1</v>
      </c>
      <c r="D645" s="108">
        <v>68.921059999999997</v>
      </c>
      <c r="E645" s="76">
        <v>-150.34783999999999</v>
      </c>
      <c r="F645" s="95"/>
      <c r="G645" s="93" t="s">
        <v>301</v>
      </c>
      <c r="H645" s="93" t="s">
        <v>283</v>
      </c>
      <c r="I645" s="93" t="s">
        <v>284</v>
      </c>
      <c r="J645" s="76" t="s">
        <v>946</v>
      </c>
      <c r="K645" s="73" t="str">
        <f t="shared" si="33"/>
        <v>View on Google Map</v>
      </c>
    </row>
    <row r="646" spans="1:11" x14ac:dyDescent="0.25">
      <c r="A646" s="92">
        <v>506</v>
      </c>
      <c r="B646" s="93" t="s">
        <v>567</v>
      </c>
      <c r="C646" s="93" t="str">
        <f t="shared" si="34"/>
        <v>REF2</v>
      </c>
      <c r="D646" s="108">
        <v>68.921189999999996</v>
      </c>
      <c r="E646" s="76">
        <v>-150.37015</v>
      </c>
      <c r="F646" s="95"/>
      <c r="G646" s="93" t="s">
        <v>301</v>
      </c>
      <c r="H646" s="93" t="s">
        <v>283</v>
      </c>
      <c r="I646" s="93" t="s">
        <v>284</v>
      </c>
      <c r="J646" s="76" t="s">
        <v>946</v>
      </c>
      <c r="K646" s="73" t="str">
        <f t="shared" si="33"/>
        <v>View on Google Map</v>
      </c>
    </row>
    <row r="647" spans="1:11" x14ac:dyDescent="0.25">
      <c r="A647" s="96">
        <v>507</v>
      </c>
      <c r="B647" s="93" t="s">
        <v>568</v>
      </c>
      <c r="C647" s="93" t="str">
        <f t="shared" si="34"/>
        <v>REF3</v>
      </c>
      <c r="D647" s="108">
        <v>68.936949999999996</v>
      </c>
      <c r="E647" s="76">
        <v>-150.35310000000001</v>
      </c>
      <c r="F647" s="95"/>
      <c r="G647" s="93" t="s">
        <v>301</v>
      </c>
      <c r="H647" s="93" t="s">
        <v>283</v>
      </c>
      <c r="I647" s="93" t="s">
        <v>284</v>
      </c>
      <c r="J647" s="76" t="s">
        <v>946</v>
      </c>
      <c r="K647" s="73" t="str">
        <f t="shared" si="33"/>
        <v>View on Google Map</v>
      </c>
    </row>
    <row r="648" spans="1:11" x14ac:dyDescent="0.25">
      <c r="A648" s="92">
        <v>12</v>
      </c>
      <c r="B648" s="93" t="s">
        <v>1359</v>
      </c>
      <c r="C648" s="93" t="str">
        <f t="shared" si="34"/>
        <v>Ribdon River</v>
      </c>
      <c r="D648" s="94"/>
      <c r="E648" s="76"/>
      <c r="F648" s="95"/>
      <c r="G648" s="93" t="s">
        <v>269</v>
      </c>
      <c r="H648" s="93" t="s">
        <v>726</v>
      </c>
      <c r="I648" s="93"/>
      <c r="J648" s="76" t="s">
        <v>946</v>
      </c>
      <c r="K648" s="73" t="str">
        <f t="shared" si="33"/>
        <v>View on Google Map</v>
      </c>
    </row>
    <row r="649" spans="1:11" x14ac:dyDescent="0.25">
      <c r="A649" s="92">
        <v>4</v>
      </c>
      <c r="B649" s="93" t="s">
        <v>275</v>
      </c>
      <c r="C649" s="93" t="s">
        <v>725</v>
      </c>
      <c r="D649" s="94">
        <v>68.38333333333334</v>
      </c>
      <c r="E649" s="76">
        <v>-149.316666666667</v>
      </c>
      <c r="F649" s="95">
        <v>869</v>
      </c>
      <c r="G649" s="93" t="s">
        <v>269</v>
      </c>
      <c r="H649" s="93" t="s">
        <v>726</v>
      </c>
      <c r="I649" s="93" t="s">
        <v>272</v>
      </c>
      <c r="J649" s="76" t="s">
        <v>1321</v>
      </c>
      <c r="K649" s="73" t="str">
        <f t="shared" si="33"/>
        <v>View on Google Map</v>
      </c>
    </row>
    <row r="650" spans="1:11" x14ac:dyDescent="0.25">
      <c r="A650" s="102">
        <v>1212</v>
      </c>
      <c r="B650" s="101" t="s">
        <v>859</v>
      </c>
      <c r="C650" s="101" t="s">
        <v>647</v>
      </c>
      <c r="D650" s="99">
        <v>69.003997835999996</v>
      </c>
      <c r="E650" s="76">
        <v>-150.472528208</v>
      </c>
      <c r="F650" s="92"/>
      <c r="G650" s="93" t="s">
        <v>619</v>
      </c>
      <c r="H650" s="93" t="s">
        <v>625</v>
      </c>
      <c r="I650" s="93" t="s">
        <v>284</v>
      </c>
      <c r="J650" s="76" t="s">
        <v>946</v>
      </c>
      <c r="K650" s="73" t="str">
        <f t="shared" si="33"/>
        <v>View on Google Map</v>
      </c>
    </row>
    <row r="651" spans="1:11" x14ac:dyDescent="0.25">
      <c r="A651" s="102">
        <v>1213</v>
      </c>
      <c r="B651" s="101" t="s">
        <v>860</v>
      </c>
      <c r="C651" s="101" t="s">
        <v>647</v>
      </c>
      <c r="D651" s="99">
        <v>68.988346581000002</v>
      </c>
      <c r="E651" s="76">
        <v>-150.41311369300001</v>
      </c>
      <c r="F651" s="92"/>
      <c r="G651" s="93" t="s">
        <v>619</v>
      </c>
      <c r="H651" s="93" t="s">
        <v>625</v>
      </c>
      <c r="I651" s="93" t="s">
        <v>284</v>
      </c>
      <c r="J651" s="76" t="s">
        <v>946</v>
      </c>
      <c r="K651" s="73" t="str">
        <f t="shared" si="33"/>
        <v>View on Google Map</v>
      </c>
    </row>
    <row r="652" spans="1:11" x14ac:dyDescent="0.25">
      <c r="A652" s="102">
        <v>1214</v>
      </c>
      <c r="B652" s="101" t="s">
        <v>861</v>
      </c>
      <c r="C652" s="101" t="s">
        <v>862</v>
      </c>
      <c r="D652" s="99">
        <v>69.006649865</v>
      </c>
      <c r="E652" s="76">
        <v>-150.19539394200001</v>
      </c>
      <c r="F652" s="102"/>
      <c r="G652" s="93" t="s">
        <v>619</v>
      </c>
      <c r="H652" s="93" t="s">
        <v>625</v>
      </c>
      <c r="I652" s="93" t="s">
        <v>284</v>
      </c>
      <c r="J652" s="76" t="s">
        <v>946</v>
      </c>
      <c r="K652" s="73" t="str">
        <f t="shared" si="33"/>
        <v>View on Google Map</v>
      </c>
    </row>
    <row r="653" spans="1:11" x14ac:dyDescent="0.25">
      <c r="A653" s="102">
        <v>1215</v>
      </c>
      <c r="B653" s="101" t="s">
        <v>863</v>
      </c>
      <c r="C653" s="101" t="s">
        <v>862</v>
      </c>
      <c r="D653" s="99">
        <v>68.997792770000004</v>
      </c>
      <c r="E653" s="76">
        <v>-150.28808424799999</v>
      </c>
      <c r="F653" s="102"/>
      <c r="G653" s="93" t="s">
        <v>619</v>
      </c>
      <c r="H653" s="93" t="s">
        <v>625</v>
      </c>
      <c r="I653" s="93" t="s">
        <v>284</v>
      </c>
      <c r="J653" s="76" t="s">
        <v>946</v>
      </c>
      <c r="K653" s="73" t="str">
        <f t="shared" si="33"/>
        <v>View on Google Map</v>
      </c>
    </row>
    <row r="654" spans="1:11" x14ac:dyDescent="0.25">
      <c r="A654" s="102">
        <v>1216</v>
      </c>
      <c r="B654" s="101" t="s">
        <v>864</v>
      </c>
      <c r="C654" s="101" t="s">
        <v>862</v>
      </c>
      <c r="D654" s="99">
        <v>68.920811889000007</v>
      </c>
      <c r="E654" s="76">
        <v>-150.46590179500001</v>
      </c>
      <c r="F654" s="102"/>
      <c r="G654" s="93" t="s">
        <v>619</v>
      </c>
      <c r="H654" s="93" t="s">
        <v>625</v>
      </c>
      <c r="I654" s="93" t="s">
        <v>284</v>
      </c>
      <c r="J654" s="76" t="s">
        <v>946</v>
      </c>
      <c r="K654" s="73" t="str">
        <f t="shared" si="33"/>
        <v>View on Google Map</v>
      </c>
    </row>
    <row r="655" spans="1:11" x14ac:dyDescent="0.25">
      <c r="A655" s="102">
        <v>1217</v>
      </c>
      <c r="B655" s="101" t="s">
        <v>865</v>
      </c>
      <c r="C655" s="101" t="s">
        <v>862</v>
      </c>
      <c r="D655" s="99">
        <v>68.940434597000007</v>
      </c>
      <c r="E655" s="76">
        <v>-150.41849157199999</v>
      </c>
      <c r="F655" s="102"/>
      <c r="G655" s="93" t="s">
        <v>619</v>
      </c>
      <c r="H655" s="93" t="s">
        <v>625</v>
      </c>
      <c r="I655" s="93" t="s">
        <v>284</v>
      </c>
      <c r="J655" s="76" t="s">
        <v>946</v>
      </c>
      <c r="K655" s="73" t="str">
        <f t="shared" si="33"/>
        <v>View on Google Map</v>
      </c>
    </row>
    <row r="656" spans="1:11" x14ac:dyDescent="0.25">
      <c r="A656" s="102">
        <v>1218</v>
      </c>
      <c r="B656" s="101" t="s">
        <v>866</v>
      </c>
      <c r="C656" s="101" t="s">
        <v>862</v>
      </c>
      <c r="D656" s="99">
        <v>68.923160043999999</v>
      </c>
      <c r="E656" s="76">
        <v>-150.19439659700001</v>
      </c>
      <c r="F656" s="102"/>
      <c r="G656" s="93" t="s">
        <v>619</v>
      </c>
      <c r="H656" s="93" t="s">
        <v>625</v>
      </c>
      <c r="I656" s="93" t="s">
        <v>284</v>
      </c>
      <c r="J656" s="76" t="s">
        <v>946</v>
      </c>
      <c r="K656" s="73" t="str">
        <f t="shared" si="33"/>
        <v>View on Google Map</v>
      </c>
    </row>
    <row r="657" spans="1:11" x14ac:dyDescent="0.25">
      <c r="A657" s="102">
        <v>1219</v>
      </c>
      <c r="B657" s="101" t="s">
        <v>867</v>
      </c>
      <c r="C657" s="101" t="s">
        <v>862</v>
      </c>
      <c r="D657" s="99">
        <v>68.938053299000003</v>
      </c>
      <c r="E657" s="76">
        <v>-150.24911316999999</v>
      </c>
      <c r="F657" s="102"/>
      <c r="G657" s="93" t="s">
        <v>619</v>
      </c>
      <c r="H657" s="93" t="s">
        <v>625</v>
      </c>
      <c r="I657" s="93" t="s">
        <v>284</v>
      </c>
      <c r="J657" s="76" t="s">
        <v>946</v>
      </c>
      <c r="K657" s="73" t="str">
        <f t="shared" si="33"/>
        <v>View on Google Map</v>
      </c>
    </row>
    <row r="658" spans="1:11" x14ac:dyDescent="0.25">
      <c r="A658" s="92">
        <v>148</v>
      </c>
      <c r="B658" s="93" t="s">
        <v>352</v>
      </c>
      <c r="C658" s="93" t="str">
        <f t="shared" ref="C658:C682" si="35">B658</f>
        <v>S 01</v>
      </c>
      <c r="D658" s="94">
        <v>68.624520000000004</v>
      </c>
      <c r="E658" s="76">
        <v>-149.60211000000001</v>
      </c>
      <c r="F658" s="95">
        <v>720</v>
      </c>
      <c r="G658" s="93" t="s">
        <v>301</v>
      </c>
      <c r="H658" s="93" t="s">
        <v>726</v>
      </c>
      <c r="I658" s="93"/>
      <c r="J658" s="76" t="s">
        <v>946</v>
      </c>
      <c r="K658" s="73" t="str">
        <f t="shared" si="33"/>
        <v>View on Google Map</v>
      </c>
    </row>
    <row r="659" spans="1:11" x14ac:dyDescent="0.25">
      <c r="A659" s="92">
        <v>149</v>
      </c>
      <c r="B659" s="93" t="s">
        <v>353</v>
      </c>
      <c r="C659" s="93" t="str">
        <f t="shared" si="35"/>
        <v>S 02</v>
      </c>
      <c r="D659" s="94">
        <v>68.627170000000007</v>
      </c>
      <c r="E659" s="76">
        <v>-149.61138</v>
      </c>
      <c r="F659" s="95">
        <v>720</v>
      </c>
      <c r="G659" s="93" t="s">
        <v>301</v>
      </c>
      <c r="H659" s="93" t="s">
        <v>726</v>
      </c>
      <c r="I659" s="93"/>
      <c r="J659" s="76" t="s">
        <v>946</v>
      </c>
      <c r="K659" s="73" t="str">
        <f t="shared" si="33"/>
        <v>View on Google Map</v>
      </c>
    </row>
    <row r="660" spans="1:11" x14ac:dyDescent="0.25">
      <c r="A660" s="92">
        <v>150</v>
      </c>
      <c r="B660" s="93" t="s">
        <v>354</v>
      </c>
      <c r="C660" s="93" t="str">
        <f t="shared" si="35"/>
        <v>S 03</v>
      </c>
      <c r="D660" s="94">
        <v>68.628639000000007</v>
      </c>
      <c r="E660" s="76">
        <v>-149.62509030000001</v>
      </c>
      <c r="F660" s="95">
        <v>720</v>
      </c>
      <c r="G660" s="93" t="s">
        <v>301</v>
      </c>
      <c r="H660" s="93" t="s">
        <v>726</v>
      </c>
      <c r="I660" s="93"/>
      <c r="J660" s="76" t="s">
        <v>946</v>
      </c>
      <c r="K660" s="73" t="str">
        <f t="shared" si="33"/>
        <v>View on Google Map</v>
      </c>
    </row>
    <row r="661" spans="1:11" x14ac:dyDescent="0.25">
      <c r="A661" s="92">
        <v>151</v>
      </c>
      <c r="B661" s="93" t="s">
        <v>355</v>
      </c>
      <c r="C661" s="93" t="str">
        <f t="shared" si="35"/>
        <v>S 04</v>
      </c>
      <c r="D661" s="94">
        <v>68.630949999999999</v>
      </c>
      <c r="E661" s="76">
        <v>-149.63001</v>
      </c>
      <c r="F661" s="95"/>
      <c r="G661" s="93" t="s">
        <v>301</v>
      </c>
      <c r="H661" s="93" t="s">
        <v>726</v>
      </c>
      <c r="I661" s="93"/>
      <c r="J661" s="76" t="s">
        <v>946</v>
      </c>
      <c r="K661" s="73" t="str">
        <f t="shared" si="33"/>
        <v>View on Google Map</v>
      </c>
    </row>
    <row r="662" spans="1:11" x14ac:dyDescent="0.25">
      <c r="A662" s="92">
        <v>106</v>
      </c>
      <c r="B662" s="93" t="s">
        <v>307</v>
      </c>
      <c r="C662" s="93" t="str">
        <f t="shared" si="35"/>
        <v>S 05</v>
      </c>
      <c r="D662" s="93">
        <v>68.631450000000001</v>
      </c>
      <c r="E662" s="76">
        <v>-149.63669999999999</v>
      </c>
      <c r="F662" s="95">
        <v>725</v>
      </c>
      <c r="G662" s="93" t="s">
        <v>301</v>
      </c>
      <c r="H662" s="93" t="s">
        <v>726</v>
      </c>
      <c r="I662" s="93"/>
      <c r="J662" s="76" t="s">
        <v>1322</v>
      </c>
      <c r="K662" s="73" t="str">
        <f t="shared" si="33"/>
        <v>View on Google Map</v>
      </c>
    </row>
    <row r="663" spans="1:11" x14ac:dyDescent="0.25">
      <c r="A663" s="92">
        <v>107</v>
      </c>
      <c r="B663" s="93" t="s">
        <v>308</v>
      </c>
      <c r="C663" s="93" t="str">
        <f t="shared" si="35"/>
        <v>S 06</v>
      </c>
      <c r="D663" s="93">
        <v>68.629419999999996</v>
      </c>
      <c r="E663" s="76">
        <v>-149.64159000000001</v>
      </c>
      <c r="F663" s="95">
        <v>731</v>
      </c>
      <c r="G663" s="93" t="s">
        <v>301</v>
      </c>
      <c r="H663" s="93" t="s">
        <v>726</v>
      </c>
      <c r="I663" s="93"/>
      <c r="J663" s="76" t="s">
        <v>1323</v>
      </c>
      <c r="K663" s="73" t="str">
        <f t="shared" si="33"/>
        <v>View on Google Map</v>
      </c>
    </row>
    <row r="664" spans="1:11" x14ac:dyDescent="0.25">
      <c r="A664" s="92">
        <v>1603</v>
      </c>
      <c r="B664" s="93" t="s">
        <v>1641</v>
      </c>
      <c r="C664" s="93" t="str">
        <f t="shared" si="35"/>
        <v>S 06 Outlet</v>
      </c>
      <c r="D664" s="94"/>
      <c r="E664" s="94"/>
      <c r="F664" s="95"/>
      <c r="G664" s="93" t="s">
        <v>269</v>
      </c>
      <c r="H664" s="93" t="s">
        <v>726</v>
      </c>
      <c r="I664" s="93"/>
      <c r="J664" s="76" t="s">
        <v>1642</v>
      </c>
      <c r="K664" s="73" t="str">
        <f t="shared" si="33"/>
        <v>View on Google Map</v>
      </c>
    </row>
    <row r="665" spans="1:11" x14ac:dyDescent="0.25">
      <c r="A665" s="92">
        <v>152</v>
      </c>
      <c r="B665" s="93" t="s">
        <v>356</v>
      </c>
      <c r="C665" s="93" t="str">
        <f t="shared" si="35"/>
        <v>S 07</v>
      </c>
      <c r="D665" s="94">
        <v>68.630200000000002</v>
      </c>
      <c r="E665" s="76">
        <v>-149.64365000000001</v>
      </c>
      <c r="F665" s="95">
        <v>731</v>
      </c>
      <c r="G665" s="93" t="s">
        <v>301</v>
      </c>
      <c r="H665" s="93" t="s">
        <v>726</v>
      </c>
      <c r="I665" s="93"/>
      <c r="J665" s="76" t="s">
        <v>946</v>
      </c>
      <c r="K665" s="73" t="str">
        <f t="shared" si="33"/>
        <v>View on Google Map</v>
      </c>
    </row>
    <row r="666" spans="1:11" x14ac:dyDescent="0.25">
      <c r="A666" s="92">
        <v>1601</v>
      </c>
      <c r="B666" s="93" t="s">
        <v>1637</v>
      </c>
      <c r="C666" s="93" t="str">
        <f t="shared" si="35"/>
        <v>S 07 Inlet</v>
      </c>
      <c r="D666" s="94"/>
      <c r="E666" s="94"/>
      <c r="F666" s="95"/>
      <c r="G666" s="93" t="s">
        <v>269</v>
      </c>
      <c r="H666" s="93" t="s">
        <v>726</v>
      </c>
      <c r="I666" s="93"/>
      <c r="J666" s="76" t="s">
        <v>1638</v>
      </c>
      <c r="K666" s="73" t="str">
        <f t="shared" si="33"/>
        <v>View on Google Map</v>
      </c>
    </row>
    <row r="667" spans="1:11" x14ac:dyDescent="0.25">
      <c r="A667" s="92">
        <v>1602</v>
      </c>
      <c r="B667" s="93" t="s">
        <v>1639</v>
      </c>
      <c r="C667" s="93" t="str">
        <f t="shared" si="35"/>
        <v xml:space="preserve">S 07 into S 06        </v>
      </c>
      <c r="D667" s="94"/>
      <c r="E667" s="94"/>
      <c r="F667" s="95"/>
      <c r="G667" s="93" t="s">
        <v>269</v>
      </c>
      <c r="H667" s="93" t="s">
        <v>726</v>
      </c>
      <c r="I667" s="93"/>
      <c r="J667" s="76" t="s">
        <v>1640</v>
      </c>
      <c r="K667" s="73" t="str">
        <f t="shared" si="33"/>
        <v>View on Google Map</v>
      </c>
    </row>
    <row r="668" spans="1:11" x14ac:dyDescent="0.25">
      <c r="A668" s="92">
        <v>153</v>
      </c>
      <c r="B668" s="93" t="s">
        <v>1381</v>
      </c>
      <c r="C668" s="93" t="str">
        <f t="shared" si="35"/>
        <v>S 08</v>
      </c>
      <c r="D668" s="94" t="s">
        <v>946</v>
      </c>
      <c r="E668" s="76" t="s">
        <v>946</v>
      </c>
      <c r="F668" s="95"/>
      <c r="G668" s="93" t="s">
        <v>301</v>
      </c>
      <c r="H668" s="93" t="s">
        <v>726</v>
      </c>
      <c r="I668" s="93"/>
      <c r="J668" s="76" t="s">
        <v>946</v>
      </c>
      <c r="K668" s="73" t="str">
        <f t="shared" si="33"/>
        <v>View on Google Map</v>
      </c>
    </row>
    <row r="669" spans="1:11" x14ac:dyDescent="0.25">
      <c r="A669" s="92">
        <v>154</v>
      </c>
      <c r="B669" s="93" t="s">
        <v>1382</v>
      </c>
      <c r="C669" s="93" t="str">
        <f t="shared" si="35"/>
        <v>S 09</v>
      </c>
      <c r="D669" s="94" t="s">
        <v>946</v>
      </c>
      <c r="E669" s="76" t="s">
        <v>946</v>
      </c>
      <c r="F669" s="95"/>
      <c r="G669" s="93" t="s">
        <v>301</v>
      </c>
      <c r="H669" s="93" t="s">
        <v>726</v>
      </c>
      <c r="I669" s="93"/>
      <c r="J669" s="76" t="s">
        <v>946</v>
      </c>
      <c r="K669" s="73" t="str">
        <f t="shared" si="33"/>
        <v>View on Google Map</v>
      </c>
    </row>
    <row r="670" spans="1:11" x14ac:dyDescent="0.25">
      <c r="A670" s="92">
        <v>155</v>
      </c>
      <c r="B670" s="93" t="s">
        <v>357</v>
      </c>
      <c r="C670" s="93" t="str">
        <f t="shared" si="35"/>
        <v>S 10</v>
      </c>
      <c r="D670" s="94">
        <v>68.624120000000005</v>
      </c>
      <c r="E670" s="76">
        <v>-149.67912000000001</v>
      </c>
      <c r="F670" s="95"/>
      <c r="G670" s="93" t="s">
        <v>301</v>
      </c>
      <c r="H670" s="93" t="s">
        <v>726</v>
      </c>
      <c r="I670" s="93"/>
      <c r="J670" s="76" t="s">
        <v>946</v>
      </c>
      <c r="K670" s="73" t="str">
        <f t="shared" si="33"/>
        <v>View on Google Map</v>
      </c>
    </row>
    <row r="671" spans="1:11" x14ac:dyDescent="0.25">
      <c r="A671" s="92">
        <v>156</v>
      </c>
      <c r="B671" s="93" t="s">
        <v>358</v>
      </c>
      <c r="C671" s="93" t="str">
        <f t="shared" si="35"/>
        <v>S 11</v>
      </c>
      <c r="D671" s="94">
        <v>68.630099999999999</v>
      </c>
      <c r="E671" s="76">
        <v>-149.65064000000001</v>
      </c>
      <c r="F671" s="95">
        <v>750</v>
      </c>
      <c r="G671" s="93" t="s">
        <v>301</v>
      </c>
      <c r="H671" s="93" t="s">
        <v>726</v>
      </c>
      <c r="I671" s="93"/>
      <c r="J671" s="76" t="s">
        <v>946</v>
      </c>
      <c r="K671" s="73" t="str">
        <f t="shared" si="33"/>
        <v>View on Google Map</v>
      </c>
    </row>
    <row r="672" spans="1:11" x14ac:dyDescent="0.25">
      <c r="A672" s="92">
        <v>157</v>
      </c>
      <c r="B672" s="93" t="s">
        <v>359</v>
      </c>
      <c r="C672" s="93" t="str">
        <f t="shared" si="35"/>
        <v>S 12</v>
      </c>
      <c r="D672" s="94">
        <v>68.629580000000004</v>
      </c>
      <c r="E672" s="76">
        <v>-149.65583000000001</v>
      </c>
      <c r="F672" s="95">
        <v>754</v>
      </c>
      <c r="G672" s="93" t="s">
        <v>301</v>
      </c>
      <c r="H672" s="93" t="s">
        <v>726</v>
      </c>
      <c r="I672" s="93"/>
      <c r="J672" s="76" t="s">
        <v>946</v>
      </c>
      <c r="K672" s="73" t="str">
        <f t="shared" si="33"/>
        <v>View on Google Map</v>
      </c>
    </row>
    <row r="673" spans="1:11" x14ac:dyDescent="0.25">
      <c r="A673" s="92">
        <v>158</v>
      </c>
      <c r="B673" s="93" t="s">
        <v>360</v>
      </c>
      <c r="C673" s="93" t="str">
        <f t="shared" si="35"/>
        <v>S 13</v>
      </c>
      <c r="D673" s="94">
        <v>68.631450000000001</v>
      </c>
      <c r="E673" s="76">
        <v>-149.6592886</v>
      </c>
      <c r="F673" s="95">
        <v>754</v>
      </c>
      <c r="G673" s="93" t="s">
        <v>301</v>
      </c>
      <c r="H673" s="93" t="s">
        <v>726</v>
      </c>
      <c r="I673" s="93"/>
      <c r="J673" s="76" t="s">
        <v>946</v>
      </c>
      <c r="K673" s="73" t="str">
        <f t="shared" si="33"/>
        <v>View on Google Map</v>
      </c>
    </row>
    <row r="674" spans="1:11" x14ac:dyDescent="0.25">
      <c r="A674" s="92">
        <v>592</v>
      </c>
      <c r="B674" s="111" t="s">
        <v>868</v>
      </c>
      <c r="C674" s="93" t="str">
        <f t="shared" si="35"/>
        <v>S 14</v>
      </c>
      <c r="D674" s="112">
        <v>68.635999999999996</v>
      </c>
      <c r="E674" s="76">
        <v>-149.6516</v>
      </c>
      <c r="F674" s="106"/>
      <c r="G674" s="93"/>
      <c r="H674" s="93"/>
      <c r="I674" s="93"/>
      <c r="J674" s="76" t="s">
        <v>1324</v>
      </c>
      <c r="K674" s="73" t="str">
        <f t="shared" si="33"/>
        <v>View on Google Map</v>
      </c>
    </row>
    <row r="675" spans="1:11" x14ac:dyDescent="0.25">
      <c r="A675" s="92">
        <v>169</v>
      </c>
      <c r="B675" s="93" t="s">
        <v>367</v>
      </c>
      <c r="C675" s="93" t="str">
        <f t="shared" si="35"/>
        <v>Sag 1</v>
      </c>
      <c r="D675" s="94">
        <v>68.744129999999998</v>
      </c>
      <c r="E675" s="76">
        <v>-148.86187000000001</v>
      </c>
      <c r="F675" s="95"/>
      <c r="G675" s="93" t="s">
        <v>301</v>
      </c>
      <c r="H675" s="93" t="s">
        <v>726</v>
      </c>
      <c r="I675" s="93"/>
      <c r="J675" s="76" t="s">
        <v>946</v>
      </c>
      <c r="K675" s="73" t="str">
        <f t="shared" si="33"/>
        <v>View on Google Map</v>
      </c>
    </row>
    <row r="676" spans="1:11" x14ac:dyDescent="0.25">
      <c r="A676" s="92">
        <v>170</v>
      </c>
      <c r="B676" s="93" t="s">
        <v>368</v>
      </c>
      <c r="C676" s="93" t="str">
        <f t="shared" si="35"/>
        <v>Sag 2</v>
      </c>
      <c r="D676" s="94">
        <v>68.741789999999995</v>
      </c>
      <c r="E676" s="76">
        <v>-148.88374999999999</v>
      </c>
      <c r="F676" s="95"/>
      <c r="G676" s="93" t="s">
        <v>301</v>
      </c>
      <c r="H676" s="93" t="s">
        <v>726</v>
      </c>
      <c r="I676" s="93"/>
      <c r="J676" s="76" t="s">
        <v>946</v>
      </c>
      <c r="K676" s="73" t="str">
        <f t="shared" si="33"/>
        <v>View on Google Map</v>
      </c>
    </row>
    <row r="677" spans="1:11" x14ac:dyDescent="0.25">
      <c r="A677" s="92">
        <v>136</v>
      </c>
      <c r="B677" s="93" t="s">
        <v>336</v>
      </c>
      <c r="C677" s="93" t="str">
        <f t="shared" si="35"/>
        <v>Sag C Pit</v>
      </c>
      <c r="D677" s="94">
        <v>70.233329999999995</v>
      </c>
      <c r="E677" s="76">
        <v>-148.25</v>
      </c>
      <c r="F677" s="95">
        <v>10</v>
      </c>
      <c r="G677" s="93" t="s">
        <v>301</v>
      </c>
      <c r="H677" s="93" t="s">
        <v>726</v>
      </c>
      <c r="I677" s="93" t="s">
        <v>272</v>
      </c>
      <c r="J677" s="76" t="s">
        <v>1325</v>
      </c>
      <c r="K677" s="73" t="str">
        <f t="shared" si="33"/>
        <v>View on Google Map</v>
      </c>
    </row>
    <row r="678" spans="1:11" x14ac:dyDescent="0.25">
      <c r="A678" s="124">
        <v>1258</v>
      </c>
      <c r="B678" s="97" t="s">
        <v>869</v>
      </c>
      <c r="C678" s="93" t="str">
        <f t="shared" si="35"/>
        <v>Sagavanirktok north of ice cut</v>
      </c>
      <c r="D678" s="125">
        <v>69.097639999999998</v>
      </c>
      <c r="E678" s="76">
        <v>-148.81388999999999</v>
      </c>
      <c r="F678" s="115">
        <v>328</v>
      </c>
      <c r="G678" s="97"/>
      <c r="H678" s="97"/>
      <c r="I678" s="97"/>
      <c r="J678" s="76" t="s">
        <v>1326</v>
      </c>
      <c r="K678" s="73" t="str">
        <f t="shared" si="33"/>
        <v>View on Google Map</v>
      </c>
    </row>
    <row r="679" spans="1:11" x14ac:dyDescent="0.25">
      <c r="A679" s="92">
        <v>6</v>
      </c>
      <c r="B679" s="93" t="s">
        <v>1353</v>
      </c>
      <c r="C679" s="93" t="str">
        <f t="shared" si="35"/>
        <v>Sagavanirktok River</v>
      </c>
      <c r="D679" s="76"/>
      <c r="E679" s="76"/>
      <c r="F679" s="95">
        <v>457</v>
      </c>
      <c r="G679" s="93" t="s">
        <v>269</v>
      </c>
      <c r="H679" s="93" t="s">
        <v>726</v>
      </c>
      <c r="I679" s="93" t="s">
        <v>272</v>
      </c>
      <c r="J679" s="76" t="s">
        <v>1354</v>
      </c>
      <c r="K679" s="73" t="str">
        <f t="shared" si="33"/>
        <v>View on Google Map</v>
      </c>
    </row>
    <row r="680" spans="1:11" x14ac:dyDescent="0.25">
      <c r="A680" s="124">
        <v>1256</v>
      </c>
      <c r="B680" s="97" t="s">
        <v>870</v>
      </c>
      <c r="C680" s="93" t="str">
        <f t="shared" si="35"/>
        <v>Saviukviayak Tributary 1</v>
      </c>
      <c r="D680" s="125">
        <v>68.85566</v>
      </c>
      <c r="E680" s="76">
        <v>-148.01451</v>
      </c>
      <c r="F680" s="115">
        <v>519</v>
      </c>
      <c r="G680" s="97"/>
      <c r="H680" s="97" t="s">
        <v>730</v>
      </c>
      <c r="I680" s="97"/>
      <c r="J680" s="76" t="s">
        <v>946</v>
      </c>
      <c r="K680" s="73" t="str">
        <f t="shared" si="33"/>
        <v>View on Google Map</v>
      </c>
    </row>
    <row r="681" spans="1:11" x14ac:dyDescent="0.25">
      <c r="A681" s="124">
        <v>1257</v>
      </c>
      <c r="B681" s="97" t="s">
        <v>871</v>
      </c>
      <c r="C681" s="93" t="str">
        <f t="shared" si="35"/>
        <v>Saviukviayak Tributary 2</v>
      </c>
      <c r="D681" s="125">
        <v>68.925299999999993</v>
      </c>
      <c r="E681" s="76">
        <v>-148.16377</v>
      </c>
      <c r="F681" s="115">
        <v>447</v>
      </c>
      <c r="G681" s="97"/>
      <c r="H681" s="97" t="s">
        <v>730</v>
      </c>
      <c r="I681" s="97"/>
      <c r="J681" s="76" t="s">
        <v>946</v>
      </c>
      <c r="K681" s="73" t="str">
        <f t="shared" si="33"/>
        <v>View on Google Map</v>
      </c>
    </row>
    <row r="682" spans="1:11" x14ac:dyDescent="0.25">
      <c r="A682" s="92">
        <v>20</v>
      </c>
      <c r="B682" s="93" t="s">
        <v>1363</v>
      </c>
      <c r="C682" s="93" t="str">
        <f t="shared" si="35"/>
        <v>Section Creek</v>
      </c>
      <c r="D682" s="94"/>
      <c r="E682" s="76"/>
      <c r="F682" s="95"/>
      <c r="G682" s="93" t="s">
        <v>269</v>
      </c>
      <c r="H682" s="93" t="s">
        <v>726</v>
      </c>
      <c r="I682" s="93"/>
      <c r="J682" s="76" t="s">
        <v>946</v>
      </c>
      <c r="K682" s="73" t="str">
        <f t="shared" si="33"/>
        <v>View on Google Map</v>
      </c>
    </row>
    <row r="683" spans="1:11" x14ac:dyDescent="0.25">
      <c r="A683" s="102">
        <v>1176</v>
      </c>
      <c r="B683" s="101" t="s">
        <v>629</v>
      </c>
      <c r="C683" s="101" t="s">
        <v>630</v>
      </c>
      <c r="D683" s="99">
        <v>68.996418329999997</v>
      </c>
      <c r="E683" s="76">
        <v>-150.27895670000001</v>
      </c>
      <c r="F683" s="92"/>
      <c r="G683" s="93" t="s">
        <v>619</v>
      </c>
      <c r="H683" s="93" t="s">
        <v>625</v>
      </c>
      <c r="I683" s="93" t="s">
        <v>284</v>
      </c>
      <c r="J683" s="76" t="s">
        <v>946</v>
      </c>
      <c r="K683" s="73" t="str">
        <f t="shared" si="33"/>
        <v>View on Google Map</v>
      </c>
    </row>
    <row r="684" spans="1:11" x14ac:dyDescent="0.25">
      <c r="A684" s="96">
        <v>509</v>
      </c>
      <c r="B684" s="93" t="s">
        <v>572</v>
      </c>
      <c r="C684" s="93" t="s">
        <v>570</v>
      </c>
      <c r="D684" s="109">
        <v>68.338130000000007</v>
      </c>
      <c r="E684" s="76">
        <v>-151.06173999999999</v>
      </c>
      <c r="F684" s="106">
        <v>840</v>
      </c>
      <c r="G684" s="93" t="s">
        <v>301</v>
      </c>
      <c r="H684" s="93" t="s">
        <v>516</v>
      </c>
      <c r="I684" s="93" t="s">
        <v>571</v>
      </c>
      <c r="J684" s="76" t="s">
        <v>946</v>
      </c>
      <c r="K684" s="73" t="str">
        <f t="shared" si="33"/>
        <v>View on Google Map</v>
      </c>
    </row>
    <row r="685" spans="1:11" x14ac:dyDescent="0.25">
      <c r="A685" s="96">
        <v>595</v>
      </c>
      <c r="B685" s="113" t="s">
        <v>872</v>
      </c>
      <c r="C685" s="93" t="str">
        <f>B685</f>
        <v>Shasta</v>
      </c>
      <c r="D685" s="114">
        <v>68.922152999999994</v>
      </c>
      <c r="E685" s="76">
        <v>-150.348839</v>
      </c>
      <c r="F685" s="115">
        <v>393</v>
      </c>
      <c r="G685" s="97" t="s">
        <v>301</v>
      </c>
      <c r="H685" s="97"/>
      <c r="I685" s="97"/>
      <c r="J685" s="76" t="s">
        <v>1327</v>
      </c>
      <c r="K685" s="73" t="str">
        <f t="shared" si="33"/>
        <v>View on Google Map</v>
      </c>
    </row>
    <row r="686" spans="1:11" x14ac:dyDescent="0.25">
      <c r="A686" s="92">
        <v>36</v>
      </c>
      <c r="B686" s="98" t="s">
        <v>289</v>
      </c>
      <c r="C686" s="93" t="str">
        <f>B686</f>
        <v>Shrew River</v>
      </c>
      <c r="D686" s="94">
        <v>69.233333333333334</v>
      </c>
      <c r="E686" s="76">
        <v>-150.804383333</v>
      </c>
      <c r="F686" s="96">
        <v>181.97</v>
      </c>
      <c r="G686" s="93" t="s">
        <v>269</v>
      </c>
      <c r="H686" s="93" t="s">
        <v>283</v>
      </c>
      <c r="I686" s="93" t="s">
        <v>284</v>
      </c>
      <c r="J686" s="76" t="s">
        <v>946</v>
      </c>
      <c r="K686" s="73" t="str">
        <f t="shared" si="33"/>
        <v>View on Google Map</v>
      </c>
    </row>
    <row r="687" spans="1:11" x14ac:dyDescent="0.25">
      <c r="A687" s="92">
        <v>37</v>
      </c>
      <c r="B687" s="98" t="s">
        <v>290</v>
      </c>
      <c r="C687" s="93" t="str">
        <f>B687</f>
        <v>Shrew River North</v>
      </c>
      <c r="D687" s="94">
        <v>69.289683333333301</v>
      </c>
      <c r="E687" s="76">
        <v>-150.91499999999999</v>
      </c>
      <c r="F687" s="92">
        <v>392</v>
      </c>
      <c r="G687" s="93" t="s">
        <v>269</v>
      </c>
      <c r="H687" s="93" t="s">
        <v>283</v>
      </c>
      <c r="I687" s="93" t="s">
        <v>284</v>
      </c>
      <c r="J687" s="76" t="s">
        <v>946</v>
      </c>
      <c r="K687" s="73" t="str">
        <f t="shared" si="33"/>
        <v>View on Google Map</v>
      </c>
    </row>
    <row r="688" spans="1:11" x14ac:dyDescent="0.25">
      <c r="A688" s="92">
        <v>130</v>
      </c>
      <c r="B688" s="93" t="s">
        <v>330</v>
      </c>
      <c r="C688" s="93" t="s">
        <v>329</v>
      </c>
      <c r="D688" s="94">
        <v>70.083330000000004</v>
      </c>
      <c r="E688" s="76">
        <v>-148.53333000000001</v>
      </c>
      <c r="F688" s="95">
        <v>24</v>
      </c>
      <c r="G688" s="93" t="s">
        <v>301</v>
      </c>
      <c r="H688" s="93" t="s">
        <v>726</v>
      </c>
      <c r="I688" s="93" t="s">
        <v>272</v>
      </c>
      <c r="J688" s="76" t="s">
        <v>1328</v>
      </c>
      <c r="K688" s="73" t="str">
        <f t="shared" si="33"/>
        <v>View on Google Map</v>
      </c>
    </row>
    <row r="689" spans="1:11" x14ac:dyDescent="0.25">
      <c r="A689" s="96">
        <v>610</v>
      </c>
      <c r="B689" s="117" t="s">
        <v>873</v>
      </c>
      <c r="C689" s="93" t="str">
        <f>B689</f>
        <v>South Killeak Lake</v>
      </c>
      <c r="D689" s="118">
        <v>66.332099999999997</v>
      </c>
      <c r="E689" s="76">
        <v>-164.0967</v>
      </c>
      <c r="F689" s="119">
        <v>36</v>
      </c>
      <c r="G689" s="97" t="s">
        <v>301</v>
      </c>
      <c r="H689" s="97" t="s">
        <v>728</v>
      </c>
      <c r="I689" s="97"/>
      <c r="J689" s="76" t="s">
        <v>946</v>
      </c>
      <c r="K689" s="73" t="str">
        <f t="shared" si="33"/>
        <v>View on Google Map</v>
      </c>
    </row>
    <row r="690" spans="1:11" x14ac:dyDescent="0.25">
      <c r="A690" s="92">
        <v>38</v>
      </c>
      <c r="B690" s="100" t="s">
        <v>291</v>
      </c>
      <c r="C690" s="93" t="str">
        <f>B690</f>
        <v>South River</v>
      </c>
      <c r="D690" s="99">
        <v>69.011899999999997</v>
      </c>
      <c r="E690" s="76">
        <v>-150.30000000000001</v>
      </c>
      <c r="F690" s="96">
        <v>321</v>
      </c>
      <c r="G690" s="93" t="s">
        <v>269</v>
      </c>
      <c r="H690" s="93" t="s">
        <v>283</v>
      </c>
      <c r="I690" s="93" t="s">
        <v>284</v>
      </c>
      <c r="J690" s="76" t="s">
        <v>1329</v>
      </c>
      <c r="K690" s="73" t="str">
        <f t="shared" si="33"/>
        <v>View on Google Map</v>
      </c>
    </row>
    <row r="691" spans="1:11" x14ac:dyDescent="0.25">
      <c r="A691" s="102">
        <v>1211</v>
      </c>
      <c r="B691" s="123" t="s">
        <v>651</v>
      </c>
      <c r="C691" s="101" t="s">
        <v>647</v>
      </c>
      <c r="D691" s="99">
        <v>68.996700000000004</v>
      </c>
      <c r="E691" s="76">
        <v>-150.28142</v>
      </c>
      <c r="F691" s="92"/>
      <c r="G691" s="93" t="s">
        <v>619</v>
      </c>
      <c r="H691" s="93" t="s">
        <v>625</v>
      </c>
      <c r="I691" s="93" t="s">
        <v>284</v>
      </c>
      <c r="J691" s="76" t="s">
        <v>946</v>
      </c>
      <c r="K691" s="73" t="str">
        <f t="shared" si="33"/>
        <v>View on Google Map</v>
      </c>
    </row>
    <row r="692" spans="1:11" x14ac:dyDescent="0.25">
      <c r="A692" s="102">
        <v>1210</v>
      </c>
      <c r="B692" s="123" t="s">
        <v>650</v>
      </c>
      <c r="C692" s="101" t="s">
        <v>647</v>
      </c>
      <c r="D692" s="99">
        <v>68.996700000000004</v>
      </c>
      <c r="E692" s="76">
        <v>-150.28142</v>
      </c>
      <c r="F692" s="92"/>
      <c r="G692" s="93" t="s">
        <v>619</v>
      </c>
      <c r="H692" s="93" t="s">
        <v>625</v>
      </c>
      <c r="I692" s="93" t="s">
        <v>284</v>
      </c>
      <c r="J692" s="76" t="s">
        <v>946</v>
      </c>
      <c r="K692" s="73" t="str">
        <f t="shared" si="33"/>
        <v>View on Google Map</v>
      </c>
    </row>
    <row r="693" spans="1:11" x14ac:dyDescent="0.25">
      <c r="A693" s="92">
        <v>39</v>
      </c>
      <c r="B693" s="98" t="s">
        <v>292</v>
      </c>
      <c r="C693" s="93" t="str">
        <f>B693</f>
        <v>South River Tributary</v>
      </c>
      <c r="D693" s="99">
        <v>68.994600000000005</v>
      </c>
      <c r="E693" s="76">
        <v>-150.30699999999999</v>
      </c>
      <c r="F693" s="96">
        <v>307</v>
      </c>
      <c r="G693" s="93" t="s">
        <v>269</v>
      </c>
      <c r="H693" s="93" t="s">
        <v>283</v>
      </c>
      <c r="I693" s="93" t="s">
        <v>284</v>
      </c>
      <c r="J693" s="76" t="s">
        <v>1330</v>
      </c>
      <c r="K693" s="73" t="str">
        <f t="shared" si="33"/>
        <v>View on Google Map</v>
      </c>
    </row>
    <row r="694" spans="1:11" x14ac:dyDescent="0.25">
      <c r="A694" s="102">
        <v>46</v>
      </c>
      <c r="B694" s="101" t="s">
        <v>298</v>
      </c>
      <c r="C694" s="93" t="str">
        <f>B694</f>
        <v>Test area 1 (Nanushuk River)</v>
      </c>
      <c r="D694" s="99">
        <v>68.891069000000002</v>
      </c>
      <c r="E694" s="76">
        <v>-150.58501899999999</v>
      </c>
      <c r="F694" s="96"/>
      <c r="G694" s="93" t="s">
        <v>269</v>
      </c>
      <c r="H694" s="101" t="s">
        <v>294</v>
      </c>
      <c r="I694" s="93" t="s">
        <v>284</v>
      </c>
      <c r="J694" s="76" t="s">
        <v>946</v>
      </c>
      <c r="K694" s="73" t="str">
        <f t="shared" si="33"/>
        <v>View on Google Map</v>
      </c>
    </row>
    <row r="695" spans="1:11" x14ac:dyDescent="0.25">
      <c r="A695" s="102">
        <v>47</v>
      </c>
      <c r="B695" s="101" t="s">
        <v>299</v>
      </c>
      <c r="C695" s="93" t="s">
        <v>874</v>
      </c>
      <c r="D695" s="99">
        <v>68.966999999999999</v>
      </c>
      <c r="E695" s="76">
        <v>-150.56673000000001</v>
      </c>
      <c r="F695" s="96"/>
      <c r="G695" s="93" t="s">
        <v>269</v>
      </c>
      <c r="H695" s="101" t="s">
        <v>294</v>
      </c>
      <c r="I695" s="93" t="s">
        <v>284</v>
      </c>
      <c r="J695" s="76" t="s">
        <v>946</v>
      </c>
      <c r="K695" s="73" t="str">
        <f t="shared" si="33"/>
        <v>View on Google Map</v>
      </c>
    </row>
    <row r="696" spans="1:11" x14ac:dyDescent="0.25">
      <c r="A696" s="96">
        <v>523</v>
      </c>
      <c r="B696" s="93" t="s">
        <v>586</v>
      </c>
      <c r="C696" s="93" t="s">
        <v>582</v>
      </c>
      <c r="D696" s="109">
        <v>68.626670000000004</v>
      </c>
      <c r="E696" s="76">
        <v>-149.59783999999999</v>
      </c>
      <c r="F696" s="106">
        <v>719</v>
      </c>
      <c r="G696" s="93" t="s">
        <v>301</v>
      </c>
      <c r="H696" s="93" t="s">
        <v>516</v>
      </c>
      <c r="I696" s="93" t="s">
        <v>583</v>
      </c>
      <c r="J696" s="76" t="s">
        <v>946</v>
      </c>
      <c r="K696" s="73" t="str">
        <f t="shared" ref="K696:K759" si="36">HYPERLINK("http://maps.google.com/maps?q="&amp;D696&amp;","&amp;E696,"View on Google Map")</f>
        <v>View on Google Map</v>
      </c>
    </row>
    <row r="697" spans="1:11" x14ac:dyDescent="0.25">
      <c r="A697" s="92">
        <v>524</v>
      </c>
      <c r="B697" s="93" t="s">
        <v>587</v>
      </c>
      <c r="C697" s="93" t="s">
        <v>582</v>
      </c>
      <c r="D697" s="109">
        <v>68.632589999999993</v>
      </c>
      <c r="E697" s="76">
        <v>-149.6009</v>
      </c>
      <c r="F697" s="106">
        <v>719</v>
      </c>
      <c r="G697" s="93" t="s">
        <v>301</v>
      </c>
      <c r="H697" s="93" t="s">
        <v>516</v>
      </c>
      <c r="I697" s="93" t="s">
        <v>583</v>
      </c>
      <c r="J697" s="76" t="s">
        <v>946</v>
      </c>
      <c r="K697" s="73" t="str">
        <f t="shared" si="36"/>
        <v>View on Google Map</v>
      </c>
    </row>
    <row r="698" spans="1:11" x14ac:dyDescent="0.25">
      <c r="A698" s="96">
        <v>525</v>
      </c>
      <c r="B698" s="93" t="s">
        <v>588</v>
      </c>
      <c r="C698" s="93" t="s">
        <v>582</v>
      </c>
      <c r="D698" s="109">
        <v>68.636390000000006</v>
      </c>
      <c r="E698" s="76">
        <v>-149.59477000000001</v>
      </c>
      <c r="F698" s="106">
        <v>719</v>
      </c>
      <c r="G698" s="93" t="s">
        <v>301</v>
      </c>
      <c r="H698" s="93" t="s">
        <v>516</v>
      </c>
      <c r="I698" s="93" t="s">
        <v>583</v>
      </c>
      <c r="J698" s="76" t="s">
        <v>946</v>
      </c>
      <c r="K698" s="73" t="str">
        <f t="shared" si="36"/>
        <v>View on Google Map</v>
      </c>
    </row>
    <row r="699" spans="1:11" x14ac:dyDescent="0.25">
      <c r="A699" s="92">
        <v>13</v>
      </c>
      <c r="B699" s="93" t="s">
        <v>280</v>
      </c>
      <c r="C699" s="93" t="str">
        <f>B699</f>
        <v>Toolik Inlet</v>
      </c>
      <c r="D699" s="94">
        <v>68.625600000000006</v>
      </c>
      <c r="E699" s="76">
        <v>-149.59604999999999</v>
      </c>
      <c r="F699" s="95">
        <v>719</v>
      </c>
      <c r="G699" s="93" t="s">
        <v>269</v>
      </c>
      <c r="H699" s="93" t="s">
        <v>726</v>
      </c>
      <c r="I699" s="93" t="s">
        <v>281</v>
      </c>
      <c r="J699" s="76" t="s">
        <v>1332</v>
      </c>
      <c r="K699" s="73" t="str">
        <f t="shared" si="36"/>
        <v>View on Google Map</v>
      </c>
    </row>
    <row r="700" spans="1:11" x14ac:dyDescent="0.25">
      <c r="A700" s="96">
        <v>522</v>
      </c>
      <c r="B700" s="93" t="s">
        <v>585</v>
      </c>
      <c r="C700" s="93" t="s">
        <v>582</v>
      </c>
      <c r="D700" s="109">
        <v>68.625969999999995</v>
      </c>
      <c r="E700" s="76">
        <v>-149.59902</v>
      </c>
      <c r="F700" s="106">
        <v>719</v>
      </c>
      <c r="G700" s="93" t="s">
        <v>301</v>
      </c>
      <c r="H700" s="93" t="s">
        <v>516</v>
      </c>
      <c r="I700" s="93" t="s">
        <v>583</v>
      </c>
      <c r="J700" s="76" t="s">
        <v>946</v>
      </c>
      <c r="K700" s="73" t="str">
        <f t="shared" si="36"/>
        <v>View on Google Map</v>
      </c>
    </row>
    <row r="701" spans="1:11" x14ac:dyDescent="0.25">
      <c r="A701" s="92">
        <v>617</v>
      </c>
      <c r="B701" s="93" t="s">
        <v>585</v>
      </c>
      <c r="C701" t="s">
        <v>1663</v>
      </c>
      <c r="D701" s="127">
        <v>68.627250000000004</v>
      </c>
      <c r="E701" s="127">
        <v>-149.60415</v>
      </c>
      <c r="G701" s="93" t="s">
        <v>301</v>
      </c>
      <c r="H701" s="93" t="s">
        <v>1654</v>
      </c>
      <c r="K701" s="73" t="str">
        <f t="shared" si="36"/>
        <v>View on Google Map</v>
      </c>
    </row>
    <row r="702" spans="1:11" x14ac:dyDescent="0.25">
      <c r="A702" s="92">
        <v>101</v>
      </c>
      <c r="B702" s="93" t="s">
        <v>982</v>
      </c>
      <c r="C702" s="93" t="s">
        <v>983</v>
      </c>
      <c r="D702" s="94">
        <v>68.638446999999999</v>
      </c>
      <c r="E702" s="76">
        <v>-149.61037200000001</v>
      </c>
      <c r="F702" s="95">
        <v>719</v>
      </c>
      <c r="G702" s="93" t="s">
        <v>301</v>
      </c>
      <c r="H702" s="93" t="s">
        <v>726</v>
      </c>
      <c r="I702" s="93"/>
      <c r="J702" s="76" t="s">
        <v>946</v>
      </c>
      <c r="K702" s="73" t="str">
        <f t="shared" si="36"/>
        <v>View on Google Map</v>
      </c>
    </row>
    <row r="703" spans="1:11" x14ac:dyDescent="0.25">
      <c r="A703" s="92">
        <v>102</v>
      </c>
      <c r="B703" s="93" t="s">
        <v>302</v>
      </c>
      <c r="C703" s="93" t="s">
        <v>303</v>
      </c>
      <c r="D703" s="93">
        <v>68.638623999999993</v>
      </c>
      <c r="E703" s="76">
        <v>-149.610737</v>
      </c>
      <c r="F703" s="95">
        <v>719</v>
      </c>
      <c r="G703" s="93" t="s">
        <v>301</v>
      </c>
      <c r="H703" s="93" t="s">
        <v>726</v>
      </c>
      <c r="I703" s="93"/>
      <c r="J703" s="76" t="s">
        <v>1333</v>
      </c>
      <c r="K703" s="73" t="str">
        <f t="shared" si="36"/>
        <v>View on Google Map</v>
      </c>
    </row>
    <row r="704" spans="1:11" x14ac:dyDescent="0.25">
      <c r="A704" s="92">
        <v>100</v>
      </c>
      <c r="B704" s="93" t="s">
        <v>1690</v>
      </c>
      <c r="C704" s="93" t="s">
        <v>300</v>
      </c>
      <c r="D704" s="93">
        <v>68.629960999999994</v>
      </c>
      <c r="E704" s="76">
        <v>-149.61263299999999</v>
      </c>
      <c r="F704" s="95">
        <v>719</v>
      </c>
      <c r="G704" s="93" t="s">
        <v>301</v>
      </c>
      <c r="H704" s="93" t="s">
        <v>726</v>
      </c>
      <c r="I704" s="93"/>
      <c r="J704" s="76" t="s">
        <v>1331</v>
      </c>
      <c r="K704" s="73" t="str">
        <f t="shared" si="36"/>
        <v>View on Google Map</v>
      </c>
    </row>
    <row r="705" spans="1:11" x14ac:dyDescent="0.25">
      <c r="A705" s="96">
        <v>526</v>
      </c>
      <c r="B705" s="93" t="s">
        <v>589</v>
      </c>
      <c r="C705" s="93" t="s">
        <v>582</v>
      </c>
      <c r="D705" s="109">
        <v>68.633229999999998</v>
      </c>
      <c r="E705" s="76">
        <v>-149.61149</v>
      </c>
      <c r="F705" s="106">
        <v>719</v>
      </c>
      <c r="G705" s="93" t="s">
        <v>301</v>
      </c>
      <c r="H705" s="93" t="s">
        <v>516</v>
      </c>
      <c r="I705" s="93" t="s">
        <v>583</v>
      </c>
      <c r="J705" s="76" t="s">
        <v>946</v>
      </c>
      <c r="K705" s="73" t="str">
        <f t="shared" si="36"/>
        <v>View on Google Map</v>
      </c>
    </row>
    <row r="706" spans="1:11" x14ac:dyDescent="0.25">
      <c r="A706" s="92">
        <v>14</v>
      </c>
      <c r="B706" s="93" t="s">
        <v>984</v>
      </c>
      <c r="C706" s="93" t="str">
        <f>B706</f>
        <v>Toolik Outlet</v>
      </c>
      <c r="D706" s="94">
        <v>68.640612000000004</v>
      </c>
      <c r="E706" s="76">
        <v>-149.59501399999999</v>
      </c>
      <c r="F706" s="95">
        <v>719</v>
      </c>
      <c r="G706" s="93" t="s">
        <v>269</v>
      </c>
      <c r="H706" s="93" t="s">
        <v>726</v>
      </c>
      <c r="I706" s="93"/>
      <c r="J706" s="76" t="s">
        <v>1334</v>
      </c>
      <c r="K706" s="73" t="str">
        <f t="shared" si="36"/>
        <v>View on Google Map</v>
      </c>
    </row>
    <row r="707" spans="1:11" x14ac:dyDescent="0.25">
      <c r="A707" s="92">
        <v>527</v>
      </c>
      <c r="B707" s="93" t="s">
        <v>590</v>
      </c>
      <c r="C707" s="93" t="s">
        <v>582</v>
      </c>
      <c r="D707" s="109">
        <v>68.639899999999997</v>
      </c>
      <c r="E707" s="76">
        <v>-149.59611000000001</v>
      </c>
      <c r="F707" s="106">
        <v>719</v>
      </c>
      <c r="G707" s="93" t="s">
        <v>301</v>
      </c>
      <c r="H707" s="93" t="s">
        <v>516</v>
      </c>
      <c r="I707" s="93" t="s">
        <v>583</v>
      </c>
      <c r="J707" s="76" t="s">
        <v>946</v>
      </c>
      <c r="K707" s="73" t="str">
        <f t="shared" si="36"/>
        <v>View on Google Map</v>
      </c>
    </row>
    <row r="708" spans="1:11" x14ac:dyDescent="0.25">
      <c r="A708" s="102">
        <v>1240</v>
      </c>
      <c r="B708" s="93" t="s">
        <v>279</v>
      </c>
      <c r="C708" s="93" t="str">
        <f>B708</f>
        <v>Toolik River</v>
      </c>
      <c r="D708" s="93">
        <v>68.695719583900001</v>
      </c>
      <c r="E708" s="76">
        <v>-149.20245543600001</v>
      </c>
      <c r="F708" s="92">
        <v>775</v>
      </c>
      <c r="G708" s="93"/>
      <c r="H708" s="93" t="s">
        <v>730</v>
      </c>
      <c r="I708" s="93"/>
      <c r="J708" s="76" t="s">
        <v>946</v>
      </c>
      <c r="K708" s="73" t="str">
        <f t="shared" si="36"/>
        <v>View on Google Map</v>
      </c>
    </row>
    <row r="709" spans="1:11" x14ac:dyDescent="0.25">
      <c r="A709" s="92">
        <v>22</v>
      </c>
      <c r="B709" s="93" t="s">
        <v>1365</v>
      </c>
      <c r="C709" s="93" t="str">
        <f>B709</f>
        <v>Toolik River Ice Field</v>
      </c>
      <c r="D709" s="94"/>
      <c r="E709" s="76"/>
      <c r="F709" s="95"/>
      <c r="G709" s="93" t="s">
        <v>269</v>
      </c>
      <c r="H709" s="93" t="s">
        <v>726</v>
      </c>
      <c r="I709" s="93"/>
      <c r="J709" s="76" t="s">
        <v>1366</v>
      </c>
      <c r="K709" s="73" t="str">
        <f t="shared" si="36"/>
        <v>View on Google Map</v>
      </c>
    </row>
    <row r="710" spans="1:11" x14ac:dyDescent="0.25">
      <c r="A710" s="102">
        <v>1241</v>
      </c>
      <c r="B710" s="93" t="s">
        <v>875</v>
      </c>
      <c r="C710" s="93" t="str">
        <f>B710</f>
        <v>Toolik River Thermokarst</v>
      </c>
      <c r="D710" s="93">
        <v>68.693018307599999</v>
      </c>
      <c r="E710" s="76">
        <v>-149.20532284699999</v>
      </c>
      <c r="F710" s="92">
        <v>775</v>
      </c>
      <c r="G710" s="93"/>
      <c r="H710" s="93" t="s">
        <v>730</v>
      </c>
      <c r="I710" s="93"/>
      <c r="J710" s="76" t="s">
        <v>946</v>
      </c>
      <c r="K710" s="73" t="str">
        <f t="shared" si="36"/>
        <v>View on Google Map</v>
      </c>
    </row>
    <row r="711" spans="1:11" x14ac:dyDescent="0.25">
      <c r="A711" s="102">
        <v>1242</v>
      </c>
      <c r="B711" s="93" t="s">
        <v>876</v>
      </c>
      <c r="C711" s="93" t="str">
        <f>B711</f>
        <v>Toolik River Thermokarst Upstream</v>
      </c>
      <c r="D711" s="93">
        <v>68.691384780000007</v>
      </c>
      <c r="E711" s="76">
        <v>-149.20823628299999</v>
      </c>
      <c r="F711" s="92">
        <v>783</v>
      </c>
      <c r="G711" s="93"/>
      <c r="H711" s="93" t="s">
        <v>730</v>
      </c>
      <c r="I711" s="93"/>
      <c r="J711" s="76" t="s">
        <v>946</v>
      </c>
      <c r="K711" s="73" t="str">
        <f t="shared" si="36"/>
        <v>View on Google Map</v>
      </c>
    </row>
    <row r="712" spans="1:11" x14ac:dyDescent="0.25">
      <c r="A712" s="92">
        <v>9</v>
      </c>
      <c r="B712" s="93" t="s">
        <v>1355</v>
      </c>
      <c r="C712" s="93" t="s">
        <v>1356</v>
      </c>
      <c r="D712" s="94"/>
      <c r="E712" s="76"/>
      <c r="F712" s="95">
        <v>823</v>
      </c>
      <c r="G712" s="93" t="s">
        <v>269</v>
      </c>
      <c r="H712" s="93" t="s">
        <v>726</v>
      </c>
      <c r="I712" s="93"/>
      <c r="J712" s="76" t="s">
        <v>946</v>
      </c>
      <c r="K712" s="73" t="str">
        <f t="shared" si="36"/>
        <v>View on Google Map</v>
      </c>
    </row>
    <row r="713" spans="1:11" x14ac:dyDescent="0.25">
      <c r="A713" s="96">
        <v>528</v>
      </c>
      <c r="B713" s="93" t="s">
        <v>591</v>
      </c>
      <c r="C713" s="93" t="s">
        <v>582</v>
      </c>
      <c r="D713" s="109">
        <v>68.634240000000005</v>
      </c>
      <c r="E713" s="76">
        <v>-149.60275999999999</v>
      </c>
      <c r="F713" s="106">
        <v>719</v>
      </c>
      <c r="G713" s="93" t="s">
        <v>301</v>
      </c>
      <c r="H713" s="93" t="s">
        <v>516</v>
      </c>
      <c r="I713" s="93" t="s">
        <v>583</v>
      </c>
      <c r="J713" s="76" t="s">
        <v>946</v>
      </c>
      <c r="K713" s="73" t="str">
        <f t="shared" si="36"/>
        <v>View on Google Map</v>
      </c>
    </row>
    <row r="714" spans="1:11" x14ac:dyDescent="0.25">
      <c r="A714" s="92">
        <v>521</v>
      </c>
      <c r="B714" s="93" t="s">
        <v>584</v>
      </c>
      <c r="C714" s="93" t="s">
        <v>582</v>
      </c>
      <c r="D714" s="94">
        <v>68.628659999999996</v>
      </c>
      <c r="E714" s="76">
        <v>-149.59961000000001</v>
      </c>
      <c r="F714" s="106">
        <v>719</v>
      </c>
      <c r="G714" s="93" t="s">
        <v>301</v>
      </c>
      <c r="H714" s="93" t="s">
        <v>516</v>
      </c>
      <c r="I714" s="93" t="s">
        <v>583</v>
      </c>
      <c r="J714" s="76" t="s">
        <v>946</v>
      </c>
      <c r="K714" s="73" t="str">
        <f t="shared" si="36"/>
        <v>View on Google Map</v>
      </c>
    </row>
    <row r="715" spans="1:11" x14ac:dyDescent="0.25">
      <c r="A715" s="96">
        <v>520</v>
      </c>
      <c r="B715" s="93" t="s">
        <v>581</v>
      </c>
      <c r="C715" s="93" t="s">
        <v>582</v>
      </c>
      <c r="D715" s="109">
        <v>68.63306</v>
      </c>
      <c r="E715" s="76">
        <v>-149.62826999999999</v>
      </c>
      <c r="F715" s="106">
        <v>719</v>
      </c>
      <c r="G715" s="93" t="s">
        <v>301</v>
      </c>
      <c r="H715" s="93" t="s">
        <v>516</v>
      </c>
      <c r="I715" s="93" t="s">
        <v>583</v>
      </c>
      <c r="J715" s="76" t="s">
        <v>946</v>
      </c>
      <c r="K715" s="73" t="str">
        <f t="shared" si="36"/>
        <v>View on Google Map</v>
      </c>
    </row>
    <row r="716" spans="1:11" x14ac:dyDescent="0.25">
      <c r="A716" s="92">
        <v>1126</v>
      </c>
      <c r="B716" s="93" t="s">
        <v>1544</v>
      </c>
      <c r="C716" s="93" t="str">
        <f t="shared" ref="C716:C735" si="37">B716</f>
        <v xml:space="preserve">Tussock Non-Acidic Block 1 Control      </v>
      </c>
      <c r="D716" s="94"/>
      <c r="E716" s="76"/>
      <c r="F716" s="92">
        <v>740</v>
      </c>
      <c r="G716" s="93" t="s">
        <v>619</v>
      </c>
      <c r="H716" s="93" t="s">
        <v>726</v>
      </c>
      <c r="I716" s="93"/>
      <c r="J716" s="76" t="s">
        <v>1545</v>
      </c>
      <c r="K716" s="73" t="str">
        <f t="shared" si="36"/>
        <v>View on Google Map</v>
      </c>
    </row>
    <row r="717" spans="1:11" x14ac:dyDescent="0.25">
      <c r="A717" s="92">
        <v>1121</v>
      </c>
      <c r="B717" s="93" t="s">
        <v>1536</v>
      </c>
      <c r="C717" s="93" t="str">
        <f t="shared" si="37"/>
        <v xml:space="preserve">Tussock Non-Acidic Block 1 Greenhouse Control     </v>
      </c>
      <c r="D717" s="94"/>
      <c r="E717" s="76"/>
      <c r="F717" s="95">
        <v>750</v>
      </c>
      <c r="G717" s="93" t="s">
        <v>619</v>
      </c>
      <c r="H717" s="93" t="s">
        <v>726</v>
      </c>
      <c r="I717" s="93"/>
      <c r="J717" s="76" t="s">
        <v>946</v>
      </c>
      <c r="K717" s="73" t="str">
        <f t="shared" si="36"/>
        <v>View on Google Map</v>
      </c>
    </row>
    <row r="718" spans="1:11" x14ac:dyDescent="0.25">
      <c r="A718" s="92">
        <v>1120</v>
      </c>
      <c r="B718" s="93" t="s">
        <v>1534</v>
      </c>
      <c r="C718" s="93" t="str">
        <f t="shared" si="37"/>
        <v xml:space="preserve">Tussock Non-Acidic Block 1 Greenhouse Fertilized     </v>
      </c>
      <c r="D718" s="94"/>
      <c r="E718" s="76"/>
      <c r="F718" s="95">
        <v>750</v>
      </c>
      <c r="G718" s="93" t="s">
        <v>619</v>
      </c>
      <c r="H718" s="93" t="s">
        <v>726</v>
      </c>
      <c r="I718" s="93"/>
      <c r="J718" s="76" t="s">
        <v>1535</v>
      </c>
      <c r="K718" s="73" t="str">
        <f t="shared" si="36"/>
        <v>View on Google Map</v>
      </c>
    </row>
    <row r="719" spans="1:11" x14ac:dyDescent="0.25">
      <c r="A719" s="92">
        <v>1123</v>
      </c>
      <c r="B719" s="93" t="s">
        <v>1539</v>
      </c>
      <c r="C719" s="93" t="str">
        <f t="shared" si="37"/>
        <v xml:space="preserve">Tussock Non-Acidic Block 1 Nitrogen      </v>
      </c>
      <c r="D719" s="94"/>
      <c r="E719" s="76"/>
      <c r="F719" s="92">
        <v>740</v>
      </c>
      <c r="G719" s="93" t="s">
        <v>619</v>
      </c>
      <c r="H719" s="93" t="s">
        <v>726</v>
      </c>
      <c r="I719" s="93"/>
      <c r="J719" s="76" t="s">
        <v>1540</v>
      </c>
      <c r="K719" s="73" t="str">
        <f t="shared" si="36"/>
        <v>View on Google Map</v>
      </c>
    </row>
    <row r="720" spans="1:11" x14ac:dyDescent="0.25">
      <c r="A720" s="92">
        <v>1125</v>
      </c>
      <c r="B720" s="93" t="s">
        <v>1542</v>
      </c>
      <c r="C720" s="93" t="str">
        <f t="shared" si="37"/>
        <v xml:space="preserve">Tussock Non-Acidic Block 1 Nitrogen and Phosphorus    </v>
      </c>
      <c r="D720" s="94"/>
      <c r="E720" s="76"/>
      <c r="F720" s="92">
        <v>740</v>
      </c>
      <c r="G720" s="93" t="s">
        <v>619</v>
      </c>
      <c r="H720" s="93" t="s">
        <v>726</v>
      </c>
      <c r="I720" s="93"/>
      <c r="J720" s="76" t="s">
        <v>1543</v>
      </c>
      <c r="K720" s="73" t="str">
        <f t="shared" si="36"/>
        <v>View on Google Map</v>
      </c>
    </row>
    <row r="721" spans="1:11" x14ac:dyDescent="0.25">
      <c r="A721" s="92">
        <v>1122</v>
      </c>
      <c r="B721" s="93" t="s">
        <v>1537</v>
      </c>
      <c r="C721" s="93" t="str">
        <f t="shared" si="37"/>
        <v xml:space="preserve">Tussock Non-Acidic Block 1 Phosphorus      </v>
      </c>
      <c r="D721" s="94"/>
      <c r="E721" s="76"/>
      <c r="F721" s="92">
        <v>740</v>
      </c>
      <c r="G721" s="93" t="s">
        <v>619</v>
      </c>
      <c r="H721" s="93" t="s">
        <v>726</v>
      </c>
      <c r="I721" s="93"/>
      <c r="J721" s="76" t="s">
        <v>1538</v>
      </c>
      <c r="K721" s="73" t="str">
        <f t="shared" si="36"/>
        <v>View on Google Map</v>
      </c>
    </row>
    <row r="722" spans="1:11" x14ac:dyDescent="0.25">
      <c r="A722" s="92">
        <v>1124</v>
      </c>
      <c r="B722" s="93" t="s">
        <v>1541</v>
      </c>
      <c r="C722" s="93" t="str">
        <f t="shared" si="37"/>
        <v xml:space="preserve">Tussock Non-Acidic Block 1 X1      </v>
      </c>
      <c r="D722" s="94"/>
      <c r="E722" s="76"/>
      <c r="F722" s="92">
        <v>740</v>
      </c>
      <c r="G722" s="93" t="s">
        <v>619</v>
      </c>
      <c r="H722" s="93" t="s">
        <v>726</v>
      </c>
      <c r="I722" s="93"/>
      <c r="J722" s="76" t="s">
        <v>946</v>
      </c>
      <c r="K722" s="73" t="str">
        <f t="shared" si="36"/>
        <v>View on Google Map</v>
      </c>
    </row>
    <row r="723" spans="1:11" x14ac:dyDescent="0.25">
      <c r="A723" s="92">
        <v>1131</v>
      </c>
      <c r="B723" s="93" t="s">
        <v>1551</v>
      </c>
      <c r="C723" s="93" t="str">
        <f t="shared" si="37"/>
        <v xml:space="preserve">Tussock Non-Acidic Block 2 Control      </v>
      </c>
      <c r="D723" s="94"/>
      <c r="E723" s="76"/>
      <c r="F723" s="92">
        <v>740</v>
      </c>
      <c r="G723" s="93" t="s">
        <v>619</v>
      </c>
      <c r="H723" s="93" t="s">
        <v>726</v>
      </c>
      <c r="I723" s="93"/>
      <c r="J723" s="76" t="s">
        <v>1552</v>
      </c>
      <c r="K723" s="73" t="str">
        <f t="shared" si="36"/>
        <v>View on Google Map</v>
      </c>
    </row>
    <row r="724" spans="1:11" x14ac:dyDescent="0.25">
      <c r="A724" s="92">
        <v>1133</v>
      </c>
      <c r="B724" s="93" t="s">
        <v>1555</v>
      </c>
      <c r="C724" s="93" t="str">
        <f t="shared" si="37"/>
        <v xml:space="preserve">Tussock Non-Acidic Block 2 Greenhouse Control     </v>
      </c>
      <c r="D724" s="94"/>
      <c r="E724" s="76"/>
      <c r="F724" s="92">
        <v>740</v>
      </c>
      <c r="G724" s="93" t="s">
        <v>619</v>
      </c>
      <c r="H724" s="93" t="s">
        <v>726</v>
      </c>
      <c r="I724" s="93"/>
      <c r="J724" s="76" t="s">
        <v>946</v>
      </c>
      <c r="K724" s="73" t="str">
        <f t="shared" si="36"/>
        <v>View on Google Map</v>
      </c>
    </row>
    <row r="725" spans="1:11" x14ac:dyDescent="0.25">
      <c r="A725" s="92">
        <v>1132</v>
      </c>
      <c r="B725" s="93" t="s">
        <v>1553</v>
      </c>
      <c r="C725" s="93" t="str">
        <f t="shared" si="37"/>
        <v xml:space="preserve">Tussock Non-Acidic Block 2 Greenhouse Fertilized     </v>
      </c>
      <c r="D725" s="94"/>
      <c r="E725" s="76"/>
      <c r="F725" s="92">
        <v>740</v>
      </c>
      <c r="G725" s="93" t="s">
        <v>619</v>
      </c>
      <c r="H725" s="93" t="s">
        <v>726</v>
      </c>
      <c r="I725" s="93"/>
      <c r="J725" s="76" t="s">
        <v>1554</v>
      </c>
      <c r="K725" s="73" t="str">
        <f t="shared" si="36"/>
        <v>View on Google Map</v>
      </c>
    </row>
    <row r="726" spans="1:11" x14ac:dyDescent="0.25">
      <c r="A726" s="92">
        <v>1127</v>
      </c>
      <c r="B726" s="93" t="s">
        <v>1546</v>
      </c>
      <c r="C726" s="93" t="str">
        <f t="shared" si="37"/>
        <v xml:space="preserve">Tussock Non-Acidic Block 2 Nitrogen      </v>
      </c>
      <c r="D726" s="94"/>
      <c r="E726" s="76"/>
      <c r="F726" s="92">
        <v>740</v>
      </c>
      <c r="G726" s="93" t="s">
        <v>619</v>
      </c>
      <c r="H726" s="93" t="s">
        <v>726</v>
      </c>
      <c r="I726" s="93"/>
      <c r="J726" s="76" t="s">
        <v>1540</v>
      </c>
      <c r="K726" s="73" t="str">
        <f t="shared" si="36"/>
        <v>View on Google Map</v>
      </c>
    </row>
    <row r="727" spans="1:11" x14ac:dyDescent="0.25">
      <c r="A727" s="92">
        <v>1130</v>
      </c>
      <c r="B727" s="93" t="s">
        <v>1549</v>
      </c>
      <c r="C727" s="93" t="str">
        <f t="shared" si="37"/>
        <v xml:space="preserve">Tussock Non-Acidic Block 2 Nitrogen and Phosphorus    </v>
      </c>
      <c r="D727" s="94"/>
      <c r="E727" s="76"/>
      <c r="F727" s="92">
        <v>740</v>
      </c>
      <c r="G727" s="93" t="s">
        <v>619</v>
      </c>
      <c r="H727" s="93" t="s">
        <v>726</v>
      </c>
      <c r="I727" s="93"/>
      <c r="J727" s="76" t="s">
        <v>1550</v>
      </c>
      <c r="K727" s="73" t="str">
        <f t="shared" si="36"/>
        <v>View on Google Map</v>
      </c>
    </row>
    <row r="728" spans="1:11" x14ac:dyDescent="0.25">
      <c r="A728" s="92">
        <v>1128</v>
      </c>
      <c r="B728" s="93" t="s">
        <v>1547</v>
      </c>
      <c r="C728" s="93" t="str">
        <f t="shared" si="37"/>
        <v xml:space="preserve">Tussock Non-Acidic Block 2 Phosphorus      </v>
      </c>
      <c r="D728" s="94"/>
      <c r="E728" s="76"/>
      <c r="F728" s="92">
        <v>740</v>
      </c>
      <c r="G728" s="93" t="s">
        <v>619</v>
      </c>
      <c r="H728" s="93" t="s">
        <v>726</v>
      </c>
      <c r="I728" s="93"/>
      <c r="J728" s="76" t="s">
        <v>1538</v>
      </c>
      <c r="K728" s="73" t="str">
        <f t="shared" si="36"/>
        <v>View on Google Map</v>
      </c>
    </row>
    <row r="729" spans="1:11" x14ac:dyDescent="0.25">
      <c r="A729" s="92">
        <v>1129</v>
      </c>
      <c r="B729" s="93" t="s">
        <v>1548</v>
      </c>
      <c r="C729" s="93" t="str">
        <f t="shared" si="37"/>
        <v xml:space="preserve">Tussock Non-Acidic Block 2 X1      </v>
      </c>
      <c r="D729" s="94"/>
      <c r="E729" s="76"/>
      <c r="F729" s="92">
        <v>740</v>
      </c>
      <c r="G729" s="93" t="s">
        <v>619</v>
      </c>
      <c r="H729" s="93" t="s">
        <v>726</v>
      </c>
      <c r="I729" s="93"/>
      <c r="J729" s="76" t="s">
        <v>946</v>
      </c>
      <c r="K729" s="73" t="str">
        <f t="shared" si="36"/>
        <v>View on Google Map</v>
      </c>
    </row>
    <row r="730" spans="1:11" x14ac:dyDescent="0.25">
      <c r="A730" s="92">
        <v>1136</v>
      </c>
      <c r="B730" s="93" t="s">
        <v>1560</v>
      </c>
      <c r="C730" s="93" t="str">
        <f t="shared" si="37"/>
        <v xml:space="preserve">Tussock Non-Acidic Block 3 Control      </v>
      </c>
      <c r="D730" s="94"/>
      <c r="E730" s="76"/>
      <c r="F730" s="95"/>
      <c r="G730" s="93" t="s">
        <v>619</v>
      </c>
      <c r="H730" s="93" t="s">
        <v>726</v>
      </c>
      <c r="I730" s="93"/>
      <c r="J730" s="76" t="s">
        <v>1561</v>
      </c>
      <c r="K730" s="73" t="str">
        <f t="shared" si="36"/>
        <v>View on Google Map</v>
      </c>
    </row>
    <row r="731" spans="1:11" x14ac:dyDescent="0.25">
      <c r="A731" s="92">
        <v>1138</v>
      </c>
      <c r="B731" s="93" t="s">
        <v>1563</v>
      </c>
      <c r="C731" s="93" t="str">
        <f t="shared" si="37"/>
        <v xml:space="preserve">Tussock Non-Acidic Block 3 Extra Plot     </v>
      </c>
      <c r="D731" s="94"/>
      <c r="E731" s="76"/>
      <c r="F731" s="95"/>
      <c r="G731" s="93" t="s">
        <v>619</v>
      </c>
      <c r="H731" s="93" t="s">
        <v>726</v>
      </c>
      <c r="I731" s="93"/>
      <c r="J731" s="76" t="s">
        <v>946</v>
      </c>
      <c r="K731" s="73" t="str">
        <f t="shared" si="36"/>
        <v>View on Google Map</v>
      </c>
    </row>
    <row r="732" spans="1:11" x14ac:dyDescent="0.25">
      <c r="A732" s="92">
        <v>1139</v>
      </c>
      <c r="B732" s="93" t="s">
        <v>1564</v>
      </c>
      <c r="C732" s="93" t="str">
        <f t="shared" si="37"/>
        <v xml:space="preserve">Tussock Non-Acidic Block 3 Nitrogen      </v>
      </c>
      <c r="D732" s="94"/>
      <c r="E732" s="76"/>
      <c r="F732" s="95"/>
      <c r="G732" s="93" t="s">
        <v>619</v>
      </c>
      <c r="H732" s="93" t="s">
        <v>726</v>
      </c>
      <c r="I732" s="93"/>
      <c r="J732" s="76" t="s">
        <v>1565</v>
      </c>
      <c r="K732" s="73" t="str">
        <f t="shared" si="36"/>
        <v>View on Google Map</v>
      </c>
    </row>
    <row r="733" spans="1:11" x14ac:dyDescent="0.25">
      <c r="A733" s="92">
        <v>1135</v>
      </c>
      <c r="B733" s="93" t="s">
        <v>1558</v>
      </c>
      <c r="C733" s="93" t="str">
        <f t="shared" si="37"/>
        <v xml:space="preserve">Tussock Non-Acidic Block 3 Nitrogen and Phosphorus    </v>
      </c>
      <c r="D733" s="94"/>
      <c r="E733" s="76"/>
      <c r="F733" s="92">
        <v>740</v>
      </c>
      <c r="G733" s="93" t="s">
        <v>619</v>
      </c>
      <c r="H733" s="93" t="s">
        <v>726</v>
      </c>
      <c r="I733" s="93"/>
      <c r="J733" s="76" t="s">
        <v>1559</v>
      </c>
      <c r="K733" s="73" t="str">
        <f t="shared" si="36"/>
        <v>View on Google Map</v>
      </c>
    </row>
    <row r="734" spans="1:11" x14ac:dyDescent="0.25">
      <c r="A734" s="92">
        <v>1134</v>
      </c>
      <c r="B734" s="93" t="s">
        <v>1556</v>
      </c>
      <c r="C734" s="93" t="str">
        <f t="shared" si="37"/>
        <v xml:space="preserve">Tussock Non-Acidic Block 3 Phosphorus      </v>
      </c>
      <c r="D734" s="94"/>
      <c r="E734" s="76"/>
      <c r="F734" s="92">
        <v>740</v>
      </c>
      <c r="G734" s="93" t="s">
        <v>619</v>
      </c>
      <c r="H734" s="93" t="s">
        <v>726</v>
      </c>
      <c r="I734" s="93"/>
      <c r="J734" s="76" t="s">
        <v>1557</v>
      </c>
      <c r="K734" s="73" t="str">
        <f t="shared" si="36"/>
        <v>View on Google Map</v>
      </c>
    </row>
    <row r="735" spans="1:11" x14ac:dyDescent="0.25">
      <c r="A735" s="92">
        <v>1137</v>
      </c>
      <c r="B735" s="93" t="s">
        <v>1562</v>
      </c>
      <c r="C735" s="93" t="str">
        <f t="shared" si="37"/>
        <v xml:space="preserve">Tussock Non-Acidic Block 3 X1      </v>
      </c>
      <c r="D735" s="94"/>
      <c r="E735" s="76"/>
      <c r="F735" s="95"/>
      <c r="G735" s="93" t="s">
        <v>619</v>
      </c>
      <c r="H735" s="93" t="s">
        <v>726</v>
      </c>
      <c r="I735" s="93"/>
      <c r="J735" s="76" t="s">
        <v>946</v>
      </c>
      <c r="K735" s="73" t="str">
        <f t="shared" si="36"/>
        <v>View on Google Map</v>
      </c>
    </row>
    <row r="736" spans="1:11" x14ac:dyDescent="0.25">
      <c r="A736" s="92">
        <v>901</v>
      </c>
      <c r="B736" s="93" t="s">
        <v>985</v>
      </c>
      <c r="C736" s="93" t="s">
        <v>986</v>
      </c>
      <c r="D736" s="94">
        <v>68.620692796</v>
      </c>
      <c r="E736" s="76">
        <v>-149.615581569</v>
      </c>
      <c r="F736" s="120">
        <v>775</v>
      </c>
      <c r="G736" s="97" t="s">
        <v>619</v>
      </c>
      <c r="H736" s="97" t="s">
        <v>728</v>
      </c>
      <c r="I736" s="93"/>
      <c r="J736" s="76" t="s">
        <v>1335</v>
      </c>
      <c r="K736" s="73" t="str">
        <f t="shared" si="36"/>
        <v>View on Google Map</v>
      </c>
    </row>
    <row r="737" spans="1:11" x14ac:dyDescent="0.25">
      <c r="A737" s="92">
        <v>902</v>
      </c>
      <c r="B737" s="93" t="s">
        <v>987</v>
      </c>
      <c r="C737" s="93" t="s">
        <v>986</v>
      </c>
      <c r="D737" s="94">
        <v>68.620713696999999</v>
      </c>
      <c r="E737" s="76">
        <v>-149.61561485300001</v>
      </c>
      <c r="F737" s="120">
        <v>775</v>
      </c>
      <c r="G737" s="97" t="s">
        <v>619</v>
      </c>
      <c r="H737" s="97" t="s">
        <v>728</v>
      </c>
      <c r="I737" s="93"/>
      <c r="J737" s="76" t="s">
        <v>1336</v>
      </c>
      <c r="K737" s="73" t="str">
        <f t="shared" si="36"/>
        <v>View on Google Map</v>
      </c>
    </row>
    <row r="738" spans="1:11" x14ac:dyDescent="0.25">
      <c r="A738" s="92">
        <v>903</v>
      </c>
      <c r="B738" s="93" t="s">
        <v>1413</v>
      </c>
      <c r="C738" s="93" t="s">
        <v>986</v>
      </c>
      <c r="D738" s="94"/>
      <c r="E738" s="76"/>
      <c r="F738" s="120">
        <v>775</v>
      </c>
      <c r="G738" s="97" t="s">
        <v>619</v>
      </c>
      <c r="H738" s="97" t="s">
        <v>728</v>
      </c>
      <c r="I738" s="93"/>
      <c r="J738" s="76" t="s">
        <v>1414</v>
      </c>
      <c r="K738" s="73" t="str">
        <f t="shared" si="36"/>
        <v>View on Google Map</v>
      </c>
    </row>
    <row r="739" spans="1:11" x14ac:dyDescent="0.25">
      <c r="A739" s="92">
        <v>904</v>
      </c>
      <c r="B739" s="93" t="s">
        <v>1415</v>
      </c>
      <c r="C739" s="93" t="s">
        <v>986</v>
      </c>
      <c r="D739" s="94"/>
      <c r="E739" s="76"/>
      <c r="F739" s="120">
        <v>775</v>
      </c>
      <c r="G739" s="97" t="s">
        <v>619</v>
      </c>
      <c r="H739" s="97" t="s">
        <v>728</v>
      </c>
      <c r="I739" s="93"/>
      <c r="J739" s="76" t="s">
        <v>1416</v>
      </c>
      <c r="K739" s="73" t="str">
        <f t="shared" si="36"/>
        <v>View on Google Map</v>
      </c>
    </row>
    <row r="740" spans="1:11" x14ac:dyDescent="0.25">
      <c r="A740" s="124">
        <v>1249</v>
      </c>
      <c r="B740" s="97" t="s">
        <v>1615</v>
      </c>
      <c r="C740" s="97" t="s">
        <v>1616</v>
      </c>
      <c r="D740" s="97"/>
      <c r="E740" s="76"/>
      <c r="F740" s="96">
        <v>775</v>
      </c>
      <c r="G740" s="97"/>
      <c r="H740" s="97" t="s">
        <v>728</v>
      </c>
      <c r="I740" s="97"/>
      <c r="J740" s="76" t="s">
        <v>946</v>
      </c>
      <c r="K740" s="73" t="str">
        <f t="shared" si="36"/>
        <v>View on Google Map</v>
      </c>
    </row>
    <row r="741" spans="1:11" x14ac:dyDescent="0.25">
      <c r="A741" s="92">
        <v>905</v>
      </c>
      <c r="B741" s="93" t="s">
        <v>1417</v>
      </c>
      <c r="C741" s="93" t="s">
        <v>986</v>
      </c>
      <c r="D741" s="94"/>
      <c r="E741" s="76"/>
      <c r="F741" s="120">
        <v>775</v>
      </c>
      <c r="G741" s="97" t="s">
        <v>619</v>
      </c>
      <c r="H741" s="97" t="s">
        <v>728</v>
      </c>
      <c r="I741" s="93"/>
      <c r="J741" s="76" t="s">
        <v>1418</v>
      </c>
      <c r="K741" s="73" t="str">
        <f t="shared" si="36"/>
        <v>View on Google Map</v>
      </c>
    </row>
    <row r="742" spans="1:11" x14ac:dyDescent="0.25">
      <c r="A742" s="92">
        <v>906</v>
      </c>
      <c r="B742" s="93" t="s">
        <v>1419</v>
      </c>
      <c r="C742" s="93" t="s">
        <v>986</v>
      </c>
      <c r="D742" s="94"/>
      <c r="E742" s="76"/>
      <c r="F742" s="120">
        <v>775</v>
      </c>
      <c r="G742" s="97" t="s">
        <v>619</v>
      </c>
      <c r="H742" s="97" t="s">
        <v>728</v>
      </c>
      <c r="I742" s="93"/>
      <c r="J742" s="76" t="s">
        <v>1420</v>
      </c>
      <c r="K742" s="73" t="str">
        <f t="shared" si="36"/>
        <v>View on Google Map</v>
      </c>
    </row>
    <row r="743" spans="1:11" x14ac:dyDescent="0.25">
      <c r="A743" s="124">
        <v>1250</v>
      </c>
      <c r="B743" s="97" t="s">
        <v>1617</v>
      </c>
      <c r="C743" s="97" t="s">
        <v>1616</v>
      </c>
      <c r="D743" s="97"/>
      <c r="E743" s="76"/>
      <c r="F743" s="96">
        <v>775</v>
      </c>
      <c r="G743" s="97"/>
      <c r="H743" s="97" t="s">
        <v>728</v>
      </c>
      <c r="I743" s="97"/>
      <c r="J743" s="76" t="s">
        <v>946</v>
      </c>
      <c r="K743" s="73" t="str">
        <f t="shared" si="36"/>
        <v>View on Google Map</v>
      </c>
    </row>
    <row r="744" spans="1:11" x14ac:dyDescent="0.25">
      <c r="A744" s="92">
        <v>907</v>
      </c>
      <c r="B744" s="93" t="s">
        <v>988</v>
      </c>
      <c r="C744" s="93" t="s">
        <v>986</v>
      </c>
      <c r="D744" s="94">
        <v>68.622550576999998</v>
      </c>
      <c r="E744" s="76">
        <v>-149.61592553599999</v>
      </c>
      <c r="F744" s="120">
        <v>772</v>
      </c>
      <c r="G744" s="97" t="s">
        <v>619</v>
      </c>
      <c r="H744" s="97" t="s">
        <v>728</v>
      </c>
      <c r="I744" s="93"/>
      <c r="J744" s="76" t="s">
        <v>1337</v>
      </c>
      <c r="K744" s="73" t="str">
        <f t="shared" si="36"/>
        <v>View on Google Map</v>
      </c>
    </row>
    <row r="745" spans="1:11" x14ac:dyDescent="0.25">
      <c r="A745" s="92">
        <v>908</v>
      </c>
      <c r="B745" s="93" t="s">
        <v>989</v>
      </c>
      <c r="C745" s="93" t="s">
        <v>986</v>
      </c>
      <c r="D745" s="94">
        <v>68.622545466999995</v>
      </c>
      <c r="E745" s="76">
        <v>-149.61596319700001</v>
      </c>
      <c r="F745" s="120">
        <v>772</v>
      </c>
      <c r="G745" s="97" t="s">
        <v>619</v>
      </c>
      <c r="H745" s="97" t="s">
        <v>728</v>
      </c>
      <c r="I745" s="93"/>
      <c r="J745" s="76" t="s">
        <v>1338</v>
      </c>
      <c r="K745" s="73" t="str">
        <f t="shared" si="36"/>
        <v>View on Google Map</v>
      </c>
    </row>
    <row r="746" spans="1:11" x14ac:dyDescent="0.25">
      <c r="A746" s="92">
        <v>909</v>
      </c>
      <c r="B746" s="93" t="s">
        <v>990</v>
      </c>
      <c r="C746" s="93" t="s">
        <v>986</v>
      </c>
      <c r="D746" s="94">
        <v>68.623252066999996</v>
      </c>
      <c r="E746" s="76">
        <v>-149.616420672</v>
      </c>
      <c r="F746" s="120">
        <v>769</v>
      </c>
      <c r="G746" s="97" t="s">
        <v>619</v>
      </c>
      <c r="H746" s="97" t="s">
        <v>728</v>
      </c>
      <c r="I746" s="93"/>
      <c r="J746" s="76" t="s">
        <v>1339</v>
      </c>
      <c r="K746" s="73" t="str">
        <f t="shared" si="36"/>
        <v>View on Google Map</v>
      </c>
    </row>
    <row r="747" spans="1:11" x14ac:dyDescent="0.25">
      <c r="A747" s="92">
        <v>910</v>
      </c>
      <c r="B747" s="93" t="s">
        <v>991</v>
      </c>
      <c r="C747" s="93" t="s">
        <v>986</v>
      </c>
      <c r="D747" s="94">
        <v>68.623265412999999</v>
      </c>
      <c r="E747" s="76">
        <v>-149.616461249</v>
      </c>
      <c r="F747" s="120">
        <v>769</v>
      </c>
      <c r="G747" s="97" t="s">
        <v>619</v>
      </c>
      <c r="H747" s="97" t="s">
        <v>728</v>
      </c>
      <c r="I747" s="93"/>
      <c r="J747" s="76" t="s">
        <v>1340</v>
      </c>
      <c r="K747" s="73" t="str">
        <f t="shared" si="36"/>
        <v>View on Google Map</v>
      </c>
    </row>
    <row r="748" spans="1:11" x14ac:dyDescent="0.25">
      <c r="A748" s="92">
        <v>911</v>
      </c>
      <c r="B748" s="93" t="s">
        <v>992</v>
      </c>
      <c r="C748" s="93" t="s">
        <v>986</v>
      </c>
      <c r="D748" s="94">
        <v>68.623248572999998</v>
      </c>
      <c r="E748" s="76">
        <v>-149.61664306200001</v>
      </c>
      <c r="F748" s="120">
        <v>769</v>
      </c>
      <c r="G748" s="97" t="s">
        <v>619</v>
      </c>
      <c r="H748" s="97" t="s">
        <v>728</v>
      </c>
      <c r="I748" s="93"/>
      <c r="J748" s="76" t="s">
        <v>1341</v>
      </c>
      <c r="K748" s="73" t="str">
        <f t="shared" si="36"/>
        <v>View on Google Map</v>
      </c>
    </row>
    <row r="749" spans="1:11" x14ac:dyDescent="0.25">
      <c r="A749" s="92">
        <v>912</v>
      </c>
      <c r="B749" s="93" t="s">
        <v>993</v>
      </c>
      <c r="C749" s="93" t="s">
        <v>986</v>
      </c>
      <c r="D749" s="94">
        <v>68.623249332</v>
      </c>
      <c r="E749" s="76">
        <v>-149.61665655199999</v>
      </c>
      <c r="F749" s="120">
        <v>769</v>
      </c>
      <c r="G749" s="97" t="s">
        <v>619</v>
      </c>
      <c r="H749" s="97" t="s">
        <v>728</v>
      </c>
      <c r="I749" s="93"/>
      <c r="J749" s="76" t="s">
        <v>1342</v>
      </c>
      <c r="K749" s="73" t="str">
        <f t="shared" si="36"/>
        <v>View on Google Map</v>
      </c>
    </row>
    <row r="750" spans="1:11" x14ac:dyDescent="0.25">
      <c r="A750" s="92">
        <v>913</v>
      </c>
      <c r="B750" s="93" t="s">
        <v>994</v>
      </c>
      <c r="C750" s="93" t="s">
        <v>986</v>
      </c>
      <c r="D750" s="94">
        <v>68.623249510999997</v>
      </c>
      <c r="E750" s="76">
        <v>-149.616699587</v>
      </c>
      <c r="F750" s="120">
        <v>769</v>
      </c>
      <c r="G750" s="97" t="s">
        <v>619</v>
      </c>
      <c r="H750" s="97" t="s">
        <v>728</v>
      </c>
      <c r="I750" s="93"/>
      <c r="J750" s="76" t="s">
        <v>1343</v>
      </c>
      <c r="K750" s="73" t="str">
        <f t="shared" si="36"/>
        <v>View on Google Map</v>
      </c>
    </row>
    <row r="751" spans="1:11" x14ac:dyDescent="0.25">
      <c r="A751" s="92">
        <v>914</v>
      </c>
      <c r="B751" s="93" t="s">
        <v>995</v>
      </c>
      <c r="C751" s="93" t="s">
        <v>986</v>
      </c>
      <c r="D751" s="94">
        <v>68.623240554000006</v>
      </c>
      <c r="E751" s="76">
        <v>-149.616863817</v>
      </c>
      <c r="F751" s="120">
        <v>769</v>
      </c>
      <c r="G751" s="97" t="s">
        <v>619</v>
      </c>
      <c r="H751" s="97" t="s">
        <v>728</v>
      </c>
      <c r="I751" s="93"/>
      <c r="J751" s="76" t="s">
        <v>1344</v>
      </c>
      <c r="K751" s="73" t="str">
        <f t="shared" si="36"/>
        <v>View on Google Map</v>
      </c>
    </row>
    <row r="752" spans="1:11" x14ac:dyDescent="0.25">
      <c r="A752" s="92">
        <v>915</v>
      </c>
      <c r="B752" s="93" t="s">
        <v>620</v>
      </c>
      <c r="C752" s="93" t="s">
        <v>621</v>
      </c>
      <c r="D752" s="94">
        <v>68.627900999999994</v>
      </c>
      <c r="E752" s="76">
        <v>-149.61295100000001</v>
      </c>
      <c r="F752" s="106">
        <v>721</v>
      </c>
      <c r="G752" s="97" t="s">
        <v>619</v>
      </c>
      <c r="H752" s="97" t="s">
        <v>728</v>
      </c>
      <c r="I752" s="93"/>
      <c r="J752" s="76" t="s">
        <v>1345</v>
      </c>
      <c r="K752" s="73" t="str">
        <f t="shared" si="36"/>
        <v>View on Google Map</v>
      </c>
    </row>
    <row r="753" spans="1:11" x14ac:dyDescent="0.25">
      <c r="A753" s="92">
        <v>900</v>
      </c>
      <c r="B753" s="93" t="s">
        <v>618</v>
      </c>
      <c r="C753" s="93" t="str">
        <f>B753</f>
        <v>TW Weir</v>
      </c>
      <c r="D753" s="94">
        <v>68.623487999999995</v>
      </c>
      <c r="E753" s="76">
        <v>-149.616559</v>
      </c>
      <c r="F753" s="106">
        <v>761</v>
      </c>
      <c r="G753" s="97" t="s">
        <v>619</v>
      </c>
      <c r="H753" s="97" t="s">
        <v>728</v>
      </c>
      <c r="I753" s="93"/>
      <c r="J753" s="76" t="s">
        <v>1346</v>
      </c>
      <c r="K753" s="73" t="str">
        <f t="shared" si="36"/>
        <v>View on Google Map</v>
      </c>
    </row>
    <row r="754" spans="1:11" x14ac:dyDescent="0.25">
      <c r="A754" s="92">
        <v>619</v>
      </c>
      <c r="B754" s="93" t="s">
        <v>1666</v>
      </c>
      <c r="C754" t="s">
        <v>1667</v>
      </c>
      <c r="D754" s="127">
        <v>68.612750000000005</v>
      </c>
      <c r="E754" s="127">
        <v>-149.20398333333333</v>
      </c>
      <c r="G754" s="93" t="s">
        <v>301</v>
      </c>
      <c r="H754" s="93" t="s">
        <v>1654</v>
      </c>
      <c r="K754" s="73" t="str">
        <f t="shared" si="36"/>
        <v>View on Google Map</v>
      </c>
    </row>
    <row r="755" spans="1:11" x14ac:dyDescent="0.25">
      <c r="A755" s="102">
        <v>42</v>
      </c>
      <c r="B755" s="101" t="s">
        <v>293</v>
      </c>
      <c r="C755" s="93" t="s">
        <v>877</v>
      </c>
      <c r="D755" s="99">
        <v>68.960555999999997</v>
      </c>
      <c r="E755" s="76">
        <v>-150.63055600000001</v>
      </c>
      <c r="F755" s="96"/>
      <c r="G755" s="93" t="s">
        <v>269</v>
      </c>
      <c r="H755" s="101" t="s">
        <v>294</v>
      </c>
      <c r="I755" s="93" t="s">
        <v>284</v>
      </c>
      <c r="J755" s="76" t="s">
        <v>1347</v>
      </c>
      <c r="K755" s="73" t="str">
        <f t="shared" si="36"/>
        <v>View on Google Map</v>
      </c>
    </row>
    <row r="756" spans="1:11" x14ac:dyDescent="0.25">
      <c r="A756" s="102">
        <v>43</v>
      </c>
      <c r="B756" s="101" t="s">
        <v>295</v>
      </c>
      <c r="C756" s="93" t="s">
        <v>877</v>
      </c>
      <c r="D756" s="99">
        <v>68.935101000000003</v>
      </c>
      <c r="E756" s="76">
        <v>-150.68391700000001</v>
      </c>
      <c r="F756" s="96"/>
      <c r="G756" s="93" t="s">
        <v>269</v>
      </c>
      <c r="H756" s="101" t="s">
        <v>294</v>
      </c>
      <c r="I756" s="93" t="s">
        <v>284</v>
      </c>
      <c r="J756" s="76" t="s">
        <v>1348</v>
      </c>
      <c r="K756" s="73" t="str">
        <f t="shared" si="36"/>
        <v>View on Google Map</v>
      </c>
    </row>
    <row r="757" spans="1:11" x14ac:dyDescent="0.25">
      <c r="A757" s="102">
        <v>44</v>
      </c>
      <c r="B757" s="101" t="s">
        <v>296</v>
      </c>
      <c r="C757" s="93" t="s">
        <v>877</v>
      </c>
      <c r="D757" s="99">
        <v>68.916987000000006</v>
      </c>
      <c r="E757" s="76">
        <v>-150.659291</v>
      </c>
      <c r="F757" s="96"/>
      <c r="G757" s="93" t="s">
        <v>269</v>
      </c>
      <c r="H757" s="101" t="s">
        <v>294</v>
      </c>
      <c r="I757" s="93" t="s">
        <v>284</v>
      </c>
      <c r="J757" s="76" t="s">
        <v>1349</v>
      </c>
      <c r="K757" s="73" t="str">
        <f t="shared" si="36"/>
        <v>View on Google Map</v>
      </c>
    </row>
    <row r="758" spans="1:11" x14ac:dyDescent="0.25">
      <c r="A758" s="102">
        <v>1244</v>
      </c>
      <c r="B758" s="93" t="s">
        <v>878</v>
      </c>
      <c r="C758" s="93" t="str">
        <f t="shared" ref="C758:C784" si="38">B758</f>
        <v>Valley of Thermokarst Impacted</v>
      </c>
      <c r="D758" s="93">
        <v>68.961367142399993</v>
      </c>
      <c r="E758" s="76">
        <v>-150.605045671</v>
      </c>
      <c r="F758" s="92">
        <v>322</v>
      </c>
      <c r="G758" s="93"/>
      <c r="H758" s="93" t="s">
        <v>730</v>
      </c>
      <c r="I758" s="93"/>
      <c r="J758" s="76" t="s">
        <v>946</v>
      </c>
      <c r="K758" s="73" t="str">
        <f t="shared" si="36"/>
        <v>View on Google Map</v>
      </c>
    </row>
    <row r="759" spans="1:11" x14ac:dyDescent="0.25">
      <c r="A759" s="102">
        <v>1245</v>
      </c>
      <c r="B759" s="93" t="s">
        <v>879</v>
      </c>
      <c r="C759" s="93" t="str">
        <f t="shared" si="38"/>
        <v>Valley of Thermokarst Reference</v>
      </c>
      <c r="D759" s="93">
        <v>68.935100569900001</v>
      </c>
      <c r="E759" s="76">
        <v>-150.68391688599999</v>
      </c>
      <c r="F759" s="92">
        <v>305</v>
      </c>
      <c r="G759" s="93"/>
      <c r="H759" s="93" t="s">
        <v>730</v>
      </c>
      <c r="I759" s="93"/>
      <c r="J759" s="76" t="s">
        <v>946</v>
      </c>
      <c r="K759" s="73" t="str">
        <f t="shared" si="36"/>
        <v>View on Google Map</v>
      </c>
    </row>
    <row r="760" spans="1:11" x14ac:dyDescent="0.25">
      <c r="A760" s="102">
        <v>1243</v>
      </c>
      <c r="B760" s="93" t="s">
        <v>880</v>
      </c>
      <c r="C760" s="93" t="str">
        <f t="shared" si="38"/>
        <v>Valley of Thermokarst Upper</v>
      </c>
      <c r="D760" s="93">
        <v>68.958075224599995</v>
      </c>
      <c r="E760" s="76">
        <v>-150.671940068</v>
      </c>
      <c r="F760" s="92">
        <v>304</v>
      </c>
      <c r="G760" s="93"/>
      <c r="H760" s="93" t="s">
        <v>730</v>
      </c>
      <c r="I760" s="93"/>
      <c r="J760" s="76" t="s">
        <v>946</v>
      </c>
      <c r="K760" s="73" t="str">
        <f t="shared" ref="K760:K790" si="39">HYPERLINK("http://maps.google.com/maps?q="&amp;D760&amp;","&amp;E760,"View on Google Map")</f>
        <v>View on Google Map</v>
      </c>
    </row>
    <row r="761" spans="1:11" x14ac:dyDescent="0.25">
      <c r="A761" s="92">
        <v>932</v>
      </c>
      <c r="B761" s="93" t="s">
        <v>1445</v>
      </c>
      <c r="C761" s="93" t="str">
        <f t="shared" si="38"/>
        <v>Watering Plots Barrel Water</v>
      </c>
      <c r="D761" s="94"/>
      <c r="E761" s="76"/>
      <c r="F761" s="95">
        <v>750</v>
      </c>
      <c r="G761" s="93" t="s">
        <v>619</v>
      </c>
      <c r="H761" s="93" t="s">
        <v>726</v>
      </c>
      <c r="I761" s="93"/>
      <c r="J761" s="76" t="s">
        <v>1446</v>
      </c>
      <c r="K761" s="73" t="str">
        <f t="shared" si="39"/>
        <v>View on Google Map</v>
      </c>
    </row>
    <row r="762" spans="1:11" x14ac:dyDescent="0.25">
      <c r="A762" s="92">
        <v>920</v>
      </c>
      <c r="B762" s="93" t="s">
        <v>1421</v>
      </c>
      <c r="C762" s="93" t="str">
        <f t="shared" si="38"/>
        <v>Watering Plots C1</v>
      </c>
      <c r="D762" s="94"/>
      <c r="E762" s="76"/>
      <c r="F762" s="95">
        <v>760</v>
      </c>
      <c r="G762" s="93" t="s">
        <v>619</v>
      </c>
      <c r="H762" s="93" t="s">
        <v>726</v>
      </c>
      <c r="I762" s="93"/>
      <c r="J762" s="76" t="s">
        <v>1422</v>
      </c>
      <c r="K762" s="73" t="str">
        <f t="shared" si="39"/>
        <v>View on Google Map</v>
      </c>
    </row>
    <row r="763" spans="1:11" x14ac:dyDescent="0.25">
      <c r="A763" s="92">
        <v>921</v>
      </c>
      <c r="B763" s="93" t="s">
        <v>1423</v>
      </c>
      <c r="C763" s="93" t="str">
        <f t="shared" si="38"/>
        <v>Watering Plots C2</v>
      </c>
      <c r="D763" s="94"/>
      <c r="E763" s="76"/>
      <c r="F763" s="95">
        <v>720</v>
      </c>
      <c r="G763" s="93" t="s">
        <v>619</v>
      </c>
      <c r="H763" s="93" t="s">
        <v>726</v>
      </c>
      <c r="I763" s="93"/>
      <c r="J763" s="76" t="s">
        <v>1424</v>
      </c>
      <c r="K763" s="73" t="str">
        <f t="shared" si="39"/>
        <v>View on Google Map</v>
      </c>
    </row>
    <row r="764" spans="1:11" x14ac:dyDescent="0.25">
      <c r="A764" s="92">
        <v>922</v>
      </c>
      <c r="B764" s="93" t="s">
        <v>1425</v>
      </c>
      <c r="C764" s="93" t="str">
        <f t="shared" si="38"/>
        <v>Watering Plots C3</v>
      </c>
      <c r="D764" s="94"/>
      <c r="E764" s="76"/>
      <c r="F764" s="95">
        <v>750</v>
      </c>
      <c r="G764" s="93" t="s">
        <v>619</v>
      </c>
      <c r="H764" s="93" t="s">
        <v>726</v>
      </c>
      <c r="I764" s="93"/>
      <c r="J764" s="76" t="s">
        <v>1426</v>
      </c>
      <c r="K764" s="73" t="str">
        <f t="shared" si="39"/>
        <v>View on Google Map</v>
      </c>
    </row>
    <row r="765" spans="1:11" x14ac:dyDescent="0.25">
      <c r="A765" s="92">
        <v>923</v>
      </c>
      <c r="B765" s="93" t="s">
        <v>1427</v>
      </c>
      <c r="C765" s="93" t="str">
        <f t="shared" si="38"/>
        <v>Watering Plots C4</v>
      </c>
      <c r="D765" s="94"/>
      <c r="E765" s="76"/>
      <c r="F765" s="95">
        <v>750</v>
      </c>
      <c r="G765" s="93" t="s">
        <v>619</v>
      </c>
      <c r="H765" s="93" t="s">
        <v>726</v>
      </c>
      <c r="I765" s="93"/>
      <c r="J765" s="76" t="s">
        <v>1428</v>
      </c>
      <c r="K765" s="73" t="str">
        <f t="shared" si="39"/>
        <v>View on Google Map</v>
      </c>
    </row>
    <row r="766" spans="1:11" x14ac:dyDescent="0.25">
      <c r="A766" s="92">
        <v>924</v>
      </c>
      <c r="B766" s="93" t="s">
        <v>1429</v>
      </c>
      <c r="C766" s="93" t="str">
        <f t="shared" si="38"/>
        <v>Watering Plots C5</v>
      </c>
      <c r="D766" s="94"/>
      <c r="E766" s="76"/>
      <c r="F766" s="95">
        <v>750</v>
      </c>
      <c r="G766" s="93" t="s">
        <v>619</v>
      </c>
      <c r="H766" s="93" t="s">
        <v>726</v>
      </c>
      <c r="I766" s="93"/>
      <c r="J766" s="76" t="s">
        <v>1430</v>
      </c>
      <c r="K766" s="73" t="str">
        <f t="shared" si="39"/>
        <v>View on Google Map</v>
      </c>
    </row>
    <row r="767" spans="1:11" x14ac:dyDescent="0.25">
      <c r="A767" s="92">
        <v>925</v>
      </c>
      <c r="B767" s="93" t="s">
        <v>1431</v>
      </c>
      <c r="C767" s="93" t="str">
        <f t="shared" si="38"/>
        <v>Watering Plots C6</v>
      </c>
      <c r="D767" s="94"/>
      <c r="E767" s="76"/>
      <c r="F767" s="95">
        <v>750</v>
      </c>
      <c r="G767" s="93" t="s">
        <v>619</v>
      </c>
      <c r="H767" s="93" t="s">
        <v>726</v>
      </c>
      <c r="I767" s="93"/>
      <c r="J767" s="76" t="s">
        <v>1432</v>
      </c>
      <c r="K767" s="73" t="str">
        <f t="shared" si="39"/>
        <v>View on Google Map</v>
      </c>
    </row>
    <row r="768" spans="1:11" x14ac:dyDescent="0.25">
      <c r="A768" s="92">
        <v>926</v>
      </c>
      <c r="B768" s="93" t="s">
        <v>1433</v>
      </c>
      <c r="C768" s="93" t="str">
        <f t="shared" si="38"/>
        <v>Watering Plots W1</v>
      </c>
      <c r="D768" s="94"/>
      <c r="E768" s="76"/>
      <c r="F768" s="95">
        <v>750</v>
      </c>
      <c r="G768" s="93" t="s">
        <v>619</v>
      </c>
      <c r="H768" s="93" t="s">
        <v>726</v>
      </c>
      <c r="I768" s="93"/>
      <c r="J768" s="76" t="s">
        <v>1434</v>
      </c>
      <c r="K768" s="73" t="str">
        <f t="shared" si="39"/>
        <v>View on Google Map</v>
      </c>
    </row>
    <row r="769" spans="1:11" x14ac:dyDescent="0.25">
      <c r="A769" s="92">
        <v>927</v>
      </c>
      <c r="B769" s="93" t="s">
        <v>1435</v>
      </c>
      <c r="C769" s="93" t="str">
        <f t="shared" si="38"/>
        <v>Watering Plots W2</v>
      </c>
      <c r="D769" s="94"/>
      <c r="E769" s="76"/>
      <c r="F769" s="95">
        <v>750</v>
      </c>
      <c r="G769" s="93" t="s">
        <v>619</v>
      </c>
      <c r="H769" s="93" t="s">
        <v>726</v>
      </c>
      <c r="I769" s="93"/>
      <c r="J769" s="76" t="s">
        <v>1436</v>
      </c>
      <c r="K769" s="73" t="str">
        <f t="shared" si="39"/>
        <v>View on Google Map</v>
      </c>
    </row>
    <row r="770" spans="1:11" x14ac:dyDescent="0.25">
      <c r="A770" s="92">
        <v>928</v>
      </c>
      <c r="B770" s="93" t="s">
        <v>1437</v>
      </c>
      <c r="C770" s="93" t="str">
        <f t="shared" si="38"/>
        <v>Watering Plots W3</v>
      </c>
      <c r="D770" s="94"/>
      <c r="E770" s="76"/>
      <c r="F770" s="95">
        <v>750</v>
      </c>
      <c r="G770" s="93" t="s">
        <v>619</v>
      </c>
      <c r="H770" s="93" t="s">
        <v>726</v>
      </c>
      <c r="I770" s="93"/>
      <c r="J770" s="76" t="s">
        <v>1438</v>
      </c>
      <c r="K770" s="73" t="str">
        <f t="shared" si="39"/>
        <v>View on Google Map</v>
      </c>
    </row>
    <row r="771" spans="1:11" x14ac:dyDescent="0.25">
      <c r="A771" s="92">
        <v>929</v>
      </c>
      <c r="B771" s="93" t="s">
        <v>1439</v>
      </c>
      <c r="C771" s="93" t="str">
        <f t="shared" si="38"/>
        <v>Watering Plots W4</v>
      </c>
      <c r="D771" s="94"/>
      <c r="E771" s="76"/>
      <c r="F771" s="95">
        <v>750</v>
      </c>
      <c r="G771" s="93" t="s">
        <v>619</v>
      </c>
      <c r="H771" s="93" t="s">
        <v>726</v>
      </c>
      <c r="I771" s="93"/>
      <c r="J771" s="76" t="s">
        <v>1440</v>
      </c>
      <c r="K771" s="73" t="str">
        <f t="shared" si="39"/>
        <v>View on Google Map</v>
      </c>
    </row>
    <row r="772" spans="1:11" x14ac:dyDescent="0.25">
      <c r="A772" s="92">
        <v>930</v>
      </c>
      <c r="B772" s="93" t="s">
        <v>1441</v>
      </c>
      <c r="C772" s="93" t="str">
        <f t="shared" si="38"/>
        <v>Watering Plots W5</v>
      </c>
      <c r="D772" s="94"/>
      <c r="E772" s="76"/>
      <c r="F772" s="95">
        <v>750</v>
      </c>
      <c r="G772" s="93" t="s">
        <v>619</v>
      </c>
      <c r="H772" s="93" t="s">
        <v>726</v>
      </c>
      <c r="I772" s="93"/>
      <c r="J772" s="76" t="s">
        <v>1442</v>
      </c>
      <c r="K772" s="73" t="str">
        <f t="shared" si="39"/>
        <v>View on Google Map</v>
      </c>
    </row>
    <row r="773" spans="1:11" x14ac:dyDescent="0.25">
      <c r="A773" s="92">
        <v>931</v>
      </c>
      <c r="B773" s="93" t="s">
        <v>1443</v>
      </c>
      <c r="C773" s="93" t="str">
        <f t="shared" si="38"/>
        <v>Watering Plots W6</v>
      </c>
      <c r="D773" s="94"/>
      <c r="E773" s="76"/>
      <c r="F773" s="95">
        <v>750</v>
      </c>
      <c r="G773" s="93" t="s">
        <v>619</v>
      </c>
      <c r="H773" s="93" t="s">
        <v>726</v>
      </c>
      <c r="I773" s="93"/>
      <c r="J773" s="76" t="s">
        <v>1444</v>
      </c>
      <c r="K773" s="73" t="str">
        <f t="shared" si="39"/>
        <v>View on Google Map</v>
      </c>
    </row>
    <row r="774" spans="1:11" x14ac:dyDescent="0.25">
      <c r="A774" s="92">
        <v>370</v>
      </c>
      <c r="B774" s="93" t="s">
        <v>1393</v>
      </c>
      <c r="C774" s="93" t="str">
        <f t="shared" si="38"/>
        <v>West Lake Survey  01</v>
      </c>
      <c r="D774" s="94" t="s">
        <v>946</v>
      </c>
      <c r="E774" s="76" t="s">
        <v>946</v>
      </c>
      <c r="F774" s="95"/>
      <c r="G774" s="93" t="s">
        <v>301</v>
      </c>
      <c r="H774" s="93" t="s">
        <v>726</v>
      </c>
      <c r="I774" s="93" t="s">
        <v>1394</v>
      </c>
      <c r="J774" s="76" t="s">
        <v>946</v>
      </c>
      <c r="K774" s="73" t="str">
        <f t="shared" si="39"/>
        <v>View on Google Map</v>
      </c>
    </row>
    <row r="775" spans="1:11" x14ac:dyDescent="0.25">
      <c r="A775" s="92">
        <v>371</v>
      </c>
      <c r="B775" s="93" t="s">
        <v>1395</v>
      </c>
      <c r="C775" s="93" t="str">
        <f t="shared" si="38"/>
        <v>West Lake Survey  02</v>
      </c>
      <c r="D775" s="94" t="s">
        <v>946</v>
      </c>
      <c r="E775" s="76" t="s">
        <v>946</v>
      </c>
      <c r="F775" s="95"/>
      <c r="G775" s="93" t="s">
        <v>301</v>
      </c>
      <c r="H775" s="93" t="s">
        <v>726</v>
      </c>
      <c r="I775" s="93" t="s">
        <v>1394</v>
      </c>
      <c r="J775" s="76" t="s">
        <v>946</v>
      </c>
      <c r="K775" s="73" t="str">
        <f t="shared" si="39"/>
        <v>View on Google Map</v>
      </c>
    </row>
    <row r="776" spans="1:11" x14ac:dyDescent="0.25">
      <c r="A776" s="92">
        <v>372</v>
      </c>
      <c r="B776" s="93" t="s">
        <v>1396</v>
      </c>
      <c r="C776" s="93" t="str">
        <f t="shared" si="38"/>
        <v>West Lake Survey  03</v>
      </c>
      <c r="D776" s="94" t="s">
        <v>946</v>
      </c>
      <c r="E776" s="76" t="s">
        <v>946</v>
      </c>
      <c r="F776" s="95"/>
      <c r="G776" s="93" t="s">
        <v>301</v>
      </c>
      <c r="H776" s="93" t="s">
        <v>726</v>
      </c>
      <c r="I776" s="93" t="s">
        <v>1394</v>
      </c>
      <c r="J776" s="76" t="s">
        <v>946</v>
      </c>
      <c r="K776" s="73" t="str">
        <f t="shared" si="39"/>
        <v>View on Google Map</v>
      </c>
    </row>
    <row r="777" spans="1:11" x14ac:dyDescent="0.25">
      <c r="A777" s="92">
        <v>373</v>
      </c>
      <c r="B777" s="93" t="s">
        <v>1397</v>
      </c>
      <c r="C777" s="93" t="str">
        <f t="shared" si="38"/>
        <v>West Lake Survey  04</v>
      </c>
      <c r="D777" s="94" t="s">
        <v>946</v>
      </c>
      <c r="E777" s="76" t="s">
        <v>946</v>
      </c>
      <c r="F777" s="95"/>
      <c r="G777" s="93" t="s">
        <v>301</v>
      </c>
      <c r="H777" s="93" t="s">
        <v>726</v>
      </c>
      <c r="I777" s="93" t="s">
        <v>1394</v>
      </c>
      <c r="J777" s="76" t="s">
        <v>946</v>
      </c>
      <c r="K777" s="73" t="str">
        <f t="shared" si="39"/>
        <v>View on Google Map</v>
      </c>
    </row>
    <row r="778" spans="1:11" x14ac:dyDescent="0.25">
      <c r="A778" s="92">
        <v>374</v>
      </c>
      <c r="B778" s="93" t="s">
        <v>1398</v>
      </c>
      <c r="C778" s="93" t="str">
        <f t="shared" si="38"/>
        <v>West Lake Survey  05</v>
      </c>
      <c r="D778" s="94" t="s">
        <v>946</v>
      </c>
      <c r="E778" s="76" t="s">
        <v>946</v>
      </c>
      <c r="F778" s="95"/>
      <c r="G778" s="93" t="s">
        <v>301</v>
      </c>
      <c r="H778" s="93" t="s">
        <v>726</v>
      </c>
      <c r="I778" s="93" t="s">
        <v>1394</v>
      </c>
      <c r="J778" s="76" t="s">
        <v>946</v>
      </c>
      <c r="K778" s="73" t="str">
        <f t="shared" si="39"/>
        <v>View on Google Map</v>
      </c>
    </row>
    <row r="779" spans="1:11" x14ac:dyDescent="0.25">
      <c r="A779" s="92">
        <v>375</v>
      </c>
      <c r="B779" s="93" t="s">
        <v>1399</v>
      </c>
      <c r="C779" s="93" t="str">
        <f t="shared" si="38"/>
        <v>West Lake Survey  06</v>
      </c>
      <c r="D779" s="94" t="s">
        <v>946</v>
      </c>
      <c r="E779" s="76" t="s">
        <v>946</v>
      </c>
      <c r="F779" s="95"/>
      <c r="G779" s="93" t="s">
        <v>301</v>
      </c>
      <c r="H779" s="93" t="s">
        <v>726</v>
      </c>
      <c r="I779" s="93" t="s">
        <v>1394</v>
      </c>
      <c r="J779" s="76" t="s">
        <v>946</v>
      </c>
      <c r="K779" s="73" t="str">
        <f t="shared" si="39"/>
        <v>View on Google Map</v>
      </c>
    </row>
    <row r="780" spans="1:11" x14ac:dyDescent="0.25">
      <c r="A780" s="92">
        <v>376</v>
      </c>
      <c r="B780" s="93" t="s">
        <v>1400</v>
      </c>
      <c r="C780" s="93" t="str">
        <f t="shared" si="38"/>
        <v>West Lake Survey  07</v>
      </c>
      <c r="D780" s="94" t="s">
        <v>946</v>
      </c>
      <c r="E780" s="76" t="s">
        <v>946</v>
      </c>
      <c r="F780" s="95"/>
      <c r="G780" s="93" t="s">
        <v>301</v>
      </c>
      <c r="H780" s="93" t="s">
        <v>726</v>
      </c>
      <c r="I780" s="93" t="s">
        <v>1394</v>
      </c>
      <c r="J780" s="76" t="s">
        <v>946</v>
      </c>
      <c r="K780" s="73" t="str">
        <f t="shared" si="39"/>
        <v>View on Google Map</v>
      </c>
    </row>
    <row r="781" spans="1:11" x14ac:dyDescent="0.25">
      <c r="A781" s="92">
        <v>377</v>
      </c>
      <c r="B781" s="93" t="s">
        <v>1401</v>
      </c>
      <c r="C781" s="93" t="str">
        <f t="shared" si="38"/>
        <v>West Lake Survey  08</v>
      </c>
      <c r="D781" s="94" t="s">
        <v>946</v>
      </c>
      <c r="E781" s="76" t="s">
        <v>946</v>
      </c>
      <c r="F781" s="95"/>
      <c r="G781" s="93" t="s">
        <v>301</v>
      </c>
      <c r="H781" s="93" t="s">
        <v>726</v>
      </c>
      <c r="I781" s="93" t="s">
        <v>1394</v>
      </c>
      <c r="J781" s="76" t="s">
        <v>946</v>
      </c>
      <c r="K781" s="73" t="str">
        <f t="shared" si="39"/>
        <v>View on Google Map</v>
      </c>
    </row>
    <row r="782" spans="1:11" x14ac:dyDescent="0.25">
      <c r="A782" s="92">
        <v>378</v>
      </c>
      <c r="B782" s="93" t="s">
        <v>1402</v>
      </c>
      <c r="C782" s="93" t="str">
        <f t="shared" si="38"/>
        <v>West Lake Survey  09</v>
      </c>
      <c r="D782" s="94" t="s">
        <v>946</v>
      </c>
      <c r="E782" s="76" t="s">
        <v>946</v>
      </c>
      <c r="F782" s="95"/>
      <c r="G782" s="93" t="s">
        <v>301</v>
      </c>
      <c r="H782" s="93" t="s">
        <v>726</v>
      </c>
      <c r="I782" s="93" t="s">
        <v>1394</v>
      </c>
      <c r="J782" s="76" t="s">
        <v>946</v>
      </c>
      <c r="K782" s="73" t="str">
        <f t="shared" si="39"/>
        <v>View on Google Map</v>
      </c>
    </row>
    <row r="783" spans="1:11" x14ac:dyDescent="0.25">
      <c r="A783" s="92">
        <v>379</v>
      </c>
      <c r="B783" s="93" t="s">
        <v>1403</v>
      </c>
      <c r="C783" s="93" t="str">
        <f t="shared" si="38"/>
        <v>West Lake Survey  10</v>
      </c>
      <c r="D783" s="94" t="s">
        <v>946</v>
      </c>
      <c r="E783" s="76" t="s">
        <v>946</v>
      </c>
      <c r="F783" s="95"/>
      <c r="G783" s="93" t="s">
        <v>301</v>
      </c>
      <c r="H783" s="93" t="s">
        <v>726</v>
      </c>
      <c r="I783" s="93" t="s">
        <v>1394</v>
      </c>
      <c r="J783" s="76" t="s">
        <v>946</v>
      </c>
      <c r="K783" s="73" t="str">
        <f t="shared" si="39"/>
        <v>View on Google Map</v>
      </c>
    </row>
    <row r="784" spans="1:11" x14ac:dyDescent="0.25">
      <c r="A784" s="96">
        <v>611</v>
      </c>
      <c r="B784" s="117" t="s">
        <v>881</v>
      </c>
      <c r="C784" s="93" t="str">
        <f t="shared" si="38"/>
        <v>Whitefish Lake</v>
      </c>
      <c r="D784" s="118">
        <v>66.383600000000001</v>
      </c>
      <c r="E784" s="76">
        <v>-164.74010000000001</v>
      </c>
      <c r="F784" s="119">
        <v>11</v>
      </c>
      <c r="G784" s="97" t="s">
        <v>301</v>
      </c>
      <c r="H784" s="97" t="s">
        <v>728</v>
      </c>
      <c r="I784" s="97"/>
      <c r="J784" s="76" t="s">
        <v>946</v>
      </c>
      <c r="K784" s="73" t="str">
        <f t="shared" si="39"/>
        <v>View on Google Map</v>
      </c>
    </row>
    <row r="785" spans="1:11" x14ac:dyDescent="0.25">
      <c r="A785" s="92">
        <v>129</v>
      </c>
      <c r="B785" s="93" t="s">
        <v>328</v>
      </c>
      <c r="C785" s="93" t="s">
        <v>329</v>
      </c>
      <c r="D785" s="94">
        <v>69.966669999999993</v>
      </c>
      <c r="E785" s="76">
        <v>-148.73333</v>
      </c>
      <c r="F785" s="95">
        <v>57</v>
      </c>
      <c r="G785" s="93" t="s">
        <v>301</v>
      </c>
      <c r="H785" s="93" t="s">
        <v>726</v>
      </c>
      <c r="I785" s="93" t="s">
        <v>272</v>
      </c>
      <c r="J785" s="76" t="s">
        <v>1350</v>
      </c>
      <c r="K785" s="73" t="str">
        <f t="shared" si="39"/>
        <v>View on Google Map</v>
      </c>
    </row>
    <row r="786" spans="1:11" x14ac:dyDescent="0.25">
      <c r="A786" s="92">
        <v>17</v>
      </c>
      <c r="B786" s="93" t="s">
        <v>996</v>
      </c>
      <c r="C786" s="93" t="s">
        <v>997</v>
      </c>
      <c r="D786" s="94">
        <v>68.661615999999995</v>
      </c>
      <c r="E786" s="76">
        <v>-149.12489400000001</v>
      </c>
      <c r="F786" s="95"/>
      <c r="G786" s="93" t="s">
        <v>269</v>
      </c>
      <c r="H786" s="93" t="s">
        <v>726</v>
      </c>
      <c r="I786" s="93"/>
      <c r="J786" s="76" t="s">
        <v>946</v>
      </c>
      <c r="K786" s="73" t="str">
        <f t="shared" si="39"/>
        <v>View on Google Map</v>
      </c>
    </row>
    <row r="787" spans="1:11" x14ac:dyDescent="0.25">
      <c r="A787" s="92">
        <v>530</v>
      </c>
      <c r="B787" s="93" t="s">
        <v>594</v>
      </c>
      <c r="C787" s="93" t="s">
        <v>593</v>
      </c>
      <c r="D787" s="109">
        <v>68.674329999999998</v>
      </c>
      <c r="E787" s="76">
        <v>-149.61694</v>
      </c>
      <c r="F787" s="106">
        <v>701</v>
      </c>
      <c r="G787" s="93" t="s">
        <v>301</v>
      </c>
      <c r="H787" s="93" t="s">
        <v>516</v>
      </c>
      <c r="I787" s="93" t="s">
        <v>556</v>
      </c>
      <c r="J787" s="76" t="s">
        <v>946</v>
      </c>
      <c r="K787" s="73" t="str">
        <f t="shared" si="39"/>
        <v>View on Google Map</v>
      </c>
    </row>
    <row r="788" spans="1:11" x14ac:dyDescent="0.25">
      <c r="A788" s="92">
        <v>496</v>
      </c>
      <c r="B788" s="93" t="s">
        <v>558</v>
      </c>
      <c r="C788" s="93" t="str">
        <f>B788</f>
        <v>Yurlake into NE 14</v>
      </c>
      <c r="D788" s="94">
        <v>68.674149999999997</v>
      </c>
      <c r="E788" s="76">
        <v>-149.6181</v>
      </c>
      <c r="F788" s="106">
        <v>701</v>
      </c>
      <c r="G788" s="93" t="s">
        <v>269</v>
      </c>
      <c r="H788" s="93" t="s">
        <v>555</v>
      </c>
      <c r="I788" s="93" t="s">
        <v>556</v>
      </c>
      <c r="J788" s="76" t="s">
        <v>1351</v>
      </c>
      <c r="K788" s="73" t="str">
        <f t="shared" si="39"/>
        <v>View on Google Map</v>
      </c>
    </row>
    <row r="789" spans="1:11" x14ac:dyDescent="0.25">
      <c r="A789" s="102">
        <v>1246</v>
      </c>
      <c r="B789" s="93" t="s">
        <v>882</v>
      </c>
      <c r="C789" s="93" t="s">
        <v>851</v>
      </c>
      <c r="D789" s="93">
        <v>68.674199999999999</v>
      </c>
      <c r="E789" s="76">
        <v>-149.61751899999999</v>
      </c>
      <c r="F789" s="92">
        <v>701</v>
      </c>
      <c r="G789" s="93"/>
      <c r="H789" s="93" t="s">
        <v>852</v>
      </c>
      <c r="I789" s="93"/>
      <c r="J789" s="76" t="s">
        <v>946</v>
      </c>
      <c r="K789" s="73" t="str">
        <f t="shared" si="39"/>
        <v>View on Google Map</v>
      </c>
    </row>
    <row r="790" spans="1:11" x14ac:dyDescent="0.25">
      <c r="A790" s="92">
        <v>620</v>
      </c>
      <c r="B790" s="93" t="s">
        <v>1668</v>
      </c>
      <c r="C790" t="s">
        <v>1669</v>
      </c>
      <c r="D790" s="127">
        <v>68.617199999999997</v>
      </c>
      <c r="E790" s="127">
        <v>-149.18633333333332</v>
      </c>
      <c r="G790" s="93" t="s">
        <v>301</v>
      </c>
      <c r="H790" s="93" t="s">
        <v>1654</v>
      </c>
      <c r="K790" s="73" t="str">
        <f t="shared" si="39"/>
        <v>View on Google Map</v>
      </c>
    </row>
    <row r="791" spans="1:11" x14ac:dyDescent="0.25">
      <c r="A791" s="92"/>
      <c r="B791" s="93"/>
      <c r="D791" s="127"/>
      <c r="E791" s="127"/>
      <c r="G791" s="93"/>
      <c r="H791" s="93"/>
      <c r="K791" s="73"/>
    </row>
    <row r="792" spans="1:11" x14ac:dyDescent="0.25">
      <c r="A792" s="92"/>
      <c r="B792" s="93"/>
      <c r="D792" s="127"/>
      <c r="E792" s="127"/>
      <c r="G792" s="93"/>
      <c r="H792" s="93"/>
      <c r="K792" s="73"/>
    </row>
    <row r="793" spans="1:11" x14ac:dyDescent="0.25">
      <c r="A793" s="92"/>
      <c r="B793" s="93"/>
      <c r="D793" s="127"/>
      <c r="E793" s="127"/>
      <c r="G793" s="93"/>
      <c r="H793" s="93"/>
      <c r="K793" s="73"/>
    </row>
    <row r="794" spans="1:11" x14ac:dyDescent="0.25">
      <c r="A794" s="92"/>
      <c r="B794" s="93"/>
      <c r="D794" s="127"/>
      <c r="E794" s="127"/>
      <c r="G794" s="93"/>
      <c r="H794" s="93"/>
      <c r="K794" s="73"/>
    </row>
    <row r="795" spans="1:11" x14ac:dyDescent="0.25">
      <c r="A795" s="92"/>
      <c r="B795" s="93"/>
      <c r="D795" s="127"/>
      <c r="E795" s="127"/>
      <c r="G795" s="93"/>
      <c r="H795" s="93"/>
      <c r="K795" s="73"/>
    </row>
    <row r="796" spans="1:11" x14ac:dyDescent="0.25">
      <c r="A796" s="92"/>
      <c r="B796" s="93"/>
      <c r="D796" s="127"/>
      <c r="E796" s="127"/>
      <c r="G796" s="93"/>
      <c r="H796" s="93"/>
      <c r="K796" s="73"/>
    </row>
    <row r="797" spans="1:11" x14ac:dyDescent="0.25">
      <c r="A797" s="92"/>
      <c r="B797" s="93"/>
      <c r="D797" s="127"/>
      <c r="E797" s="127"/>
      <c r="G797" s="93"/>
      <c r="H797" s="93"/>
      <c r="K797" s="73"/>
    </row>
    <row r="798" spans="1:11" x14ac:dyDescent="0.25">
      <c r="A798" s="92"/>
      <c r="B798" s="93"/>
      <c r="D798" s="127"/>
      <c r="E798" s="127"/>
      <c r="G798" s="93"/>
      <c r="H798" s="93"/>
      <c r="K798" s="73"/>
    </row>
  </sheetData>
  <sheetProtection sheet="1" objects="1" scenarios="1"/>
  <autoFilter ref="A2:K610" xr:uid="{00000000-0009-0000-0000-000002000000}">
    <sortState xmlns:xlrd2="http://schemas.microsoft.com/office/spreadsheetml/2017/richdata2" ref="A3:K602">
      <sortCondition ref="B2"/>
    </sortState>
  </autoFilter>
  <conditionalFormatting sqref="B791:B798">
    <cfRule type="cellIs" dxfId="4" priority="5" stopIfTrue="1" operator="equal">
      <formula>"NOT ASSIGNED:"</formula>
    </cfRule>
  </conditionalFormatting>
  <conditionalFormatting sqref="F744:F751 G717:G751 B422:C459 B234:C234 B76:B89 B32:C34 F752:G755 B664:B665 C29:C30 B35:B41 B52:B57 C35:C57 B58:C73 B74 C74:C89 B93:C226 B227:B230 C227:C233 B235:B395 B418:B421 C235:C421 B524 C461:C524 B525:C663 C666:C672 B717:D755 B756:C771">
    <cfRule type="cellIs" dxfId="3" priority="3" stopIfTrue="1" operator="equal">
      <formula>"NOT ASSIGNED:"</formula>
    </cfRule>
  </conditionalFormatting>
  <conditionalFormatting sqref="B460:C460 B461:B523">
    <cfRule type="cellIs" dxfId="2" priority="2" stopIfTrue="1" operator="equal">
      <formula>"NOT ASSIGNED:"</formula>
    </cfRule>
  </conditionalFormatting>
  <conditionalFormatting sqref="B772:B776 B787:B790">
    <cfRule type="cellIs" dxfId="1" priority="1" stopIfTrue="1" operator="equal">
      <formula>"NOT ASSIGNED:"</formula>
    </cfRule>
  </conditionalFormatting>
  <conditionalFormatting sqref="B2 B3:C3 B4:B14 C4:C25">
    <cfRule type="cellIs" dxfId="0" priority="4" stopIfTrue="1" operator="equal">
      <formula>"NOT ASSIGNED:"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76</vt:i4>
      </vt:variant>
    </vt:vector>
  </HeadingPairs>
  <TitlesOfParts>
    <vt:vector size="79" baseType="lpstr">
      <vt:lpstr>Metadata</vt:lpstr>
      <vt:lpstr>Data</vt:lpstr>
      <vt:lpstr>DropDownLists(Do NOT Edit)</vt:lpstr>
      <vt:lpstr>ABSTRACT</vt:lpstr>
      <vt:lpstr>Beginning_Date</vt:lpstr>
      <vt:lpstr>Code_Information</vt:lpstr>
      <vt:lpstr>DATA_FILE_INFORMATION</vt:lpstr>
      <vt:lpstr>Data_File_Name</vt:lpstr>
      <vt:lpstr>Data_File_URL</vt:lpstr>
      <vt:lpstr>Data_Type</vt:lpstr>
      <vt:lpstr>DATASET_ID</vt:lpstr>
      <vt:lpstr>DATASET_TITLE</vt:lpstr>
      <vt:lpstr>DataSheet1</vt:lpstr>
      <vt:lpstr>DateTime_Format</vt:lpstr>
      <vt:lpstr>Distribution_URL_for_file</vt:lpstr>
      <vt:lpstr>East_Bounding_Coordinate</vt:lpstr>
      <vt:lpstr>Elevation</vt:lpstr>
      <vt:lpstr>Email</vt:lpstr>
      <vt:lpstr>End_Date</vt:lpstr>
      <vt:lpstr>Files_Descriptions</vt:lpstr>
      <vt:lpstr>First_Name</vt:lpstr>
      <vt:lpstr>Funding_Agency</vt:lpstr>
      <vt:lpstr>Funding_Number</vt:lpstr>
      <vt:lpstr>Funding_of_this_work</vt:lpstr>
      <vt:lpstr>Geographic_Description</vt:lpstr>
      <vt:lpstr>Intellectual_Rights</vt:lpstr>
      <vt:lpstr>INVESTIGATOR_INFORMATION</vt:lpstr>
      <vt:lpstr>KEYWORD_INFORMATION</vt:lpstr>
      <vt:lpstr>KEYWORDS</vt:lpstr>
      <vt:lpstr>Last_Name</vt:lpstr>
      <vt:lpstr>Latitude</vt:lpstr>
      <vt:lpstr>Link_to_Google_Map</vt:lpstr>
      <vt:lpstr>Link_to_NSF_Award_Search</vt:lpstr>
      <vt:lpstr>Location_Bounding_Box</vt:lpstr>
      <vt:lpstr>Location_Name</vt:lpstr>
      <vt:lpstr>Log_of_Changes</vt:lpstr>
      <vt:lpstr>Longitude</vt:lpstr>
      <vt:lpstr>LTER_funding_Yes_No</vt:lpstr>
      <vt:lpstr>LTER_Sites_number</vt:lpstr>
      <vt:lpstr>Maintenance_Description</vt:lpstr>
      <vt:lpstr>Maximum_Value</vt:lpstr>
      <vt:lpstr>Metacat_Package_ID</vt:lpstr>
      <vt:lpstr>METHODS</vt:lpstr>
      <vt:lpstr>Minimum_Value</vt:lpstr>
      <vt:lpstr>Missing_Value_Code</vt:lpstr>
      <vt:lpstr>Name_of_Data_Sheet</vt:lpstr>
      <vt:lpstr>NON_TABLUAR_FILES</vt:lpstr>
      <vt:lpstr>North_Bounding_Coordinate</vt:lpstr>
      <vt:lpstr>Number_of_Data_Records</vt:lpstr>
      <vt:lpstr>Number_of_Header_Rows</vt:lpstr>
      <vt:lpstr>OR</vt:lpstr>
      <vt:lpstr>OR_if_single_point_location</vt:lpstr>
      <vt:lpstr>ORCID_ID</vt:lpstr>
      <vt:lpstr>Organisms_studied</vt:lpstr>
      <vt:lpstr>Organization</vt:lpstr>
      <vt:lpstr>Other_Files_to_Reference</vt:lpstr>
      <vt:lpstr>PI_First_Name</vt:lpstr>
      <vt:lpstr>PI_Last_Name</vt:lpstr>
      <vt:lpstr>Precision</vt:lpstr>
      <vt:lpstr>Protocol_Document</vt:lpstr>
      <vt:lpstr>Protocol_Title</vt:lpstr>
      <vt:lpstr>RESEARCH_LOCATION</vt:lpstr>
      <vt:lpstr>Role</vt:lpstr>
      <vt:lpstr>Sampling_and_or_Lab_Protocols</vt:lpstr>
      <vt:lpstr>Site_name</vt:lpstr>
      <vt:lpstr>Site_name_list</vt:lpstr>
      <vt:lpstr>Sites</vt:lpstr>
      <vt:lpstr>South_Bounding_Coordinate</vt:lpstr>
      <vt:lpstr>TAXONOMIC_COVERAGE</vt:lpstr>
      <vt:lpstr>This_Section_describes_the_data_sheets_or_files_of_comma_delimited_data.__If_there_are_more_data_sheets_files_then_fill_in_the_second_section_below.</vt:lpstr>
      <vt:lpstr>Title_of_Grant</vt:lpstr>
      <vt:lpstr>Units</vt:lpstr>
      <vt:lpstr>units_dropdown</vt:lpstr>
      <vt:lpstr>URL_of_online_Protocol</vt:lpstr>
      <vt:lpstr>Variable_Description</vt:lpstr>
      <vt:lpstr>VARIABLE_DESCRIPTIONS</vt:lpstr>
      <vt:lpstr>Variable_Name</vt:lpstr>
      <vt:lpstr>West_Bounding_Coordinate</vt:lpstr>
      <vt:lpstr>Year_Released_to_Public</vt:lpstr>
    </vt:vector>
  </TitlesOfParts>
  <Company>MBL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Laundre</dc:creator>
  <cp:lastModifiedBy>Bonnie Kwiatkowski</cp:lastModifiedBy>
  <dcterms:created xsi:type="dcterms:W3CDTF">2005-12-15T17:53:17Z</dcterms:created>
  <dcterms:modified xsi:type="dcterms:W3CDTF">2022-03-04T01:20:32Z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f49a0bbc-f95e-4aff-a553-69959b7d4ae5</vt:lpwstr>
  </property>
</Properties>
</file>